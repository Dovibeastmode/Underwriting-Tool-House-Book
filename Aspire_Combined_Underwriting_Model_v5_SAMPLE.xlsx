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al" sheetId="1" state="visible" r:id="rId1"/>
    <sheet xmlns:r="http://schemas.openxmlformats.org/officeDocument/2006/relationships" name="Historical Score" sheetId="2" state="visible" r:id="rId2"/>
    <sheet xmlns:r="http://schemas.openxmlformats.org/officeDocument/2006/relationships" name="Comparable Deals" sheetId="3" state="visible" r:id="rId3"/>
    <sheet xmlns:r="http://schemas.openxmlformats.org/officeDocument/2006/relationships" name="Historical Data" sheetId="4" state="visible" r:id="rId4"/>
    <sheet xmlns:r="http://schemas.openxmlformats.org/officeDocument/2006/relationships" name="Controls" sheetId="5" state="visible" r:id="rId5"/>
    <sheet xmlns:r="http://schemas.openxmlformats.org/officeDocument/2006/relationships" name="Ref" sheetId="6" state="visible" r:id="rId6"/>
  </sheets>
  <definedNames>
    <definedName name="D26D33" hidden="0" function="0" vbProcedure="0">#REF!</definedName>
    <definedName name="_xlnm._FilterDatabase" localSheetId="2" hidden="1">'Comparable Deals'!$A$4:$V$12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\$#,##0.00"/>
    <numFmt numFmtId="166" formatCode="0.0%"/>
    <numFmt numFmtId="167" formatCode="0.0"/>
    <numFmt numFmtId="168" formatCode="0.000"/>
    <numFmt numFmtId="169" formatCode="m/d/yyyy"/>
    <numFmt numFmtId="170" formatCode="mm/dd/yyyy"/>
    <numFmt numFmtId="171" formatCode="0.0000"/>
  </numFmts>
  <fonts count="2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5"/>
    </font>
    <font>
      <name val="Calibri"/>
      <charset val="1"/>
      <family val="0"/>
      <b val="1"/>
      <color theme="1"/>
      <sz val="11"/>
    </font>
    <font>
      <name val="Calibri"/>
      <charset val="1"/>
      <family val="0"/>
      <b val="1"/>
      <color theme="1"/>
      <sz val="13"/>
    </font>
    <font>
      <name val="Calibri"/>
      <charset val="1"/>
      <family val="0"/>
      <i val="1"/>
      <color rgb="FF374151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b val="1"/>
      <color theme="1"/>
      <sz val="12"/>
    </font>
    <font>
      <name val="Calibri"/>
      <charset val="1"/>
      <family val="0"/>
      <b val="1"/>
      <sz val="12"/>
    </font>
    <font>
      <name val="Calibri"/>
      <charset val="1"/>
      <family val="0"/>
      <sz val="11"/>
    </font>
    <font>
      <name val="Calibri"/>
      <charset val="1"/>
      <family val="0"/>
      <color rgb="FF374151"/>
      <sz val="9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i val="1"/>
      <color rgb="FF374151"/>
      <sz val="11"/>
    </font>
    <font>
      <name val="Calibri"/>
      <charset val="1"/>
      <family val="0"/>
      <b val="1"/>
      <color rgb="FF000000"/>
      <sz val="12"/>
    </font>
    <font>
      <name val="Calibri"/>
      <charset val="1"/>
      <family val="0"/>
      <b val="1"/>
      <i val="1"/>
      <color rgb="FF374151"/>
      <sz val="9"/>
    </font>
    <font>
      <name val="Calibri"/>
      <charset val="1"/>
      <family val="0"/>
      <b val="1"/>
      <sz val="11"/>
    </font>
    <font>
      <name val="Calibri"/>
      <charset val="1"/>
      <family val="0"/>
      <b val="1"/>
      <color theme="1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4B5563"/>
        <bgColor rgb="FF374151"/>
      </patternFill>
    </fill>
    <fill>
      <patternFill patternType="solid">
        <fgColor rgb="FFE5E7EB"/>
        <bgColor rgb="FFF3F4F6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FFFFFF"/>
      </patternFill>
    </fill>
    <fill>
      <patternFill patternType="solid"/>
    </fill>
  </fills>
  <borders count="24">
    <border>
      <left/>
      <right/>
      <top/>
      <bottom/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medium"/>
      <right style="medium"/>
      <top style="medium"/>
      <bottom style="medium"/>
      <diagonal/>
    </border>
    <border>
      <left style="medium">
        <color rgb="FF374151"/>
      </left>
      <right style="medium">
        <color rgb="FF374151"/>
      </right>
      <top style="medium">
        <color rgb="FF374151"/>
      </top>
      <bottom style="medium">
        <color rgb="FF374151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/>
      <diagonal/>
    </border>
    <border>
      <left style="medium">
        <color rgb="FF374151"/>
      </left>
      <right/>
      <top style="medium">
        <color rgb="FF374151"/>
      </top>
      <bottom/>
      <diagonal/>
    </border>
    <border>
      <left/>
      <right/>
      <top style="thin"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 style="thick"/>
      <right style="thin">
        <color rgb="FF9CA3AF"/>
      </right>
      <top style="thick"/>
      <bottom style="thick"/>
      <diagonal/>
    </border>
    <border>
      <left style="thin">
        <color rgb="FF9CA3AF"/>
      </left>
      <right style="thick"/>
      <top style="thick"/>
      <bottom style="thick"/>
      <diagonal/>
    </border>
    <border>
      <left style="thin">
        <color rgb="FF9CA3AF"/>
      </left>
      <right style="thin">
        <color rgb="FF9CA3AF"/>
      </right>
      <top/>
      <bottom style="thin">
        <color rgb="FF9CA3AF"/>
      </bottom>
      <diagonal/>
    </border>
    <border>
      <left style="thin">
        <color rgb="FF9CA3AF"/>
      </left>
      <right/>
      <top style="thin">
        <color rgb="FF9CA3AF"/>
      </top>
      <bottom/>
      <diagonal/>
    </border>
    <border>
      <left style="thin">
        <color rgb="FF9CA3AF"/>
      </left>
      <right/>
      <top/>
      <bottom/>
      <diagonal/>
    </border>
    <border>
      <left/>
      <right/>
      <top style="thin">
        <color rgb="FF9CA3AF"/>
      </top>
      <bottom/>
      <diagonal/>
    </border>
    <border>
      <left/>
      <right style="thin">
        <color rgb="FF9CA3AF"/>
      </right>
      <top style="thin">
        <color rgb="FF9CA3AF"/>
      </top>
      <bottom/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 style="medium"/>
      <top style="medium"/>
      <bottom style="medium"/>
      <diagonal/>
    </border>
    <border>
      <left/>
      <right/>
      <top style="thin">
        <color rgb="FF9CA3AF"/>
      </top>
      <bottom style="thin">
        <color rgb="FF9CA3AF"/>
      </bottom>
      <diagonal/>
    </border>
    <border>
      <left/>
      <right/>
      <top style="medium">
        <color rgb="FF374151"/>
      </top>
      <bottom/>
      <diagonal/>
    </border>
    <border>
      <left/>
      <right style="medium">
        <color rgb="FF374151"/>
      </right>
      <top style="medium">
        <color rgb="FF374151"/>
      </top>
      <bottom/>
      <diagonal/>
    </border>
    <border>
      <left/>
      <right/>
      <top style="medium">
        <color rgb="FF374151"/>
      </top>
      <bottom style="medium">
        <color rgb="FF374151"/>
      </bottom>
      <diagonal/>
    </border>
    <border>
      <left/>
      <right style="medium">
        <color rgb="FF374151"/>
      </right>
      <top style="medium">
        <color rgb="FF374151"/>
      </top>
      <bottom style="medium">
        <color rgb="FF37415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horizontal="center" vertical="center"/>
    </xf>
    <xf numFmtId="2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9" fontId="11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5" fillId="4" borderId="3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bottom"/>
    </xf>
    <xf numFmtId="167" fontId="9" fillId="3" borderId="1" applyAlignment="1" pivotButton="0" quotePrefix="0" xfId="0">
      <alignment horizontal="left" vertical="center"/>
    </xf>
    <xf numFmtId="1" fontId="5" fillId="4" borderId="3" applyAlignment="1" pivotButton="0" quotePrefix="0" xfId="0">
      <alignment horizontal="center" vertical="center"/>
    </xf>
    <xf numFmtId="2" fontId="13" fillId="0" borderId="2" applyAlignment="1" pivotButton="0" quotePrefix="0" xfId="0">
      <alignment horizontal="center" vertical="bottom"/>
    </xf>
    <xf numFmtId="167" fontId="9" fillId="3" borderId="4" applyAlignment="1" pivotButton="0" quotePrefix="0" xfId="0">
      <alignment horizontal="left" vertical="center"/>
    </xf>
    <xf numFmtId="1" fontId="5" fillId="4" borderId="5" applyAlignment="1" pivotButton="0" quotePrefix="0" xfId="0">
      <alignment horizontal="center" vertical="center"/>
    </xf>
    <xf numFmtId="167" fontId="13" fillId="0" borderId="6" applyAlignment="1" pivotButton="0" quotePrefix="0" xfId="0">
      <alignment horizontal="left" vertical="center"/>
    </xf>
    <xf numFmtId="1" fontId="0" fillId="0" borderId="6" applyAlignment="1" pivotButton="0" quotePrefix="0" xfId="0">
      <alignment horizontal="center" vertical="bottom"/>
    </xf>
    <xf numFmtId="2" fontId="0" fillId="0" borderId="6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right" vertical="bottom"/>
    </xf>
    <xf numFmtId="1" fontId="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169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10" fontId="5" fillId="0" borderId="1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14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2" fontId="12" fillId="0" borderId="2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6" fontId="15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166" fontId="5" fillId="0" borderId="4" applyAlignment="1" pivotButton="0" quotePrefix="0" xfId="0">
      <alignment horizontal="center" vertical="center"/>
    </xf>
    <xf numFmtId="1" fontId="15" fillId="0" borderId="2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1" fontId="16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bottom"/>
    </xf>
    <xf numFmtId="164" fontId="16" fillId="0" borderId="2" applyAlignment="1" pivotButton="0" quotePrefix="0" xfId="0">
      <alignment horizontal="center" vertical="bottom"/>
    </xf>
    <xf numFmtId="167" fontId="5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general" vertical="bottom"/>
    </xf>
    <xf numFmtId="0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center" vertical="center"/>
    </xf>
    <xf numFmtId="0" fontId="5" fillId="0" borderId="8" applyAlignment="1" pivotButton="0" quotePrefix="0" xfId="0">
      <alignment horizontal="right" vertical="center"/>
    </xf>
    <xf numFmtId="165" fontId="1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right" vertical="center"/>
    </xf>
    <xf numFmtId="164" fontId="0" fillId="0" borderId="1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/>
    </xf>
    <xf numFmtId="164" fontId="18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2" fontId="18" fillId="0" borderId="1" applyAlignment="1" pivotButton="0" quotePrefix="0" xfId="0">
      <alignment horizontal="center" vertical="center"/>
    </xf>
    <xf numFmtId="1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166" fontId="18" fillId="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2" fontId="12" fillId="0" borderId="1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1" fontId="18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166" fontId="18" fillId="0" borderId="1" applyAlignment="1" pivotButton="0" quotePrefix="0" xfId="0">
      <alignment horizontal="left" vertical="center"/>
    </xf>
    <xf numFmtId="2" fontId="18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  <xf numFmtId="9" fontId="18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14" fillId="4" borderId="3" applyAlignment="1" pivotButton="0" quotePrefix="0" xfId="0">
      <alignment horizontal="center" vertical="center"/>
    </xf>
    <xf numFmtId="1" fontId="14" fillId="4" borderId="3" applyAlignment="1" pivotButton="0" quotePrefix="0" xfId="0">
      <alignment horizontal="center" vertical="center"/>
    </xf>
    <xf numFmtId="2" fontId="14" fillId="4" borderId="3" applyAlignment="1" pivotButton="0" quotePrefix="0" xfId="0">
      <alignment horizontal="center" vertical="center"/>
    </xf>
    <xf numFmtId="166" fontId="14" fillId="4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168" fontId="14" fillId="4" borderId="3" applyAlignment="1" pivotButton="0" quotePrefix="0" xfId="0">
      <alignment horizontal="center" vertical="center"/>
    </xf>
    <xf numFmtId="171" fontId="14" fillId="4" borderId="3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7" fontId="8" fillId="2" borderId="3" applyAlignment="1" pivotButton="0" quotePrefix="0" xfId="0">
      <alignment horizontal="left" vertical="center"/>
    </xf>
    <xf numFmtId="167" fontId="12" fillId="4" borderId="1" applyAlignment="1" pivotButton="0" quotePrefix="0" xfId="0">
      <alignment horizontal="left" vertical="center"/>
    </xf>
    <xf numFmtId="170" fontId="14" fillId="4" borderId="3" applyAlignment="1" pivotButton="0" quotePrefix="0" xfId="0">
      <alignment horizontal="center" vertical="center"/>
    </xf>
    <xf numFmtId="164" fontId="14" fillId="4" borderId="3" applyAlignment="1" pivotButton="0" quotePrefix="0" xfId="0">
      <alignment horizontal="center" vertical="center"/>
    </xf>
    <xf numFmtId="9" fontId="14" fillId="4" borderId="3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164" fontId="14" fillId="4" borderId="3" applyAlignment="1" pivotButton="0" quotePrefix="0" xfId="0">
      <alignment horizontal="center" vertical="center"/>
    </xf>
    <xf numFmtId="2" fontId="14" fillId="4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horizontal="center" vertical="center"/>
    </xf>
    <xf numFmtId="2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9" fontId="11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5" fillId="4" borderId="3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bottom"/>
    </xf>
    <xf numFmtId="0" fontId="0" fillId="0" borderId="15" pivotButton="0" quotePrefix="0" xfId="0"/>
    <xf numFmtId="167" fontId="9" fillId="3" borderId="1" applyAlignment="1" pivotButton="0" quotePrefix="0" xfId="0">
      <alignment horizontal="left" vertical="center"/>
    </xf>
    <xf numFmtId="1" fontId="5" fillId="4" borderId="3" applyAlignment="1" pivotButton="0" quotePrefix="0" xfId="0">
      <alignment horizontal="center" vertical="center"/>
    </xf>
    <xf numFmtId="2" fontId="13" fillId="0" borderId="2" applyAlignment="1" pivotButton="0" quotePrefix="0" xfId="0">
      <alignment horizontal="center" vertical="bottom"/>
    </xf>
    <xf numFmtId="0" fontId="0" fillId="0" borderId="18" pivotButton="0" quotePrefix="0" xfId="0"/>
    <xf numFmtId="167" fontId="9" fillId="3" borderId="4" applyAlignment="1" pivotButton="0" quotePrefix="0" xfId="0">
      <alignment horizontal="left" vertical="center"/>
    </xf>
    <xf numFmtId="1" fontId="5" fillId="4" borderId="5" applyAlignment="1" pivotButton="0" quotePrefix="0" xfId="0">
      <alignment horizontal="center" vertical="center"/>
    </xf>
    <xf numFmtId="167" fontId="13" fillId="0" borderId="6" applyAlignment="1" pivotButton="0" quotePrefix="0" xfId="0">
      <alignment horizontal="left" vertical="center"/>
    </xf>
    <xf numFmtId="1" fontId="0" fillId="0" borderId="6" applyAlignment="1" pivotButton="0" quotePrefix="0" xfId="0">
      <alignment horizontal="center" vertical="bottom"/>
    </xf>
    <xf numFmtId="2" fontId="0" fillId="0" borderId="6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1" fontId="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169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10" fontId="5" fillId="0" borderId="1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20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2" fontId="12" fillId="0" borderId="2" applyAlignment="1" pivotButton="0" quotePrefix="0" xfId="0">
      <alignment horizontal="center" vertical="center"/>
    </xf>
    <xf numFmtId="2" fontId="20" fillId="7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6" fontId="15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166" fontId="5" fillId="0" borderId="4" applyAlignment="1" pivotButton="0" quotePrefix="0" xfId="0">
      <alignment horizontal="center" vertical="center"/>
    </xf>
    <xf numFmtId="1" fontId="15" fillId="0" borderId="2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1" fontId="16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bottom"/>
    </xf>
    <xf numFmtId="164" fontId="16" fillId="0" borderId="2" applyAlignment="1" pivotButton="0" quotePrefix="0" xfId="0">
      <alignment horizontal="center" vertical="bottom"/>
    </xf>
    <xf numFmtId="167" fontId="5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general" vertical="bottom"/>
    </xf>
    <xf numFmtId="0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center" vertical="center"/>
    </xf>
    <xf numFmtId="0" fontId="5" fillId="0" borderId="8" applyAlignment="1" pivotButton="0" quotePrefix="0" xfId="0">
      <alignment horizontal="right" vertical="center"/>
    </xf>
    <xf numFmtId="165" fontId="1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right" vertical="center"/>
    </xf>
    <xf numFmtId="164" fontId="0" fillId="0" borderId="1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18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/>
    </xf>
    <xf numFmtId="164" fontId="20" fillId="7" borderId="1" applyAlignment="1" pivotButton="0" quotePrefix="0" xfId="0">
      <alignment horizontal="center" vertical="center"/>
    </xf>
    <xf numFmtId="2" fontId="18" fillId="0" borderId="1" applyAlignment="1" pivotButton="0" quotePrefix="0" xfId="0">
      <alignment horizontal="center" vertical="center"/>
    </xf>
    <xf numFmtId="1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166" fontId="18" fillId="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1" fontId="18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166" fontId="18" fillId="0" borderId="1" applyAlignment="1" pivotButton="0" quotePrefix="0" xfId="0">
      <alignment horizontal="left" vertical="center"/>
    </xf>
    <xf numFmtId="2" fontId="20" fillId="7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  <xf numFmtId="9" fontId="18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general" vertical="bottom"/>
    </xf>
    <xf numFmtId="167" fontId="14" fillId="4" borderId="3" applyAlignment="1" pivotButton="0" quotePrefix="0" xfId="0">
      <alignment horizontal="center" vertical="center"/>
    </xf>
    <xf numFmtId="1" fontId="14" fillId="4" borderId="3" applyAlignment="1" pivotButton="0" quotePrefix="0" xfId="0">
      <alignment horizontal="center" vertical="center"/>
    </xf>
    <xf numFmtId="2" fontId="14" fillId="4" borderId="3" applyAlignment="1" pivotButton="0" quotePrefix="0" xfId="0">
      <alignment horizontal="center" vertical="center"/>
    </xf>
    <xf numFmtId="166" fontId="14" fillId="4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168" fontId="14" fillId="4" borderId="3" applyAlignment="1" pivotButton="0" quotePrefix="0" xfId="0">
      <alignment horizontal="center" vertical="center"/>
    </xf>
    <xf numFmtId="171" fontId="14" fillId="4" borderId="3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7" fontId="8" fillId="2" borderId="3" applyAlignment="1" pivotButton="0" quotePrefix="0" xfId="0">
      <alignment horizontal="left" vertical="center"/>
    </xf>
    <xf numFmtId="0" fontId="0" fillId="0" borderId="22" pivotButton="0" quotePrefix="0" xfId="0"/>
    <xf numFmtId="0" fontId="0" fillId="0" borderId="23" pivotButton="0" quotePrefix="0" xfId="0"/>
    <xf numFmtId="167" fontId="12" fillId="4" borderId="1" applyAlignment="1" pivotButton="0" quotePrefix="0" xfId="0">
      <alignment horizontal="left" vertical="center"/>
    </xf>
    <xf numFmtId="170" fontId="14" fillId="4" borderId="3" applyAlignment="1" pivotButton="0" quotePrefix="0" xfId="0">
      <alignment horizontal="center" vertical="center"/>
    </xf>
    <xf numFmtId="164" fontId="14" fillId="4" borderId="3" applyAlignment="1" pivotButton="0" quotePrefix="0" xfId="0">
      <alignment horizontal="center" vertical="center"/>
    </xf>
    <xf numFmtId="9" fontId="14" fillId="4" borderId="3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2" fontId="14" fillId="4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0000"/>
      </font>
      <fill>
        <patternFill>
          <bgColor rgb="FFFFFF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ont>
        <b val="1"/>
        <color rgb="FFFFFFFF"/>
      </font>
      <fill>
        <patternFill>
          <bgColor rgb="FFF97316"/>
        </patternFill>
      </fill>
    </dxf>
    <dxf>
      <font>
        <b val="1"/>
        <color rgb="FFFFFFFF"/>
      </font>
      <fill>
        <patternFill>
          <bgColor rgb="FF00B050"/>
        </patternFill>
      </fill>
    </dxf>
    <dxf>
      <font>
        <b val="1"/>
        <color rgb="FF000000"/>
      </font>
      <fill>
        <patternFill>
          <bgColor rgb="FFFFFF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97316"/>
      <rgbColor rgb="FF4B5563"/>
      <rgbColor rgb="FF9CA3AF"/>
      <rgbColor rgb="FF003366"/>
      <rgbColor rgb="FF00B050"/>
      <rgbColor rgb="FF003300"/>
      <rgbColor rgb="FF333300"/>
      <rgbColor rgb="FF993300"/>
      <rgbColor rgb="FF993366"/>
      <rgbColor rgb="FF374151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1:M9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2" customWidth="1" style="146" min="1" max="1"/>
    <col width="37.14" customWidth="1" style="146" min="2" max="2"/>
    <col width="17.29" customWidth="1" style="146" min="3" max="4"/>
    <col width="13" customWidth="1" style="146" min="5" max="5"/>
    <col width="12" customWidth="1" style="146" min="6" max="6"/>
    <col width="13" customWidth="1" style="146" min="7" max="8"/>
    <col width="11.86" customWidth="1" style="146" min="9" max="9"/>
    <col width="27" customWidth="1" style="146" min="10" max="10"/>
    <col width="26" customWidth="1" style="146" min="11" max="13"/>
  </cols>
  <sheetData>
    <row r="1" ht="18.55" customHeight="1" s="147">
      <c r="B1" s="148" t="inlineStr">
        <is>
          <t xml:space="preserve"> UNDERWRITING TOOL</t>
        </is>
      </c>
    </row>
    <row r="2" ht="16.4" customHeight="1" s="147">
      <c r="B2" s="149" t="inlineStr">
        <is>
          <t>DECISION</t>
        </is>
      </c>
      <c r="C2" s="150">
        <f>C62</f>
        <v/>
      </c>
      <c r="D2" s="151" t="n"/>
    </row>
    <row r="3" ht="15" customHeight="1" s="147">
      <c r="B3" s="151" t="n"/>
    </row>
    <row r="4" ht="15" customHeight="1" s="147">
      <c r="B4" s="152" t="inlineStr">
        <is>
          <t>A.  OFFER</t>
        </is>
      </c>
      <c r="J4" s="152" t="inlineStr">
        <is>
          <t>MONEYBADGER CROSS-CHECK</t>
        </is>
      </c>
    </row>
    <row r="5" ht="15" customHeight="1" s="147">
      <c r="B5" s="153" t="inlineStr">
        <is>
          <t>Fund $</t>
        </is>
      </c>
      <c r="C5" s="153" t="inlineStr">
        <is>
          <t>Factor</t>
        </is>
      </c>
      <c r="D5" s="153">
        <f>IF($E$6="Weekly","Term (weeks)","Term (daily pmts)")</f>
        <v/>
      </c>
      <c r="E5" s="153" t="inlineStr">
        <is>
          <t>Freq</t>
        </is>
      </c>
      <c r="F5" s="153" t="inlineStr">
        <is>
          <t>Fee %</t>
        </is>
      </c>
      <c r="J5" s="153" t="inlineStr">
        <is>
          <t>Metric</t>
        </is>
      </c>
      <c r="K5" s="153" t="inlineStr">
        <is>
          <t>This tool</t>
        </is>
      </c>
      <c r="L5" s="153" t="inlineStr">
        <is>
          <t>MoneyBadger</t>
        </is>
      </c>
      <c r="M5" s="153" t="inlineStr">
        <is>
          <t>Diff</t>
        </is>
      </c>
    </row>
    <row r="6" ht="15" customHeight="1" s="147">
      <c r="B6" s="154" t="n">
        <v>40000</v>
      </c>
      <c r="C6" s="155" t="n">
        <v>1.45</v>
      </c>
      <c r="D6" s="156" t="n">
        <v>24</v>
      </c>
      <c r="E6" s="157" t="inlineStr">
        <is>
          <t>Weekly</t>
        </is>
      </c>
      <c r="F6" s="158" t="n">
        <v>0.05</v>
      </c>
      <c r="J6" s="159">
        <f>IF($E$6="Weekly","Weekly remittance","Daily remittance")</f>
        <v/>
      </c>
      <c r="K6" s="160">
        <f>IF(OR($E$6="",C8="",C24=0),"",IF($E$6="Weekly",D8,C8))</f>
        <v/>
      </c>
      <c r="L6" s="160">
        <f>IF(OR(L7="",C24=0),"",L7*C24/IF($E$6="Weekly",$L$8,$L$9))</f>
        <v/>
      </c>
      <c r="M6" s="161">
        <f>IF(OR(K6="",L6=""),"",L6-K6)</f>
        <v/>
      </c>
    </row>
    <row r="7" ht="15" customHeight="1" s="147">
      <c r="B7" s="153" t="inlineStr">
        <is>
          <t>Payback</t>
        </is>
      </c>
      <c r="C7" s="153" t="inlineStr">
        <is>
          <t>Daily $</t>
        </is>
      </c>
      <c r="D7" s="153" t="inlineStr">
        <is>
          <t>Weekly $</t>
        </is>
      </c>
      <c r="E7" s="153" t="inlineStr">
        <is>
          <t>Monthly $</t>
        </is>
      </c>
      <c r="F7" s="153" t="inlineStr">
        <is>
          <t>Term (mo)</t>
        </is>
      </c>
      <c r="G7" s="153" t="inlineStr">
        <is>
          <t>Net $</t>
        </is>
      </c>
      <c r="J7" s="159" t="inlineStr">
        <is>
          <t>Holdback %</t>
        </is>
      </c>
      <c r="K7" s="162">
        <f>IF(OR(D8="",C24=0),"",E8/C24)</f>
        <v/>
      </c>
      <c r="L7" s="162">
        <f>IF(OR($E$6="",C8="",C24=0),"",ROUND(IF($E$6="Weekly",D8*$L$8,C8*$L$9)/C24*100,2)/100)</f>
        <v/>
      </c>
      <c r="M7" s="163">
        <f>IF(OR(K7="",L7=""),"",L7-K7)</f>
        <v/>
      </c>
    </row>
    <row r="8" ht="15" customHeight="1" s="147">
      <c r="B8" s="164">
        <f>IF(OR(B6="",C6=""),"",B6*C6)</f>
        <v/>
      </c>
      <c r="C8" s="165">
        <f>IF(OR(B8="",D6="",D6=0),"",IF(E6="Weekly",(B8/D6)/5,B8/D6))</f>
        <v/>
      </c>
      <c r="D8" s="165">
        <f>IF(C8="","",C8*5)</f>
        <v/>
      </c>
      <c r="E8" s="164">
        <f>IF(C8="","",C8*$K$9)</f>
        <v/>
      </c>
      <c r="F8" s="166">
        <f>IF(OR(D6="",D6=0),"",IF(E6="Weekly",D6,D6/5)/($K$9/5))</f>
        <v/>
      </c>
      <c r="G8" s="164">
        <f>IF(B6="","",B6-(B6*F6))</f>
        <v/>
      </c>
      <c r="J8" s="159" t="inlineStr">
        <is>
          <t>Weeks / month</t>
        </is>
      </c>
      <c r="K8" s="167" t="n">
        <v>4.331</v>
      </c>
      <c r="L8" s="167" t="n">
        <v>4</v>
      </c>
      <c r="M8" s="168">
        <f>IF(OR(K8="",L8=""),"",L8-K8)</f>
        <v/>
      </c>
    </row>
    <row r="9" ht="15" customHeight="1" s="147">
      <c r="J9" s="159" t="inlineStr">
        <is>
          <t>Days / month</t>
        </is>
      </c>
      <c r="K9" s="167" t="n">
        <v>21.655</v>
      </c>
      <c r="L9" s="167" t="n">
        <v>21</v>
      </c>
      <c r="M9" s="168">
        <f>IF(OR(K9="",L9=""),"",L9-K9)</f>
        <v/>
      </c>
    </row>
    <row r="10" ht="15" customHeight="1" s="147">
      <c r="B10" s="152" t="inlineStr">
        <is>
          <t xml:space="preserve">B.  BANK DATA  </t>
        </is>
      </c>
    </row>
    <row r="11" ht="15" customHeight="1" s="147">
      <c r="B11" s="153" t="inlineStr">
        <is>
          <t>Month - NEWEST FIRST</t>
        </is>
      </c>
      <c r="C11" s="153" t="inlineStr">
        <is>
          <t>True rev $</t>
        </is>
      </c>
      <c r="D11" s="153" t="inlineStr">
        <is>
          <t>Avg daily bal $</t>
        </is>
      </c>
      <c r="E11" s="153" t="inlineStr">
        <is>
          <t>Neg days</t>
        </is>
      </c>
      <c r="F11" s="153" t="inlineStr">
        <is>
          <t>NSFs</t>
        </is>
      </c>
      <c r="G11" s="153" t="inlineStr">
        <is>
          <t>MoM %</t>
        </is>
      </c>
      <c r="J11" s="152" t="inlineStr">
        <is>
          <t xml:space="preserve">DEAL PROFILE  </t>
        </is>
      </c>
    </row>
    <row r="12" ht="15" customHeight="1" s="147">
      <c r="B12" s="169" t="inlineStr">
        <is>
          <t>Aug</t>
        </is>
      </c>
      <c r="C12" s="170" t="n">
        <v>88000</v>
      </c>
      <c r="D12" s="170" t="n">
        <v>7400</v>
      </c>
      <c r="E12" s="171" t="n">
        <v>0</v>
      </c>
      <c r="F12" s="171" t="n">
        <v>0</v>
      </c>
      <c r="G12" s="172">
        <f>IF(OR(C12="",C13=""),"",(C12-C13)/C13)</f>
        <v/>
      </c>
      <c r="J12" s="173" t="inlineStr">
        <is>
          <t>ISO</t>
        </is>
      </c>
      <c r="K12" s="174" t="inlineStr">
        <is>
          <t>Fundwell</t>
        </is>
      </c>
      <c r="L12" s="175">
        <f>IF(K12="","",COUNTIF('Historical Data'!$K$2:$K$9,K12)&amp;" deals in book")</f>
        <v/>
      </c>
      <c r="M12" s="176" t="n"/>
    </row>
    <row r="13" ht="15" customHeight="1" s="147">
      <c r="B13" s="169" t="inlineStr">
        <is>
          <t>Jul</t>
        </is>
      </c>
      <c r="C13" s="170" t="n">
        <v>84000</v>
      </c>
      <c r="D13" s="170" t="n">
        <v>6900</v>
      </c>
      <c r="E13" s="171" t="n">
        <v>0</v>
      </c>
      <c r="F13" s="171" t="n">
        <v>1</v>
      </c>
      <c r="G13" s="172">
        <f>IF(OR(C13="",C14=""),"",(C13-C14)/C14)</f>
        <v/>
      </c>
      <c r="J13" s="177" t="inlineStr">
        <is>
          <t>Industry</t>
        </is>
      </c>
      <c r="K13" s="178" t="inlineStr">
        <is>
          <t>Eating &amp; Drinking Places</t>
        </is>
      </c>
      <c r="L13" s="179">
        <f>IF(K13="","",COUNTIF('Historical Data'!$Y$2:$Y$9,K13)&amp;" deals in book")</f>
        <v/>
      </c>
      <c r="M13" s="180" t="n"/>
    </row>
    <row r="14" ht="15" customHeight="1" s="147">
      <c r="B14" s="169" t="inlineStr">
        <is>
          <t>Jun</t>
        </is>
      </c>
      <c r="C14" s="170" t="n">
        <v>91000</v>
      </c>
      <c r="D14" s="170" t="n">
        <v>8100</v>
      </c>
      <c r="E14" s="171" t="n">
        <v>0</v>
      </c>
      <c r="F14" s="171" t="n">
        <v>0</v>
      </c>
      <c r="G14" s="172">
        <f>IF(OR(C14="",C15=""),"",(C14-C15)/C15)</f>
        <v/>
      </c>
      <c r="J14" s="177" t="inlineStr">
        <is>
          <t>New deal or renewal</t>
        </is>
      </c>
      <c r="K14" s="178" t="inlineStr">
        <is>
          <t>New Deal</t>
        </is>
      </c>
      <c r="L14" s="179" t="n"/>
      <c r="M14" s="180" t="n"/>
    </row>
    <row r="15" ht="15" customHeight="1" s="147">
      <c r="B15" s="169" t="inlineStr">
        <is>
          <t>May</t>
        </is>
      </c>
      <c r="C15" s="170" t="n">
        <v>82000</v>
      </c>
      <c r="D15" s="170" t="n">
        <v>6500</v>
      </c>
      <c r="E15" s="171" t="n">
        <v>1</v>
      </c>
      <c r="F15" s="171" t="n">
        <v>0</v>
      </c>
      <c r="G15" s="172">
        <f>IF(OR(C15="",C16=""),"",(C15-C16)/C16)</f>
        <v/>
      </c>
      <c r="J15" s="181" t="inlineStr">
        <is>
          <t>Credit score</t>
        </is>
      </c>
      <c r="K15" s="182" t="n">
        <v>672</v>
      </c>
      <c r="L15" s="179">
        <f>IF(K15="","",IF(K15&gt;=D45,"GREEN",IF(K15&gt;=E45,"YELLOW","RED")))</f>
        <v/>
      </c>
      <c r="M15" s="180" t="n"/>
    </row>
    <row r="16" ht="15" customHeight="1" s="147">
      <c r="B16" s="169" t="n"/>
      <c r="C16" s="170" t="n"/>
      <c r="D16" s="170" t="n"/>
      <c r="E16" s="171" t="n"/>
      <c r="F16" s="171" t="n"/>
      <c r="G16" s="172">
        <f>IF(OR(C16="",C17=""),"",(C16-C17)/C17)</f>
        <v/>
      </c>
      <c r="J16" s="183" t="n"/>
      <c r="K16" s="184" t="n"/>
      <c r="L16" s="185" t="n"/>
      <c r="M16" s="146" t="n"/>
    </row>
    <row r="17" ht="15" customHeight="1" s="147">
      <c r="B17" s="169" t="n"/>
      <c r="C17" s="170" t="n"/>
      <c r="D17" s="170" t="n"/>
      <c r="E17" s="171" t="n"/>
      <c r="F17" s="171" t="n"/>
      <c r="G17" s="172">
        <f>IF(OR(C17="",C18=""),"",(C17-C18)/C18)</f>
        <v/>
      </c>
      <c r="J17" s="186" t="n"/>
      <c r="K17" s="187" t="n"/>
      <c r="L17" s="146" t="n"/>
      <c r="M17" s="146" t="n"/>
    </row>
    <row r="18" ht="15" customHeight="1" s="147">
      <c r="B18" s="169" t="n"/>
      <c r="C18" s="170" t="n"/>
      <c r="D18" s="170" t="n"/>
      <c r="E18" s="171" t="n"/>
      <c r="F18" s="171" t="n"/>
      <c r="G18" s="172">
        <f>IF(OR(C18="",C19=""),"",(C18-C19)/C19)</f>
        <v/>
      </c>
      <c r="J18" s="188" t="n"/>
    </row>
    <row r="19" ht="15" customHeight="1" s="147">
      <c r="B19" s="169" t="n"/>
      <c r="C19" s="170" t="n"/>
      <c r="D19" s="170" t="n"/>
      <c r="E19" s="171" t="n"/>
      <c r="F19" s="171" t="n"/>
      <c r="G19" s="172">
        <f>IF(OR(C19="",C20=""),"",(C19-C20)/C20)</f>
        <v/>
      </c>
    </row>
    <row r="20" ht="15" customHeight="1" s="147">
      <c r="B20" s="169" t="n"/>
      <c r="C20" s="170" t="n"/>
      <c r="D20" s="170" t="n"/>
      <c r="E20" s="171" t="n"/>
      <c r="F20" s="171" t="n"/>
      <c r="G20" s="172">
        <f>IF(OR(C20="",C21=""),"",(C20-C21)/C21)</f>
        <v/>
      </c>
    </row>
    <row r="21" ht="15.75" customHeight="1" s="147">
      <c r="B21" s="169" t="n"/>
      <c r="C21" s="170" t="n"/>
      <c r="D21" s="170" t="n"/>
      <c r="E21" s="171" t="n"/>
      <c r="F21" s="171" t="n"/>
      <c r="G21" s="172">
        <f>IF(OR(C21="",C22=""),"",(C21-C22)/C22)</f>
        <v/>
      </c>
    </row>
    <row r="22" ht="15.75" customHeight="1" s="147">
      <c r="B22" s="169" t="n"/>
      <c r="C22" s="170" t="n"/>
      <c r="D22" s="170" t="n"/>
      <c r="E22" s="171" t="n"/>
      <c r="F22" s="171" t="n"/>
      <c r="G22" s="172">
        <f>IF(OR(C22="",C23=""),"",(C22-C23)/C23)</f>
        <v/>
      </c>
    </row>
    <row r="23" ht="15.75" customHeight="1" s="147">
      <c r="B23" s="169" t="n"/>
      <c r="C23" s="170" t="n"/>
      <c r="D23" s="170" t="n"/>
      <c r="E23" s="171" t="n"/>
      <c r="F23" s="171" t="n"/>
      <c r="G23" s="189" t="n"/>
    </row>
    <row r="24" ht="15.75" customHeight="1" s="147">
      <c r="B24" s="190" t="inlineStr">
        <is>
          <t>AVG / TOTAL (months entered)</t>
        </is>
      </c>
      <c r="C24" s="191">
        <f>IF(COUNT(C12:C23)=0,0,AVERAGE(C12:C23))</f>
        <v/>
      </c>
      <c r="D24" s="191">
        <f>IF(COUNT(D12:D23)=0,0,AVERAGE(D12:D23))</f>
        <v/>
      </c>
      <c r="E24" s="192">
        <f>SUM(E12:E23)</f>
        <v/>
      </c>
      <c r="F24" s="192">
        <f>SUM(F12:F23)</f>
        <v/>
      </c>
      <c r="G24" s="193">
        <f>IFERROR(AVERAGE(G12:G22),"")</f>
        <v/>
      </c>
    </row>
    <row r="25" ht="15.75" customHeight="1" s="147"/>
    <row r="26" ht="15.75" customHeight="1" s="147">
      <c r="B26" s="152" t="inlineStr">
        <is>
          <t xml:space="preserve">EXISTING POSITIONS  </t>
        </is>
      </c>
    </row>
    <row r="27" ht="15.75" customHeight="1" s="147">
      <c r="B27" s="153" t="inlineStr">
        <is>
          <t>Funder</t>
        </is>
      </c>
      <c r="C27" s="153" t="inlineStr">
        <is>
          <t>Funded $</t>
        </is>
      </c>
      <c r="D27" s="153" t="inlineStr">
        <is>
          <t>Payment</t>
        </is>
      </c>
      <c r="E27" s="153" t="inlineStr">
        <is>
          <t>Freq</t>
        </is>
      </c>
      <c r="F27" s="153" t="inlineStr">
        <is>
          <t>Daily equiv</t>
        </is>
      </c>
      <c r="G27" s="153" t="inlineStr">
        <is>
          <t>Start Date</t>
        </is>
      </c>
      <c r="H27" s="153" t="inlineStr">
        <is>
          <t>Est Term</t>
        </is>
      </c>
      <c r="I27" s="153" t="inlineStr">
        <is>
          <t>Est term (mo)</t>
        </is>
      </c>
      <c r="J27" s="153" t="inlineStr">
        <is>
          <t>Mo. remaining</t>
        </is>
      </c>
    </row>
    <row r="28" ht="15.75" customHeight="1" s="147">
      <c r="B28" s="194" t="n"/>
      <c r="C28" s="170" t="n">
        <v>100000</v>
      </c>
      <c r="D28" s="170" t="n">
        <v>3000</v>
      </c>
      <c r="E28" s="169" t="inlineStr">
        <is>
          <t>Weekly</t>
        </is>
      </c>
      <c r="F28" s="160">
        <f>IF(D28&lt;&gt;"",IF(E28="Daily",D28,IF(E28="Weekly",D28/5,D28/$K$9)),IF(C28="","",C28*Controls!$B$17/(Controls!$B$9*$K$9)))</f>
        <v/>
      </c>
      <c r="G28" s="195" t="n">
        <v>46127</v>
      </c>
      <c r="H28" s="196">
        <f>IF(OR(C28="",D28=""),"",ROUND(C28*Controls!$B$17/D28,0))</f>
        <v/>
      </c>
      <c r="I28" s="196">
        <f>IF(H28="","",H28/IF(E28="Daily",$K$9,IF(E28="Weekly",$K$9/5,1)))</f>
        <v/>
      </c>
      <c r="J28" s="196">
        <f>IF(OR(I28="",G28=""),"",MAX(0,I28-(TODAY()-G28)/Controls!$B$16))</f>
        <v/>
      </c>
    </row>
    <row r="29" ht="15.75" customHeight="1" s="147">
      <c r="B29" s="194" t="n"/>
      <c r="C29" s="170" t="n"/>
      <c r="D29" s="170" t="n"/>
      <c r="E29" s="169" t="inlineStr">
        <is>
          <t>Weekly</t>
        </is>
      </c>
      <c r="F29" s="160">
        <f>IF(D29&lt;&gt;"",IF(E29="Daily",D29,IF(E29="Weekly",D29/5,D29/$K$9)),IF(C29="","",C29*Controls!$B$17/(Controls!$B$9*$K$9)))</f>
        <v/>
      </c>
      <c r="G29" s="195" t="n"/>
      <c r="H29" s="195">
        <f>IF(OR(C29="",D29=""),"",ROUND(C29*Controls!$B$17/D29,0))</f>
        <v/>
      </c>
      <c r="I29" s="189">
        <f>IF(H29="","",H29/IF(E29="Daily",$K$9,IF(E29="Weekly",$K$9/5,1)))</f>
        <v/>
      </c>
      <c r="J29" s="195">
        <f>IF(OR(I29="",G29=""),"",MAX(0,I29-(TODAY()-G29)/Controls!$B$16))</f>
        <v/>
      </c>
    </row>
    <row r="30" ht="15.75" customHeight="1" s="147">
      <c r="B30" s="194" t="n"/>
      <c r="C30" s="170" t="n"/>
      <c r="D30" s="170" t="n"/>
      <c r="E30" s="169" t="inlineStr">
        <is>
          <t>Weekly</t>
        </is>
      </c>
      <c r="F30" s="160">
        <f>IF(D30&lt;&gt;"",IF(E30="Daily",D30,IF(E30="Weekly",D30/5,D30/$K$9)),IF(C30="","",C30*Controls!$B$17/(Controls!$B$9*$K$9)))</f>
        <v/>
      </c>
      <c r="G30" s="195" t="n"/>
      <c r="H30" s="195">
        <f>IF(OR(C30="",D30=""),"",ROUND(C30*Controls!$B$17/D30,0))</f>
        <v/>
      </c>
      <c r="I30" s="189">
        <f>IF(H30="","",H30/IF(E30="Daily",$K$9,IF(E30="Weekly",$K$9/5,1)))</f>
        <v/>
      </c>
      <c r="J30" s="195">
        <f>IF(OR(I30="",G30=""),"",MAX(0,I30-(TODAY()-G30)/Controls!$B$16))</f>
        <v/>
      </c>
    </row>
    <row r="31" ht="15.75" customHeight="1" s="147">
      <c r="B31" s="194" t="n"/>
      <c r="C31" s="170" t="n"/>
      <c r="D31" s="170" t="n"/>
      <c r="E31" s="169" t="inlineStr">
        <is>
          <t>Weekly</t>
        </is>
      </c>
      <c r="F31" s="160">
        <f>IF(D31&lt;&gt;"",IF(E31="Daily",D31,IF(E31="Weekly",D31/5,D31/$K$9)),IF(C31="","",C31*Controls!$B$17/(Controls!$B$9*$K$9)))</f>
        <v/>
      </c>
      <c r="G31" s="195" t="n"/>
      <c r="H31" s="195">
        <f>IF(OR(C31="",D31=""),"",ROUND(C31*Controls!$B$17/D31,0))</f>
        <v/>
      </c>
      <c r="I31" s="189">
        <f>IF(H31="","",H31/IF(E31="Daily",$K$9,IF(E31="Weekly",$K$9/5,1)))</f>
        <v/>
      </c>
      <c r="J31" s="195">
        <f>IF(OR(I31="",G31=""),"",MAX(0,I31-(TODAY()-G31)/Controls!$B$16))</f>
        <v/>
      </c>
    </row>
    <row r="32" ht="15.75" customHeight="1" s="147">
      <c r="B32" s="194" t="n"/>
      <c r="C32" s="170" t="n"/>
      <c r="D32" s="170" t="n"/>
      <c r="E32" s="169" t="inlineStr">
        <is>
          <t>Weekly</t>
        </is>
      </c>
      <c r="F32" s="160">
        <f>IF(D32&lt;&gt;"",IF(E32="Daily",D32,IF(E32="Weekly",D32/5,D32/$K$9)),IF(C32="","",C32*Controls!$B$17/(Controls!$B$9*$K$9)))</f>
        <v/>
      </c>
      <c r="G32" s="195" t="n"/>
      <c r="H32" s="195">
        <f>IF(OR(C32="",D32=""),"",ROUND(C32*Controls!$B$17/D32,0))</f>
        <v/>
      </c>
      <c r="I32" s="189">
        <f>IF(H32="","",H32/IF(E32="Daily",$K$9,IF(E32="Weekly",$K$9/5,1)))</f>
        <v/>
      </c>
      <c r="J32" s="195">
        <f>IF(OR(I32="",G32=""),"",MAX(0,I32-(TODAY()-G32)/Controls!$B$16))</f>
        <v/>
      </c>
    </row>
    <row r="33" ht="15.75" customHeight="1" s="147">
      <c r="B33" s="194" t="n"/>
      <c r="C33" s="170" t="n"/>
      <c r="D33" s="170" t="n"/>
      <c r="E33" s="169" t="inlineStr">
        <is>
          <t>Weekly</t>
        </is>
      </c>
      <c r="F33" s="160">
        <f>IF(D33&lt;&gt;"",IF(E33="Daily",D33,IF(E33="Weekly",D33/5,D33/$K$9)),IF(C33="","",C33*Controls!$B$17/(Controls!$B$9*$K$9)))</f>
        <v/>
      </c>
      <c r="G33" s="195" t="n"/>
      <c r="H33" s="195">
        <f>IF(OR(C33="",D33=""),"",ROUND(C33*Controls!$B$17/D33,0))</f>
        <v/>
      </c>
      <c r="I33" s="189">
        <f>IF(H33="","",H33/IF(E33="Daily",$K$9,IF(E33="Weekly",$K$9/5,1)))</f>
        <v/>
      </c>
      <c r="J33" s="195">
        <f>IF(OR(I33="",G33=""),"",MAX(0,I33-(TODAY()-G33)/Controls!$B$16))</f>
        <v/>
      </c>
    </row>
    <row r="34" ht="15.75" customHeight="1" s="147">
      <c r="B34" s="197" t="inlineStr">
        <is>
          <t>Positions (excl. Monthly)</t>
        </is>
      </c>
      <c r="C34" s="192">
        <f>SUMPRODUCT(((C28:C33&lt;&gt;"")+(D28:D33&lt;&gt;"")&gt;0)*(E28:E33&lt;&gt;"Monthly"))</f>
        <v/>
      </c>
      <c r="D34" s="197" t="inlineStr">
        <is>
          <t>Total existing daily</t>
        </is>
      </c>
      <c r="E34" s="198">
        <f>SUM(F28:F33)</f>
        <v/>
      </c>
      <c r="F34" s="191">
        <f>E34*$K$9</f>
        <v/>
      </c>
      <c r="G34" s="151" t="inlineStr">
        <is>
          <t>/month</t>
        </is>
      </c>
    </row>
    <row r="35" ht="15.75" customHeight="1" s="147">
      <c r="E35" s="199" t="n"/>
    </row>
    <row r="36" ht="15.75" customHeight="1" s="147">
      <c r="B36" s="152" t="inlineStr">
        <is>
          <t>C.  METRICS</t>
        </is>
      </c>
    </row>
    <row r="37" ht="15.75" customHeight="1" s="147">
      <c r="B37" s="153" t="inlineStr">
        <is>
          <t>Metric</t>
        </is>
      </c>
      <c r="C37" s="153" t="inlineStr">
        <is>
          <t>Value</t>
        </is>
      </c>
      <c r="D37" s="153" t="inlineStr">
        <is>
          <t>Green</t>
        </is>
      </c>
      <c r="E37" s="153" t="inlineStr">
        <is>
          <t>Red</t>
        </is>
      </c>
      <c r="F37" s="153" t="inlineStr">
        <is>
          <t>Status</t>
        </is>
      </c>
      <c r="G37" s="153" t="inlineStr">
        <is>
          <t>Knockout</t>
        </is>
      </c>
      <c r="H37" s="153" t="inlineStr">
        <is>
          <t>Sizing line</t>
        </is>
      </c>
    </row>
    <row r="38" ht="15.75" customHeight="1" s="147">
      <c r="B38" s="159" t="inlineStr">
        <is>
          <t>Total LVG (all debt / rev)</t>
        </is>
      </c>
      <c r="C38" s="200">
        <f>IF(C24=0,"",(E34+IF(C8="",0,C8))*$K$9/C24)</f>
        <v/>
      </c>
      <c r="D38" s="201" t="n">
        <v>0.3</v>
      </c>
      <c r="E38" s="201" t="n">
        <v>0.45</v>
      </c>
      <c r="F38" s="202">
        <f>IF(C38="","",IF(C38&gt;=G38,"KNOCKOUT",IF(C38&lt;=D38,"GREEN",IF(C38&gt;=E38,"RED","YELLOW"))))</f>
        <v/>
      </c>
      <c r="G38" s="201" t="n">
        <v>0.55</v>
      </c>
      <c r="H38" s="203">
        <f>D38+'Historical Score'!$C$35*(E38-D38)</f>
        <v/>
      </c>
    </row>
    <row r="39" ht="15.75" customHeight="1" s="147">
      <c r="B39" s="159" t="inlineStr">
        <is>
          <t>New holdback SP%</t>
        </is>
      </c>
      <c r="C39" s="200">
        <f>IF(OR(C24=0,E8=""),"",E8/C24)</f>
        <v/>
      </c>
      <c r="D39" s="201" t="n">
        <v>0.18</v>
      </c>
      <c r="E39" s="201" t="n">
        <v>0.25</v>
      </c>
      <c r="F39" s="202">
        <f>IF(C39="","",IF(C39&gt;=G39,"KNOCKOUT",IF(C39&lt;=D39,"GREEN",IF(C39&gt;=E39,"RED","YELLOW"))))</f>
        <v/>
      </c>
      <c r="G39" s="201" t="n">
        <v>0.35</v>
      </c>
      <c r="H39" s="203">
        <f>D39+'Historical Score'!$C$35*(E39-D39)</f>
        <v/>
      </c>
    </row>
    <row r="40" ht="15.75" customHeight="1" s="147">
      <c r="B40" s="159" t="inlineStr">
        <is>
          <t>Daily debt / balance</t>
        </is>
      </c>
      <c r="C40" s="200">
        <f>IF(D24=0,"",(E34+IF(C8="",0,C8))/D24)</f>
        <v/>
      </c>
      <c r="D40" s="201" t="n">
        <v>0.18</v>
      </c>
      <c r="E40" s="201" t="n">
        <v>0.3</v>
      </c>
      <c r="F40" s="202">
        <f>IF(C40="","",IF(C40&gt;=G40,"KNOCKOUT",IF(C40&lt;=D40,"GREEN",IF(C40&gt;=E40,"RED","YELLOW"))))</f>
        <v/>
      </c>
      <c r="G40" s="201" t="n">
        <v>0.35</v>
      </c>
      <c r="H40" s="203">
        <f>D40+'Historical Score'!$C$35*(E40-D40)</f>
        <v/>
      </c>
    </row>
    <row r="41" ht="15.75" customHeight="1" s="147">
      <c r="B41" s="159" t="inlineStr">
        <is>
          <t>Fund / revenue</t>
        </is>
      </c>
      <c r="C41" s="204">
        <f>IF(OR(C24=0,B6=""),"",B6/C24)</f>
        <v/>
      </c>
      <c r="D41" s="205" t="n">
        <v>0.6</v>
      </c>
      <c r="E41" s="205" t="n">
        <v>0.9</v>
      </c>
      <c r="F41" s="202">
        <f>IF(C41="","",IF(C41&gt;=G41,"KNOCKOUT",IF(C41&lt;=D41,"GREEN",IF(C41&gt;=E41,"RED","YELLOW"))))</f>
        <v/>
      </c>
      <c r="G41" s="205" t="n">
        <v>1.25</v>
      </c>
      <c r="H41" s="206">
        <f>D41+'Historical Score'!$C$35*(E41-D41)</f>
        <v/>
      </c>
    </row>
    <row r="42" ht="15.75" customHeight="1" s="147">
      <c r="B42" s="159" t="inlineStr">
        <is>
          <t># positions (incl. new)</t>
        </is>
      </c>
      <c r="C42" s="207">
        <f>IF(C24=0,"",C34+1)</f>
        <v/>
      </c>
      <c r="D42" s="208" t="n">
        <v>2</v>
      </c>
      <c r="E42" s="208" t="n">
        <v>5</v>
      </c>
      <c r="F42" s="202">
        <f>IF(C42="","",IF(C42&gt;=G42,"KNOCKOUT",IF(C42&lt;=D42,"GREEN",IF(C42&gt;=E42,"RED","YELLOW"))))</f>
        <v/>
      </c>
      <c r="G42" s="208" t="n">
        <v>6</v>
      </c>
    </row>
    <row r="43" ht="15.75" customHeight="1" s="147">
      <c r="B43" s="159" t="inlineStr">
        <is>
          <t>Revenue trend (avg MoM)</t>
        </is>
      </c>
      <c r="C43" s="163">
        <f>G24</f>
        <v/>
      </c>
      <c r="D43" s="201" t="n">
        <v>-0.05</v>
      </c>
      <c r="E43" s="201" t="n">
        <v>-0.15</v>
      </c>
      <c r="F43" s="202">
        <f>IF(C24=0,"",IF(NOT(ISNUMBER(C43)),"YELLOW",IF(C43&lt;=G43,"KNOCKOUT",IF(C43&gt;=D43,"GREEN",IF(C43&lt;=E43,"RED","YELLOW")))))</f>
        <v/>
      </c>
      <c r="G43" s="201" t="n">
        <v>-0.3</v>
      </c>
    </row>
    <row r="44" ht="15.75" customHeight="1" s="147">
      <c r="B44" s="159" t="inlineStr">
        <is>
          <t>Neg days + NSFs (total)</t>
        </is>
      </c>
      <c r="C44" s="207">
        <f>E24+F24</f>
        <v/>
      </c>
      <c r="D44" s="208" t="n">
        <v>1</v>
      </c>
      <c r="E44" s="208" t="n">
        <v>6</v>
      </c>
      <c r="F44" s="202">
        <f>IF(C44="","",IF(C44&gt;=G44,"KNOCKOUT",IF(C44&lt;=D44,"GREEN",IF(C44&gt;=E44,"RED","YELLOW"))))</f>
        <v/>
      </c>
      <c r="G44" s="208" t="n">
        <v>10</v>
      </c>
    </row>
    <row r="45" ht="15.75" customHeight="1" s="147">
      <c r="B45" s="159" t="inlineStr">
        <is>
          <t>Credit score (FICO)</t>
        </is>
      </c>
      <c r="C45" s="207">
        <f>IF(K15="","",K15)</f>
        <v/>
      </c>
      <c r="D45" s="208" t="n">
        <v>650</v>
      </c>
      <c r="E45" s="208" t="n">
        <v>630</v>
      </c>
      <c r="F45" s="202">
        <f>IF(C45="","",IF(AND(G45&lt;&gt;0,C45&lt;=G45),"KNOCKOUT",IF(C45&gt;=D45,"GREEN",IF(C45&lt;E45,"RED","YELLOW"))))</f>
        <v/>
      </c>
      <c r="G45" s="208" t="n">
        <v>0</v>
      </c>
    </row>
    <row r="46" ht="15.75" customHeight="1" s="147">
      <c r="B46" s="159" t="inlineStr">
        <is>
          <t>Existing leverage (before new)</t>
        </is>
      </c>
      <c r="C46" s="163">
        <f>IF(C24=0,"",F34/C24)</f>
        <v/>
      </c>
      <c r="D46" s="209" t="inlineStr">
        <is>
          <t>-</t>
        </is>
      </c>
      <c r="E46" s="209" t="inlineStr">
        <is>
          <t>-</t>
        </is>
      </c>
      <c r="F46" s="210" t="inlineStr">
        <is>
          <t>INFO</t>
        </is>
      </c>
    </row>
    <row r="47" ht="15.75" customHeight="1" s="147">
      <c r="B47" s="159" t="inlineStr">
        <is>
          <t>Balance / revenue</t>
        </is>
      </c>
      <c r="C47" s="163">
        <f>IF(C24=0,"",D24/C24)</f>
        <v/>
      </c>
      <c r="D47" s="209" t="inlineStr">
        <is>
          <t>-</t>
        </is>
      </c>
      <c r="E47" s="209" t="inlineStr">
        <is>
          <t>-</t>
        </is>
      </c>
      <c r="F47" s="210" t="inlineStr">
        <is>
          <t>INFO</t>
        </is>
      </c>
    </row>
    <row r="48" ht="15.75" customHeight="1" s="147"/>
    <row r="49" ht="15.75" customHeight="1" s="147">
      <c r="B49" s="152" t="inlineStr">
        <is>
          <t>C2.  HOUSE-BOOK INDICATORS   (set the sizing line + modifier; NOT counted in the cash-flow score)</t>
        </is>
      </c>
    </row>
    <row r="50" ht="15.75" customHeight="1" s="147">
      <c r="B50" s="153" t="inlineStr">
        <is>
          <t>Cohort</t>
        </is>
      </c>
      <c r="C50" s="153" t="inlineStr">
        <is>
          <t>Principal lost rate</t>
        </is>
      </c>
      <c r="D50" s="153" t="inlineStr">
        <is>
          <t>Green &lt;=</t>
        </is>
      </c>
      <c r="E50" s="153" t="inlineStr">
        <is>
          <t>Red &gt;</t>
        </is>
      </c>
      <c r="F50" s="153" t="inlineStr">
        <is>
          <t>Status</t>
        </is>
      </c>
      <c r="G50" s="153" t="inlineStr">
        <is>
          <t>Seasoned Deals</t>
        </is>
      </c>
      <c r="H50" s="153" t="inlineStr">
        <is>
          <t>Return on funded</t>
        </is>
      </c>
    </row>
    <row r="51" ht="15.75" customHeight="1" s="147">
      <c r="B51" s="159">
        <f>"Primary cohort: "&amp;'Historical Score'!$C$29</f>
        <v/>
      </c>
      <c r="C51" s="163">
        <f>IF('Historical Score'!$D$29=7,"",'Historical Score'!$C$31)</f>
        <v/>
      </c>
      <c r="D51" s="211">
        <f>'Historical Score'!$C$10*Controls!$B$29</f>
        <v/>
      </c>
      <c r="E51" s="211">
        <f>'Historical Score'!$C$10*Controls!$B$30</f>
        <v/>
      </c>
      <c r="F51" s="202">
        <f>IF('Historical Score'!$D$29=7,"NO EVIDENCE",IF('Historical Score'!$C$33&lt;=Controls!$B$29,"GREEN",IF('Historical Score'!$C$33&gt;Controls!$B$30,"RED","YELLOW")))</f>
        <v/>
      </c>
      <c r="G51" s="212">
        <f>'Historical Score'!$C$30</f>
        <v/>
      </c>
      <c r="H51" s="163">
        <f>IF('Historical Score'!$D$29=7,"",'Historical Score'!$C$32)</f>
        <v/>
      </c>
    </row>
    <row r="52" ht="15.75" customHeight="1" s="147">
      <c r="B52" s="159" t="inlineStr">
        <is>
          <t>ISO</t>
        </is>
      </c>
      <c r="C52" s="163">
        <f>IF('Historical Score'!$F$25="","",'Historical Score'!$F$25)</f>
        <v/>
      </c>
      <c r="D52" s="211">
        <f>'Historical Score'!$C$10*Controls!$B$29</f>
        <v/>
      </c>
      <c r="E52" s="211">
        <f>'Historical Score'!$C$10*Controls!$B$30</f>
        <v/>
      </c>
      <c r="F52" s="202">
        <f>IF('Historical Score'!$C$25=0,"NO DEALS",IF('Historical Score'!$F$25="","NO RATE",IF('Historical Score'!$H$25&lt;=Controls!$B$29,"GREEN",IF('Historical Score'!$H$25&gt;Controls!$B$30,"RED","YELLOW"))))</f>
        <v/>
      </c>
      <c r="G52" s="171">
        <f>'Historical Score'!$C$25</f>
        <v/>
      </c>
      <c r="H52" s="163">
        <f>IF('Historical Score'!$G$25="","",'Historical Score'!$G$25)</f>
        <v/>
      </c>
    </row>
    <row r="53" ht="15.75" customHeight="1" s="147">
      <c r="B53" s="159" t="inlineStr">
        <is>
          <t>Industry</t>
        </is>
      </c>
      <c r="C53" s="163">
        <f>IF('Historical Score'!$F$24="","",'Historical Score'!$F$24)</f>
        <v/>
      </c>
      <c r="D53" s="211">
        <f>'Historical Score'!$C$10*Controls!$B$29</f>
        <v/>
      </c>
      <c r="E53" s="211">
        <f>'Historical Score'!$C$10*Controls!$B$30</f>
        <v/>
      </c>
      <c r="F53" s="202">
        <f>IF('Historical Score'!$C$24=0,"NO DEALS",IF('Historical Score'!$F$24="","NO RATE",IF('Historical Score'!$H$24&lt;=Controls!$B$29,"GREEN",IF('Historical Score'!$H$24&gt;Controls!$B$30,"RED","YELLOW"))))</f>
        <v/>
      </c>
      <c r="G53" s="171">
        <f>'Historical Score'!$C$24</f>
        <v/>
      </c>
      <c r="H53" s="163">
        <f>IF('Historical Score'!$G$24="","",'Historical Score'!$G$24)</f>
        <v/>
      </c>
    </row>
    <row r="54" ht="15.75" customHeight="1" s="147">
      <c r="B54" s="159" t="inlineStr">
        <is>
          <t>New deal / renewal</t>
        </is>
      </c>
      <c r="C54" s="163">
        <f>IF('Historical Score'!$F$23="","",'Historical Score'!$F$23)</f>
        <v/>
      </c>
      <c r="D54" s="211">
        <f>'Historical Score'!$C$10*Controls!$B$29</f>
        <v/>
      </c>
      <c r="E54" s="211">
        <f>'Historical Score'!$C$10*Controls!$B$30</f>
        <v/>
      </c>
      <c r="F54" s="202">
        <f>IF('Historical Score'!$C$23=0,"NO DEALS",IF('Historical Score'!$F$23="","NO RATE",IF('Historical Score'!$H$23&lt;=Controls!$B$29,"GREEN",IF('Historical Score'!$H$23&gt;Controls!$B$30,"RED","YELLOW"))))</f>
        <v/>
      </c>
      <c r="G54" s="171">
        <f>'Historical Score'!$C$23</f>
        <v/>
      </c>
      <c r="H54" s="163">
        <f>IF('Historical Score'!$G$23="","",'Historical Score'!$G$23)</f>
        <v/>
      </c>
    </row>
    <row r="55" ht="15.75" customHeight="1" s="147">
      <c r="B55" s="159" t="inlineStr">
        <is>
          <t>Position</t>
        </is>
      </c>
      <c r="C55" s="163">
        <f>IF('Historical Score'!$F$22="","",'Historical Score'!$F$22)</f>
        <v/>
      </c>
      <c r="D55" s="211">
        <f>'Historical Score'!$C$10*Controls!$B$29</f>
        <v/>
      </c>
      <c r="E55" s="211">
        <f>'Historical Score'!$C$10*Controls!$B$30</f>
        <v/>
      </c>
      <c r="F55" s="202">
        <f>IF('Historical Score'!$C$22=0,"NO DEALS",IF('Historical Score'!$F$22="","NO RATE",IF('Historical Score'!$H$22&lt;=Controls!$B$29,"GREEN",IF('Historical Score'!$H$22&gt;Controls!$B$30,"RED","YELLOW"))))</f>
        <v/>
      </c>
      <c r="G55" s="171">
        <f>'Historical Score'!$C$22</f>
        <v/>
      </c>
      <c r="H55" s="213">
        <f>IF('Historical Score'!$G$22="","",'Historical Score'!$G$22)</f>
        <v/>
      </c>
    </row>
    <row r="56" ht="15.75" customHeight="1" s="147">
      <c r="B56" s="159" t="inlineStr">
        <is>
          <t>Seasoned deals behind the primary cohort</t>
        </is>
      </c>
      <c r="C56" s="207">
        <f>IF('Historical Score'!$D$29=7,0,'Historical Score'!$C$30)</f>
        <v/>
      </c>
      <c r="D56" s="214">
        <f>Controls!$B$26</f>
        <v/>
      </c>
      <c r="E56" s="214">
        <f>Controls!$B$24</f>
        <v/>
      </c>
      <c r="F56" s="215">
        <f>IF(C56&gt;=D56,"GREEN",IF(C56&gt;=E56,"YELLOW","RED"))</f>
        <v/>
      </c>
      <c r="G56" s="171" t="n"/>
      <c r="H56" s="213" t="n"/>
    </row>
    <row r="57" ht="15.75" customHeight="1" s="147">
      <c r="B57" s="159" t="n"/>
      <c r="C57" s="200" t="n"/>
      <c r="D57" s="216" t="n"/>
      <c r="E57" s="216" t="n"/>
      <c r="F57" s="216" t="n"/>
      <c r="G57" s="171" t="n"/>
      <c r="H57" s="213" t="n"/>
    </row>
    <row r="58" ht="15.75" customHeight="1" s="147">
      <c r="B58" s="159" t="n"/>
      <c r="C58" s="200" t="n"/>
      <c r="D58" s="216" t="n"/>
      <c r="E58" s="216" t="n"/>
      <c r="F58" s="216" t="n"/>
      <c r="G58" s="171" t="n"/>
      <c r="H58" s="213" t="n"/>
    </row>
    <row r="59" ht="15.75" customHeight="1" s="147">
      <c r="B59" s="152" t="inlineStr">
        <is>
          <t>D.  DECISION  (cash-flow layer, on the requested offer)</t>
        </is>
      </c>
    </row>
    <row r="60" ht="15.75" customHeight="1" s="147">
      <c r="B60" s="217" t="inlineStr">
        <is>
          <t>Red flags</t>
        </is>
      </c>
      <c r="C60" s="218">
        <f>COUNTIF(F38:F45,"RED")+COUNTIF(F38:F45,"KNOCKOUT")</f>
        <v/>
      </c>
      <c r="D60" s="217" t="inlineStr">
        <is>
          <t>Knockouts</t>
        </is>
      </c>
      <c r="E60" s="218">
        <f>COUNTIF(F38:F45,"KNOCKOUT")</f>
        <v/>
      </c>
    </row>
    <row r="61" ht="15.75" customHeight="1" s="147">
      <c r="B61" s="219" t="inlineStr">
        <is>
          <t>Decline if red flags &gt;=  (Controls)</t>
        </is>
      </c>
      <c r="C61" s="220" t="n">
        <v>2</v>
      </c>
      <c r="D61" s="221" t="inlineStr">
        <is>
          <t>Minimum fund $</t>
        </is>
      </c>
      <c r="E61" s="222" t="n">
        <v>10000</v>
      </c>
    </row>
    <row r="62" ht="15.75" customHeight="1" s="147">
      <c r="B62" s="217" t="inlineStr">
        <is>
          <t>DECISION</t>
        </is>
      </c>
      <c r="C62" s="150">
        <f>IF(C24=0,"",IF(OR(E60&gt;0,IF(ISNUMBER(C73),C73,0)&lt;E61),"DECLINE",IF(OR(B6="",B6=0),"",IF(C60&gt;=C61,"DECLINE",IF(COUNTIF(F38:F45,"GREEN")=SUMPRODUCT(--(F38:F45&lt;&gt;"")),"APPROVE","CONDITIONAL")))))</f>
        <v/>
      </c>
      <c r="D62" s="151" t="n"/>
    </row>
    <row r="63" ht="15.75" customHeight="1" s="147"/>
    <row r="64" ht="15.75" customHeight="1" s="147">
      <c r="B64" s="152" t="inlineStr">
        <is>
          <t>E.  DEAL QUALITY  &amp;  MAXIMUM OFFER at the sizing line  (green line unless the house book is supportive)</t>
        </is>
      </c>
    </row>
    <row r="65" ht="15.75" customHeight="1" s="147">
      <c r="B65" s="219" t="inlineStr">
        <is>
          <t>Score (G=1, Y=0.5, R=0)</t>
        </is>
      </c>
      <c r="C65" s="223">
        <f>COUNTIF(F38:F45,"GREEN")+0.5*COUNTIF(F38:F45,"YELLOW")</f>
        <v/>
      </c>
      <c r="D65" s="151" t="n"/>
    </row>
    <row r="66" ht="15.75" customHeight="1" s="147">
      <c r="B66" s="219" t="inlineStr">
        <is>
          <t>Tier  (score scaled to 7 for the bands)</t>
        </is>
      </c>
      <c r="C66" s="202">
        <f>IF(C24=0,"",IF(IF(SUMPRODUCT(--(F38:F45&lt;&gt;""))=0,0,C65*7/SUMPRODUCT(--(F38:F45&lt;&gt;"")))&gt;=6.5,"Strong",IF(IF(SUMPRODUCT(--(F38:F45&lt;&gt;""))=0,0,C65*7/SUMPRODUCT(--(F38:F45&lt;&gt;"")))&gt;=5,"Solid",IF(IF(SUMPRODUCT(--(F38:F45&lt;&gt;""))=0,0,C65*7/SUMPRODUCT(--(F38:F45&lt;&gt;"")))&gt;=3.5,"Moderate","Weak"))))</f>
        <v/>
      </c>
    </row>
    <row r="67" ht="15.75" customHeight="1" s="147">
      <c r="B67" s="219" t="inlineStr">
        <is>
          <t>Max daily by SP% sizing line</t>
        </is>
      </c>
      <c r="C67" s="160">
        <f>IF(C24=0,"",H39*C24/$K$9)</f>
        <v/>
      </c>
      <c r="D67" s="224" t="n"/>
    </row>
    <row r="68" ht="15.75" customHeight="1" s="147">
      <c r="B68" s="219" t="inlineStr">
        <is>
          <t>Max daily by Total LVG sizing line</t>
        </is>
      </c>
      <c r="C68" s="160">
        <f>IF(C24=0,"",(H38*C24-F34)/$K$9)</f>
        <v/>
      </c>
    </row>
    <row r="69" ht="15.75" customHeight="1" s="147">
      <c r="B69" s="225" t="inlineStr">
        <is>
          <t>Max daily by Daily/Balance sizing line</t>
        </is>
      </c>
      <c r="C69" s="226">
        <f>IF(OR(C24=0,D24=0),"",H40*D24-E34)</f>
        <v/>
      </c>
    </row>
    <row r="70" ht="15.75" customHeight="1" s="147">
      <c r="B70" s="227" t="inlineStr">
        <is>
          <t>MAX DAILY  (weakest link)</t>
        </is>
      </c>
      <c r="C70" s="228">
        <f>IF(C24=0,"",MAX(0,MIN(C67:C69)))</f>
        <v/>
      </c>
      <c r="D70" s="151" t="n"/>
    </row>
    <row r="71" ht="15.75" customHeight="1" s="147">
      <c r="B71" s="229" t="inlineStr">
        <is>
          <t>Weekly / monthly equivalent</t>
        </is>
      </c>
      <c r="C71" s="230">
        <f>IF(OR(C70="",C70=0),"",C70*5)</f>
        <v/>
      </c>
      <c r="D71" s="231">
        <f>IF(OR(C70="",C70=0),"",C70*$K$9)</f>
        <v/>
      </c>
    </row>
    <row r="72" ht="15.75" customHeight="1" s="147">
      <c r="B72" s="219" t="inlineStr">
        <is>
          <t>Term (daily pmts) / factor from bands</t>
        </is>
      </c>
      <c r="C72" s="232">
        <f>IF(OR(C70="",C70=0,C65=""),"",MAX(20,MIN(INDEX(Controls!$B$5:$B$8,MATCH(IF(SUMPRODUCT(--(F38:F45&lt;&gt;""))=0,0,C65*7/SUMPRODUCT(--(F38:F45&lt;&gt;""))),Controls!$A$5:$A$8,1)),FLOOR(Controls!$B$9*$K$9,5),FLOOR(H41*C24*D72/C70,5))))</f>
        <v/>
      </c>
      <c r="D72" s="233">
        <f>IF(OR(C65="",C24=0),"",INDEX(Controls!$C$5:$C$8,MATCH(IF(SUMPRODUCT(--(F38:F45&lt;&gt;""))=0,0,C65*7/SUMPRODUCT(--(F38:F45&lt;&gt;""))),Controls!$A$5:$A$8,1)))</f>
        <v/>
      </c>
    </row>
    <row r="73" ht="15.75" customHeight="1" s="147">
      <c r="B73" s="217" t="inlineStr">
        <is>
          <t>MAX FUND at the sizing line</t>
        </is>
      </c>
      <c r="C73" s="234">
        <f>IF(COUNTIF(F42:F45,"KNOCKOUT")&gt;0,"-",IF(OR(C70="",C70=0,C72="",D72=""),"",FLOOR(C70*C72/D72,500)))</f>
        <v/>
      </c>
      <c r="D73" s="235">
        <f>IF(C73="-","KNOCKOUT on the merchant - do not fund.",IF(C73="","","payback "&amp;TEXT(C73*D72,"$#,##0")&amp;" over "&amp;C72&amp;" daily pmts ("&amp;TEXT(C72/5,"0")&amp;" wks)"))</f>
        <v/>
      </c>
    </row>
    <row r="74" ht="15.75" customHeight="1" s="147">
      <c r="B74" s="151" t="n"/>
    </row>
    <row r="75" ht="15" customHeight="1" s="147">
      <c r="B75" s="152" t="inlineStr">
        <is>
          <t>F.  FINAL OFFER   =   max at the sizing line (section E)   +   house-book outcome</t>
        </is>
      </c>
    </row>
    <row r="76" ht="15" customHeight="1" s="147">
      <c r="B76" s="236" t="inlineStr">
        <is>
          <t>Item</t>
        </is>
      </c>
      <c r="C76" s="236" t="inlineStr">
        <is>
          <t>Value</t>
        </is>
      </c>
      <c r="D76" s="236" t="inlineStr">
        <is>
          <t>Detail</t>
        </is>
      </c>
      <c r="E76" s="237" t="n"/>
      <c r="F76" s="237" t="n"/>
      <c r="G76" s="237" t="n"/>
      <c r="H76" s="176" t="n"/>
    </row>
    <row r="77" ht="15" customHeight="1" s="147">
      <c r="B77" s="238" t="inlineStr">
        <is>
          <t>FINAL DECISION</t>
        </is>
      </c>
      <c r="C77" s="239">
        <f>IF(C24=0,"",IF(OR(C73="-",C73="",C80="",C80=0,C80&lt;E61,COUNTIF(F42:F45,"RED")+COUNTIF(F42:F45,"KNOCKOUT")+COUNTIF(D85:D88,"RED")&gt;=C61),"DECLINE",IF(OR(COUNTIF(D85:D88,"YELLOW")&gt;0,COUNTIF(F42:F45,"YELLOW")&gt;0,C89="Negative"),"CONDITIONAL","APPROVE")))</f>
        <v/>
      </c>
      <c r="D77" s="240">
        <f>IF(C77="","Enter bank data.",IF(C77="DECLINE",IF(C73="-","Merchant knockout: "&amp;INDEX(B42:B45,MATCH("KNOCKOUT",F42:F45,0)),IF(OR(C73="",C80=0),"No clean room under the sizing line.",IF(C80&lt;E61,"Fund "&amp;TEXT(C80,"$#,##0")&amp;" is below the minimum "&amp;TEXT(E61,"$#,##0"),"Red flags reached the limit."))),IF(C77="APPROVE","All metrics green at the final offer; house book neutral or supportive.","Yellows at the final offer, or the house book is negative.")))</f>
        <v/>
      </c>
      <c r="E77" s="237" t="n"/>
      <c r="F77" s="237" t="n"/>
      <c r="G77" s="237" t="n"/>
      <c r="H77" s="176" t="n"/>
    </row>
    <row r="78" ht="15" customHeight="1" s="147">
      <c r="B78" s="238" t="inlineStr">
        <is>
          <t>Green-line max fund (cash flow only)</t>
        </is>
      </c>
      <c r="C78" s="241">
        <f>IF(C24=0,"",IF(COUNTIF(F42:F45,"KNOCKOUT")&gt;0,"-",IF(MAX(0,MIN(D39*C24/$K$9,(D38*C24-F34)/$K$9,IF(D24=0,0,D40*D24-E34)))=0,0,FLOOR(MAX(0,MIN(D39*C24/$K$9,(D38*C24-F34)/$K$9,IF(D24=0,0,D40*D24-E34)))*MAX(20,MIN(INDEX(Controls!$B$5:$B$8,MATCH(IF(SUMPRODUCT(--(F38:F45&lt;&gt;""))=0,0,C65*7/SUMPRODUCT(--(F38:F45&lt;&gt;""))),Controls!$A$5:$A$8,1)),FLOOR(Controls!$B$9*$K$9,5),FLOOR(D41*C24*D72/MAX(0,MIN(D39*C24/$K$9,(D38*C24-F34)/$K$9,IF(D24=0,0,D40*D24-E34))),5)))/D72,500))))</f>
        <v/>
      </c>
      <c r="D78" s="240">
        <f>"what the tool as built would size, with no history"</f>
        <v/>
      </c>
      <c r="E78" s="237" t="n"/>
      <c r="F78" s="237" t="n"/>
      <c r="G78" s="237" t="n"/>
      <c r="H78" s="176" t="n"/>
    </row>
    <row r="79" ht="15" customHeight="1" s="147">
      <c r="B79" s="238" t="inlineStr">
        <is>
          <t>Max fund at the sizing line (C73)</t>
        </is>
      </c>
      <c r="C79" s="241">
        <f>C73</f>
        <v/>
      </c>
      <c r="D79" s="240">
        <f>IF(C79="","",IF('Historical Score'!$C$35=0,"green lines - house book "&amp;'Historical Score'!$C$34,TEXT('Historical Score'!$C$35,"0%")&amp;" of the way to the red lines - house book "&amp;'Historical Score'!$C$34&amp;"; yellows allowed"))</f>
        <v/>
      </c>
      <c r="E79" s="237" t="n"/>
      <c r="F79" s="237" t="n"/>
      <c r="G79" s="237" t="n"/>
      <c r="H79" s="176" t="n"/>
    </row>
    <row r="80" ht="15" customHeight="1" s="147">
      <c r="B80" s="238" t="inlineStr">
        <is>
          <t>RECOMMENDED FUND</t>
        </is>
      </c>
      <c r="C80" s="234">
        <f>IF(OR(C73="",C73="-"),C73,IF('Historical Score'!$C$34="Negative",FLOOR(C73*(1-Controls!$B$32),500),C73))</f>
        <v/>
      </c>
      <c r="D80" s="240">
        <f>IF(OR(C80="",C80="-"),"",IF('Historical Score'!$C$34="Negative","C73 cut by "&amp;TEXT(Controls!$B$32,"0%")&amp;" (house book negative)","= max at the sizing line")&amp;IF(B6="","","  |  requested "&amp;TEXT(B6,"$#,##0")))</f>
        <v/>
      </c>
      <c r="E80" s="237" t="n"/>
      <c r="F80" s="237" t="n"/>
      <c r="G80" s="237" t="n"/>
      <c r="H80" s="176" t="n"/>
    </row>
    <row r="81" ht="15" customHeight="1" s="147">
      <c r="B81" s="238" t="inlineStr">
        <is>
          <t>Factor</t>
        </is>
      </c>
      <c r="C81" s="242">
        <f>IF(OR(C80="",C80="-"),"",D72)</f>
        <v/>
      </c>
      <c r="D81" s="240">
        <f>"from the score band"</f>
        <v/>
      </c>
      <c r="E81" s="237" t="n"/>
      <c r="F81" s="237" t="n"/>
      <c r="G81" s="237" t="n"/>
      <c r="H81" s="176" t="n"/>
    </row>
    <row r="82" ht="15" customHeight="1" s="147">
      <c r="B82" s="238" t="inlineStr">
        <is>
          <t>Term</t>
        </is>
      </c>
      <c r="C82" s="243">
        <f>IF(OR(C80="",C80="-"),"",IF($E$6="Weekly",C72/5,C72))</f>
        <v/>
      </c>
      <c r="D82" s="240">
        <f>IF(C82="","",IF($E$6="Weekly","weeks","daily payments")&amp;"  ("&amp;TEXT(C72/$K$9,"0.0")&amp;" months)")</f>
        <v/>
      </c>
      <c r="E82" s="237" t="n"/>
      <c r="F82" s="237" t="n"/>
      <c r="G82" s="237" t="n"/>
      <c r="H82" s="176" t="n"/>
    </row>
    <row r="83" ht="15" customHeight="1" s="147">
      <c r="B83" s="238" t="inlineStr">
        <is>
          <t>Payment</t>
        </is>
      </c>
      <c r="C83" s="244">
        <f>IF(OR(C80="",C80="-"),"",IF($E$6="Weekly",C84*5,C84))</f>
        <v/>
      </c>
      <c r="D83" s="240">
        <f>IF(C83="","","per "&amp;IF($E$6="Weekly","week","business day")&amp;";  monthly "&amp;TEXT(C84*$K$9,"$#,##0")&amp;";  payback "&amp;TEXT(C80*C81,"$#,##0")&amp;";  net "&amp;TEXT(C80*(1-F6),"$#,##0"))</f>
        <v/>
      </c>
      <c r="E83" s="237" t="n"/>
      <c r="F83" s="237" t="n"/>
      <c r="G83" s="237" t="n"/>
      <c r="H83" s="176" t="n"/>
    </row>
    <row r="84" ht="15" customHeight="1" s="147">
      <c r="B84" s="238" t="inlineStr">
        <is>
          <t>Daily-equivalent payment</t>
        </is>
      </c>
      <c r="C84" s="244">
        <f>IF(OR(C80="",C80="-"),"",C80*C81/C72)</f>
        <v/>
      </c>
      <c r="D84" s="240">
        <f>IF(C84="","","vs max daily at the sizing line "&amp;TEXT(C70,"$#,##0.00"))</f>
        <v/>
      </c>
      <c r="E84" s="237" t="n"/>
      <c r="F84" s="237" t="n"/>
      <c r="G84" s="237" t="n"/>
      <c r="H84" s="176" t="n"/>
    </row>
    <row r="85" ht="15" customHeight="1" s="147">
      <c r="B85" s="238" t="inlineStr">
        <is>
          <t>Holdback % at final offer</t>
        </is>
      </c>
      <c r="C85" s="245">
        <f>IF(C84="","",C84*$K$9/C24)</f>
        <v/>
      </c>
      <c r="D85" s="246">
        <f>IF(C85="","",IF(C85&gt;=G39,"KNOCKOUT",IF(C85&lt;=D39,"GREEN",IF(C85&gt;=E39,"RED","YELLOW"))))</f>
        <v/>
      </c>
    </row>
    <row r="86" ht="15" customHeight="1" s="147">
      <c r="B86" s="238" t="inlineStr">
        <is>
          <t>Total LVG at final offer</t>
        </is>
      </c>
      <c r="C86" s="245">
        <f>IF(C84="","",(E34+C84)*$K$9/C24)</f>
        <v/>
      </c>
      <c r="D86" s="247">
        <f>IF(C86="","",IF(C86&gt;=G38,"KNOCKOUT",IF(C86&lt;=D38,"GREEN",IF(C86&gt;=E38,"RED","YELLOW"))))</f>
        <v/>
      </c>
    </row>
    <row r="87" ht="15" customHeight="1" s="147">
      <c r="B87" s="238" t="inlineStr">
        <is>
          <t>Daily debt / balance at final offer</t>
        </is>
      </c>
      <c r="C87" s="245">
        <f>IF(OR(C84="",D24=0),"",(E34+C84)/D24)</f>
        <v/>
      </c>
      <c r="D87" s="247">
        <f>IF(C87="","",IF(C87&gt;=G40,"KNOCKOUT",IF(C87&lt;=D40,"GREEN",IF(C87&gt;=E40,"RED","YELLOW"))))</f>
        <v/>
      </c>
    </row>
    <row r="88" ht="15" customHeight="1" s="147">
      <c r="B88" s="238" t="inlineStr">
        <is>
          <t>Fund / revenue at final offer</t>
        </is>
      </c>
      <c r="C88" s="242">
        <f>IF(OR(C80="",C80="-"),"",C80/C24)</f>
        <v/>
      </c>
      <c r="D88" s="247">
        <f>IF(C88="","",IF(C88&gt;=G41,"KNOCKOUT",IF(C88&lt;=D41,"GREEN",IF(C88&gt;=E41,"RED","YELLOW"))))</f>
        <v/>
      </c>
    </row>
    <row r="89" ht="15" customHeight="1" s="147">
      <c r="B89" s="238" t="inlineStr">
        <is>
          <t>House-book outcome</t>
        </is>
      </c>
      <c r="C89" s="247">
        <f>'Historical Score'!$C$34</f>
        <v/>
      </c>
      <c r="D89" s="248">
        <f>'Historical Score'!$C$29&amp;": "&amp;'Historical Score'!$C$30&amp;" seasoned deals, PLR "&amp;IF('Historical Score'!$C$31="","n/a",TEXT('Historical Score'!$C$31,"0.0%"))&amp;" vs book "&amp;TEXT('Historical Score'!$C$10,"0.0%")&amp;", ROF "&amp;IF('Historical Score'!$C$32="","n/a",TEXT('Historical Score'!$C$32,"0.0%"))&amp;", index "&amp;IF('Historical Score'!$C$33="","n/a",TEXT('Historical Score'!$C$33,"0.00"))</f>
        <v/>
      </c>
      <c r="E89" s="237" t="n"/>
      <c r="F89" s="237" t="n"/>
      <c r="G89" s="237" t="n"/>
      <c r="H89" s="176" t="n"/>
    </row>
    <row r="90" ht="15" customHeight="1" s="147"/>
    <row r="91" ht="15" customHeight="1" s="147">
      <c r="B91" s="249" t="inlineStr">
        <is>
          <t>Supportive history raises C73 above the green-line max (row 78) by moving the sizing lines; negative history cuts it. Knockouts are never removed and no metric may be red at the final offer.</t>
        </is>
      </c>
    </row>
    <row r="92" ht="15" customHeight="1" s="147"/>
    <row r="93" ht="15" customHeight="1" s="147"/>
    <row r="94" ht="15" customHeight="1" s="147"/>
    <row r="95" ht="15" customHeight="1" s="147"/>
    <row r="96" ht="15.75" customHeight="1" s="147"/>
    <row r="97" ht="15.75" customHeight="1" s="147"/>
    <row r="98" ht="15.75" customHeight="1" s="147"/>
    <row r="99" ht="15.75" customHeight="1" s="147"/>
    <row r="100" ht="15.75" customHeight="1" s="147"/>
    <row r="101" ht="15.75" customHeight="1" s="147"/>
    <row r="102" ht="15.75" customHeight="1" s="147"/>
    <row r="103" ht="15.75" customHeight="1" s="147"/>
    <row r="104" ht="15.75" customHeight="1" s="147"/>
    <row r="105" ht="15.75" customHeight="1" s="147"/>
    <row r="106" ht="15.75" customHeight="1" s="147"/>
    <row r="107" ht="15.75" customHeight="1" s="147"/>
    <row r="108" ht="15.75" customHeight="1" s="147"/>
    <row r="109" ht="15.75" customHeight="1" s="147"/>
    <row r="110" ht="15.75" customHeight="1" s="147"/>
    <row r="111" ht="15.75" customHeight="1" s="147"/>
    <row r="112" ht="15.75" customHeight="1" s="147"/>
    <row r="113" ht="15.75" customHeight="1" s="147"/>
    <row r="114" ht="15.75" customHeight="1" s="147"/>
    <row r="115" ht="15.75" customHeight="1" s="147"/>
    <row r="116" ht="15.75" customHeight="1" s="147"/>
    <row r="117" ht="15.75" customHeight="1" s="147"/>
    <row r="118" ht="15.75" customHeight="1" s="147"/>
    <row r="119" ht="15.75" customHeight="1" s="147"/>
    <row r="120" ht="15.75" customHeight="1" s="147"/>
    <row r="121" ht="15.75" customHeight="1" s="147"/>
    <row r="122" ht="15.75" customHeight="1" s="147"/>
    <row r="123" ht="15.75" customHeight="1" s="147"/>
    <row r="124" ht="15.75" customHeight="1" s="147"/>
    <row r="125" ht="15.75" customHeight="1" s="147"/>
    <row r="126" ht="15.75" customHeight="1" s="147"/>
    <row r="127" ht="15.75" customHeight="1" s="147"/>
    <row r="128" ht="15.75" customHeight="1" s="147"/>
    <row r="129" ht="15.75" customHeight="1" s="147"/>
    <row r="130" ht="15.75" customHeight="1" s="147"/>
    <row r="131" ht="15.75" customHeight="1" s="147"/>
    <row r="132" ht="15.75" customHeight="1" s="147"/>
    <row r="133" ht="15.75" customHeight="1" s="147"/>
    <row r="134" ht="15.75" customHeight="1" s="147"/>
    <row r="135" ht="15.75" customHeight="1" s="147"/>
    <row r="136" ht="15.75" customHeight="1" s="147"/>
    <row r="137" ht="15.75" customHeight="1" s="147"/>
    <row r="138" ht="15.75" customHeight="1" s="147"/>
    <row r="139" ht="15.75" customHeight="1" s="147"/>
    <row r="140" ht="15.75" customHeight="1" s="147"/>
    <row r="141" ht="15.75" customHeight="1" s="147"/>
    <row r="142" ht="15.75" customHeight="1" s="147"/>
    <row r="143" ht="15.75" customHeight="1" s="147"/>
    <row r="144" ht="15.75" customHeight="1" s="147"/>
    <row r="145" ht="15.75" customHeight="1" s="147"/>
    <row r="146" ht="15.75" customHeight="1" s="147"/>
    <row r="147" ht="15.75" customHeight="1" s="147"/>
    <row r="148" ht="15.75" customHeight="1" s="147"/>
    <row r="149" ht="15.75" customHeight="1" s="147"/>
    <row r="150" ht="15.75" customHeight="1" s="147"/>
    <row r="151" ht="15.75" customHeight="1" s="147"/>
    <row r="152" ht="15.75" customHeight="1" s="147"/>
    <row r="153" ht="15.75" customHeight="1" s="147"/>
    <row r="154" ht="15.75" customHeight="1" s="147"/>
    <row r="155" ht="15.75" customHeight="1" s="147"/>
    <row r="156" ht="15.75" customHeight="1" s="147"/>
    <row r="157" ht="15.75" customHeight="1" s="147"/>
    <row r="158" ht="15.75" customHeight="1" s="147"/>
    <row r="159" ht="15.75" customHeight="1" s="147"/>
    <row r="160" ht="15.75" customHeight="1" s="147"/>
    <row r="161" ht="15.75" customHeight="1" s="147"/>
    <row r="162" ht="15.75" customHeight="1" s="147"/>
    <row r="163" ht="15.75" customHeight="1" s="147"/>
    <row r="164" ht="15.75" customHeight="1" s="147"/>
    <row r="165" ht="15.75" customHeight="1" s="147"/>
    <row r="166" ht="15.75" customHeight="1" s="147"/>
    <row r="167" ht="15.75" customHeight="1" s="147"/>
    <row r="168" ht="15.75" customHeight="1" s="147"/>
    <row r="169" ht="15.75" customHeight="1" s="147"/>
    <row r="170" ht="15.75" customHeight="1" s="147"/>
    <row r="171" ht="15.75" customHeight="1" s="147"/>
    <row r="172" ht="15.75" customHeight="1" s="147"/>
    <row r="173" ht="15.75" customHeight="1" s="147"/>
    <row r="174" ht="15.75" customHeight="1" s="147"/>
    <row r="175" ht="15.75" customHeight="1" s="147"/>
    <row r="176" ht="15.75" customHeight="1" s="147"/>
    <row r="177" ht="15.75" customHeight="1" s="147"/>
    <row r="178" ht="15.75" customHeight="1" s="147"/>
    <row r="179" ht="15.75" customHeight="1" s="147"/>
    <row r="180" ht="15.75" customHeight="1" s="147"/>
    <row r="181" ht="15.75" customHeight="1" s="147"/>
    <row r="182" ht="15.75" customHeight="1" s="147"/>
    <row r="183" ht="15.75" customHeight="1" s="147"/>
    <row r="184" ht="15.75" customHeight="1" s="147"/>
    <row r="185" ht="15.75" customHeight="1" s="147"/>
    <row r="186" ht="15.75" customHeight="1" s="147"/>
    <row r="187" ht="15.75" customHeight="1" s="147"/>
    <row r="188" ht="15.75" customHeight="1" s="147"/>
    <row r="189" ht="15.75" customHeight="1" s="147"/>
    <row r="190" ht="15.75" customHeight="1" s="147"/>
    <row r="191" ht="15.75" customHeight="1" s="147"/>
    <row r="192" ht="15.75" customHeight="1" s="147"/>
    <row r="193" ht="15.75" customHeight="1" s="147"/>
    <row r="194" ht="15.75" customHeight="1" s="147"/>
    <row r="195" ht="15.75" customHeight="1" s="147"/>
    <row r="196" ht="15.75" customHeight="1" s="147"/>
    <row r="197" ht="15.75" customHeight="1" s="147"/>
    <row r="198" ht="15.75" customHeight="1" s="147"/>
    <row r="199" ht="15.75" customHeight="1" s="147"/>
    <row r="200" ht="15.75" customHeight="1" s="147"/>
    <row r="201" ht="15.75" customHeight="1" s="147"/>
    <row r="202" ht="15.75" customHeight="1" s="147"/>
    <row r="203" ht="15.75" customHeight="1" s="147"/>
    <row r="204" ht="15.75" customHeight="1" s="147"/>
    <row r="205" ht="15.75" customHeight="1" s="147"/>
    <row r="206" ht="15.75" customHeight="1" s="147"/>
    <row r="207" ht="15.75" customHeight="1" s="147"/>
    <row r="208" ht="15.75" customHeight="1" s="147"/>
    <row r="209" ht="15.75" customHeight="1" s="147"/>
    <row r="210" ht="15.75" customHeight="1" s="147"/>
    <row r="211" ht="15.75" customHeight="1" s="147"/>
    <row r="212" ht="15.75" customHeight="1" s="147"/>
    <row r="213" ht="15.75" customHeight="1" s="147"/>
    <row r="214" ht="15.75" customHeight="1" s="147"/>
    <row r="215" ht="15.75" customHeight="1" s="147"/>
    <row r="216" ht="15.75" customHeight="1" s="147"/>
    <row r="217" ht="15.75" customHeight="1" s="147"/>
    <row r="218" ht="15.75" customHeight="1" s="147"/>
    <row r="219" ht="15.75" customHeight="1" s="147"/>
    <row r="220" ht="15.75" customHeight="1" s="147"/>
    <row r="221" ht="15.75" customHeight="1" s="147"/>
    <row r="222" ht="15.75" customHeight="1" s="147"/>
    <row r="223" ht="15.75" customHeight="1" s="147"/>
    <row r="224" ht="15.75" customHeight="1" s="147"/>
    <row r="225" ht="15.75" customHeight="1" s="147"/>
    <row r="226" ht="15.75" customHeight="1" s="147"/>
    <row r="227" ht="15.75" customHeight="1" s="147"/>
    <row r="228" ht="15.75" customHeight="1" s="147"/>
    <row r="229" ht="15.75" customHeight="1" s="147"/>
    <row r="230" ht="15.75" customHeight="1" s="147"/>
    <row r="231" ht="15.75" customHeight="1" s="147"/>
    <row r="232" ht="15.75" customHeight="1" s="147"/>
    <row r="233" ht="15.75" customHeight="1" s="147"/>
    <row r="234" ht="15.75" customHeight="1" s="147"/>
    <row r="235" ht="15.75" customHeight="1" s="147"/>
    <row r="236" ht="15.75" customHeight="1" s="147"/>
    <row r="237" ht="15.75" customHeight="1" s="147"/>
    <row r="238" ht="15.75" customHeight="1" s="147"/>
    <row r="239" ht="15.75" customHeight="1" s="147"/>
    <row r="240" ht="15.75" customHeight="1" s="147"/>
    <row r="241" ht="15.75" customHeight="1" s="147"/>
    <row r="242" ht="15.75" customHeight="1" s="147"/>
    <row r="243" ht="15.75" customHeight="1" s="147"/>
    <row r="244" ht="15.75" customHeight="1" s="147"/>
    <row r="245" ht="15.75" customHeight="1" s="147"/>
    <row r="246" ht="15.75" customHeight="1" s="147"/>
    <row r="247" ht="15.75" customHeight="1" s="147"/>
    <row r="248" ht="15.75" customHeight="1" s="147"/>
    <row r="249" ht="15.75" customHeight="1" s="147"/>
    <row r="250" ht="15.75" customHeight="1" s="147"/>
    <row r="251" ht="15.75" customHeight="1" s="147"/>
    <row r="252" ht="15.75" customHeight="1" s="147"/>
    <row r="253" ht="15.75" customHeight="1" s="147"/>
    <row r="254" ht="15.75" customHeight="1" s="147"/>
    <row r="255" ht="15.75" customHeight="1" s="147"/>
    <row r="256" ht="15.75" customHeight="1" s="147"/>
    <row r="257" ht="15.75" customHeight="1" s="147"/>
    <row r="258" ht="15.75" customHeight="1" s="147"/>
    <row r="259" ht="15.75" customHeight="1" s="147"/>
    <row r="260" ht="15.75" customHeight="1" s="147"/>
    <row r="261" ht="15.75" customHeight="1" s="147"/>
    <row r="262" ht="15.75" customHeight="1" s="147"/>
    <row r="263" ht="15.75" customHeight="1" s="147"/>
    <row r="264" ht="15.75" customHeight="1" s="147"/>
    <row r="265" ht="15.75" customHeight="1" s="147"/>
    <row r="266" ht="15.75" customHeight="1" s="147"/>
    <row r="267" ht="15.75" customHeight="1" s="147"/>
    <row r="268" ht="15.75" customHeight="1" s="147"/>
    <row r="269" ht="15.75" customHeight="1" s="147"/>
    <row r="270" ht="15.75" customHeight="1" s="147"/>
    <row r="271" ht="15.75" customHeight="1" s="147"/>
    <row r="272" ht="15.75" customHeight="1" s="147"/>
    <row r="273" ht="15.75" customHeight="1" s="147"/>
    <row r="274" ht="15.75" customHeight="1" s="147"/>
    <row r="275" ht="15.75" customHeight="1" s="147"/>
    <row r="276" ht="15.75" customHeight="1" s="147"/>
    <row r="277" ht="15.75" customHeight="1" s="147"/>
    <row r="278" ht="15.75" customHeight="1" s="147"/>
    <row r="279" ht="15.75" customHeight="1" s="147"/>
    <row r="280" ht="15.75" customHeight="1" s="147"/>
    <row r="281" ht="15.75" customHeight="1" s="147"/>
    <row r="282" ht="15.75" customHeight="1" s="147"/>
    <row r="283" ht="15.75" customHeight="1" s="147"/>
    <row r="284" ht="15.75" customHeight="1" s="147"/>
    <row r="285" ht="15.75" customHeight="1" s="147"/>
    <row r="286" ht="15.75" customHeight="1" s="147"/>
    <row r="287" ht="15.75" customHeight="1" s="147"/>
    <row r="288" ht="15.75" customHeight="1" s="147"/>
    <row r="289" ht="15.75" customHeight="1" s="147"/>
    <row r="290" ht="15.75" customHeight="1" s="147"/>
    <row r="291" ht="15.75" customHeight="1" s="147"/>
    <row r="292" ht="15.75" customHeight="1" s="147"/>
    <row r="293" ht="15.75" customHeight="1" s="147"/>
    <row r="294" ht="15.75" customHeight="1" s="147"/>
    <row r="295" ht="15.75" customHeight="1" s="147"/>
    <row r="296" ht="15.75" customHeight="1" s="147"/>
    <row r="297" ht="15.75" customHeight="1" s="147"/>
    <row r="298" ht="15.75" customHeight="1" s="147"/>
    <row r="299" ht="15.75" customHeight="1" s="147"/>
    <row r="300" ht="15.75" customHeight="1" s="147"/>
    <row r="301" ht="15.75" customHeight="1" s="147"/>
    <row r="302" ht="15.75" customHeight="1" s="147"/>
    <row r="303" ht="15.75" customHeight="1" s="147"/>
    <row r="304" ht="15.75" customHeight="1" s="147"/>
    <row r="305" ht="15.75" customHeight="1" s="147"/>
    <row r="306" ht="15.75" customHeight="1" s="147"/>
    <row r="307" ht="15.75" customHeight="1" s="147"/>
    <row r="308" ht="15.75" customHeight="1" s="147"/>
    <row r="309" ht="15.75" customHeight="1" s="147"/>
    <row r="310" ht="15.75" customHeight="1" s="147"/>
    <row r="311" ht="15.75" customHeight="1" s="147"/>
    <row r="312" ht="15.75" customHeight="1" s="147"/>
    <row r="313" ht="15.75" customHeight="1" s="147"/>
    <row r="314" ht="15.75" customHeight="1" s="147"/>
    <row r="315" ht="15.75" customHeight="1" s="147"/>
    <row r="316" ht="15.75" customHeight="1" s="147"/>
    <row r="317" ht="15.75" customHeight="1" s="147"/>
    <row r="318" ht="15.75" customHeight="1" s="147"/>
    <row r="319" ht="15.75" customHeight="1" s="147"/>
    <row r="320" ht="15.75" customHeight="1" s="147"/>
    <row r="321" ht="15.75" customHeight="1" s="147"/>
    <row r="322" ht="15.75" customHeight="1" s="147"/>
    <row r="323" ht="15.75" customHeight="1" s="147"/>
    <row r="324" ht="15.75" customHeight="1" s="147"/>
    <row r="325" ht="15.75" customHeight="1" s="147"/>
    <row r="326" ht="15.75" customHeight="1" s="147"/>
    <row r="327" ht="15.75" customHeight="1" s="147"/>
    <row r="328" ht="15.75" customHeight="1" s="147"/>
    <row r="329" ht="15.75" customHeight="1" s="147"/>
    <row r="330" ht="15.75" customHeight="1" s="147"/>
    <row r="331" ht="15.75" customHeight="1" s="147"/>
    <row r="332" ht="15.75" customHeight="1" s="147"/>
    <row r="333" ht="15.75" customHeight="1" s="147"/>
    <row r="334" ht="15.75" customHeight="1" s="147"/>
    <row r="335" ht="15.75" customHeight="1" s="147"/>
    <row r="336" ht="15.75" customHeight="1" s="147"/>
    <row r="337" ht="15.75" customHeight="1" s="147"/>
    <row r="338" ht="15.75" customHeight="1" s="147"/>
    <row r="339" ht="15.75" customHeight="1" s="147"/>
    <row r="340" ht="15.75" customHeight="1" s="147"/>
    <row r="341" ht="15.75" customHeight="1" s="147"/>
    <row r="342" ht="15.75" customHeight="1" s="147"/>
    <row r="343" ht="15.75" customHeight="1" s="147"/>
    <row r="344" ht="15.75" customHeight="1" s="147"/>
    <row r="345" ht="15.75" customHeight="1" s="147"/>
    <row r="346" ht="15.75" customHeight="1" s="147"/>
    <row r="347" ht="15.75" customHeight="1" s="147"/>
    <row r="348" ht="15.75" customHeight="1" s="147"/>
    <row r="349" ht="15.75" customHeight="1" s="147"/>
    <row r="350" ht="15.75" customHeight="1" s="147"/>
    <row r="351" ht="15.75" customHeight="1" s="147"/>
    <row r="352" ht="15.75" customHeight="1" s="147"/>
    <row r="353" ht="15.75" customHeight="1" s="147"/>
    <row r="354" ht="15.75" customHeight="1" s="147"/>
    <row r="355" ht="15.75" customHeight="1" s="147"/>
    <row r="356" ht="15.75" customHeight="1" s="147"/>
    <row r="357" ht="15.75" customHeight="1" s="147"/>
    <row r="358" ht="15.75" customHeight="1" s="147"/>
    <row r="359" ht="15.75" customHeight="1" s="147"/>
    <row r="360" ht="15.75" customHeight="1" s="147"/>
    <row r="361" ht="15.75" customHeight="1" s="147"/>
    <row r="362" ht="15.75" customHeight="1" s="147"/>
    <row r="363" ht="15.75" customHeight="1" s="147"/>
    <row r="364" ht="15.75" customHeight="1" s="147"/>
    <row r="365" ht="15.75" customHeight="1" s="147"/>
    <row r="366" ht="15.75" customHeight="1" s="147"/>
    <row r="367" ht="15.75" customHeight="1" s="147"/>
    <row r="368" ht="15.75" customHeight="1" s="147"/>
    <row r="369" ht="15.75" customHeight="1" s="147"/>
    <row r="370" ht="15.75" customHeight="1" s="147"/>
    <row r="371" ht="15.75" customHeight="1" s="147"/>
    <row r="372" ht="15.75" customHeight="1" s="147"/>
    <row r="373" ht="15.75" customHeight="1" s="147"/>
    <row r="374" ht="15.75" customHeight="1" s="147"/>
    <row r="375" ht="15.75" customHeight="1" s="147"/>
    <row r="376" ht="15.75" customHeight="1" s="147"/>
    <row r="377" ht="15.75" customHeight="1" s="147"/>
    <row r="378" ht="15.75" customHeight="1" s="147"/>
    <row r="379" ht="15.75" customHeight="1" s="147"/>
    <row r="380" ht="15.75" customHeight="1" s="147"/>
    <row r="381" ht="15.75" customHeight="1" s="147"/>
    <row r="382" ht="15.75" customHeight="1" s="147"/>
    <row r="383" ht="15.75" customHeight="1" s="147"/>
    <row r="384" ht="15.75" customHeight="1" s="147"/>
    <row r="385" ht="15.75" customHeight="1" s="147"/>
    <row r="386" ht="15.75" customHeight="1" s="147"/>
    <row r="387" ht="15.75" customHeight="1" s="147"/>
    <row r="388" ht="15.75" customHeight="1" s="147"/>
    <row r="389" ht="15.75" customHeight="1" s="147"/>
    <row r="390" ht="15.75" customHeight="1" s="147"/>
    <row r="391" ht="15.75" customHeight="1" s="147"/>
    <row r="392" ht="15.75" customHeight="1" s="147"/>
    <row r="393" ht="15.75" customHeight="1" s="147"/>
    <row r="394" ht="15.75" customHeight="1" s="147"/>
    <row r="395" ht="15.75" customHeight="1" s="147"/>
    <row r="396" ht="15.75" customHeight="1" s="147"/>
    <row r="397" ht="15.75" customHeight="1" s="147"/>
    <row r="398" ht="15.75" customHeight="1" s="147"/>
    <row r="399" ht="15.75" customHeight="1" s="147"/>
    <row r="400" ht="15.75" customHeight="1" s="147"/>
    <row r="401" ht="15.75" customHeight="1" s="147"/>
    <row r="402" ht="15.75" customHeight="1" s="147"/>
    <row r="403" ht="15.75" customHeight="1" s="147"/>
    <row r="404" ht="15.75" customHeight="1" s="147"/>
    <row r="405" ht="15.75" customHeight="1" s="147"/>
    <row r="406" ht="15.75" customHeight="1" s="147"/>
    <row r="407" ht="15.75" customHeight="1" s="147"/>
    <row r="408" ht="15.75" customHeight="1" s="147"/>
    <row r="409" ht="15.75" customHeight="1" s="147"/>
    <row r="410" ht="15.75" customHeight="1" s="147"/>
    <row r="411" ht="15.75" customHeight="1" s="147"/>
    <row r="412" ht="15.75" customHeight="1" s="147"/>
    <row r="413" ht="15.75" customHeight="1" s="147"/>
    <row r="414" ht="15.75" customHeight="1" s="147"/>
    <row r="415" ht="15.75" customHeight="1" s="147"/>
    <row r="416" ht="15.75" customHeight="1" s="147"/>
    <row r="417" ht="15.75" customHeight="1" s="147"/>
    <row r="418" ht="15.75" customHeight="1" s="147"/>
    <row r="419" ht="15.75" customHeight="1" s="147"/>
    <row r="420" ht="15.75" customHeight="1" s="147"/>
    <row r="421" ht="15.75" customHeight="1" s="147"/>
    <row r="422" ht="15.75" customHeight="1" s="147"/>
    <row r="423" ht="15.75" customHeight="1" s="147"/>
    <row r="424" ht="15.75" customHeight="1" s="147"/>
    <row r="425" ht="15.75" customHeight="1" s="147"/>
    <row r="426" ht="15.75" customHeight="1" s="147"/>
    <row r="427" ht="15.75" customHeight="1" s="147"/>
    <row r="428" ht="15.75" customHeight="1" s="147"/>
    <row r="429" ht="15.75" customHeight="1" s="147"/>
    <row r="430" ht="15.75" customHeight="1" s="147"/>
    <row r="431" ht="15.75" customHeight="1" s="147"/>
    <row r="432" ht="15.75" customHeight="1" s="147"/>
    <row r="433" ht="15.75" customHeight="1" s="147"/>
    <row r="434" ht="15.75" customHeight="1" s="147"/>
    <row r="435" ht="15.75" customHeight="1" s="147"/>
    <row r="436" ht="15.75" customHeight="1" s="147"/>
    <row r="437" ht="15.75" customHeight="1" s="147"/>
    <row r="438" ht="15.75" customHeight="1" s="147"/>
    <row r="439" ht="15.75" customHeight="1" s="147"/>
    <row r="440" ht="15.75" customHeight="1" s="147"/>
    <row r="441" ht="15.75" customHeight="1" s="147"/>
    <row r="442" ht="15.75" customHeight="1" s="147"/>
    <row r="443" ht="15.75" customHeight="1" s="147"/>
    <row r="444" ht="15.75" customHeight="1" s="147"/>
    <row r="445" ht="15.75" customHeight="1" s="147"/>
    <row r="446" ht="15.75" customHeight="1" s="147"/>
    <row r="447" ht="15.75" customHeight="1" s="147"/>
    <row r="448" ht="15.75" customHeight="1" s="147"/>
    <row r="449" ht="15.75" customHeight="1" s="147"/>
    <row r="450" ht="15.75" customHeight="1" s="147"/>
    <row r="451" ht="15.75" customHeight="1" s="147"/>
    <row r="452" ht="15.75" customHeight="1" s="147"/>
    <row r="453" ht="15.75" customHeight="1" s="147"/>
    <row r="454" ht="15.75" customHeight="1" s="147"/>
    <row r="455" ht="15.75" customHeight="1" s="147"/>
    <row r="456" ht="15.75" customHeight="1" s="147"/>
    <row r="457" ht="15.75" customHeight="1" s="147"/>
    <row r="458" ht="15.75" customHeight="1" s="147"/>
    <row r="459" ht="15.75" customHeight="1" s="147"/>
    <row r="460" ht="15.75" customHeight="1" s="147"/>
    <row r="461" ht="15.75" customHeight="1" s="147"/>
    <row r="462" ht="15.75" customHeight="1" s="147"/>
    <row r="463" ht="15.75" customHeight="1" s="147"/>
    <row r="464" ht="15.75" customHeight="1" s="147"/>
    <row r="465" ht="15.75" customHeight="1" s="147"/>
    <row r="466" ht="15.75" customHeight="1" s="147"/>
    <row r="467" ht="15.75" customHeight="1" s="147"/>
    <row r="468" ht="15.75" customHeight="1" s="147"/>
    <row r="469" ht="15.75" customHeight="1" s="147"/>
    <row r="470" ht="15.75" customHeight="1" s="147"/>
    <row r="471" ht="15.75" customHeight="1" s="147"/>
    <row r="472" ht="15.75" customHeight="1" s="147"/>
    <row r="473" ht="15.75" customHeight="1" s="147"/>
    <row r="474" ht="15.75" customHeight="1" s="147"/>
    <row r="475" ht="15.75" customHeight="1" s="147"/>
    <row r="476" ht="15.75" customHeight="1" s="147"/>
    <row r="477" ht="15.75" customHeight="1" s="147"/>
    <row r="478" ht="15.75" customHeight="1" s="147"/>
    <row r="479" ht="15.75" customHeight="1" s="147"/>
    <row r="480" ht="15.75" customHeight="1" s="147"/>
    <row r="481" ht="15.75" customHeight="1" s="147"/>
    <row r="482" ht="15.75" customHeight="1" s="147"/>
    <row r="483" ht="15.75" customHeight="1" s="147"/>
    <row r="484" ht="15.75" customHeight="1" s="147"/>
    <row r="485" ht="15.75" customHeight="1" s="147"/>
    <row r="486" ht="15.75" customHeight="1" s="147"/>
    <row r="487" ht="15.75" customHeight="1" s="147"/>
    <row r="488" ht="15.75" customHeight="1" s="147"/>
    <row r="489" ht="15.75" customHeight="1" s="147"/>
    <row r="490" ht="15.75" customHeight="1" s="147"/>
    <row r="491" ht="15.75" customHeight="1" s="147"/>
    <row r="492" ht="15.75" customHeight="1" s="147"/>
    <row r="493" ht="15.75" customHeight="1" s="147"/>
    <row r="494" ht="15.75" customHeight="1" s="147"/>
    <row r="495" ht="15.75" customHeight="1" s="147"/>
    <row r="496" ht="15.75" customHeight="1" s="147"/>
    <row r="497" ht="15.75" customHeight="1" s="147"/>
    <row r="498" ht="15.75" customHeight="1" s="147"/>
    <row r="499" ht="15.75" customHeight="1" s="147"/>
    <row r="500" ht="15.75" customHeight="1" s="147"/>
    <row r="501" ht="15.75" customHeight="1" s="147"/>
    <row r="502" ht="15.75" customHeight="1" s="147"/>
    <row r="503" ht="15.75" customHeight="1" s="147"/>
    <row r="504" ht="15.75" customHeight="1" s="147"/>
    <row r="505" ht="15.75" customHeight="1" s="147"/>
    <row r="506" ht="15.75" customHeight="1" s="147"/>
    <row r="507" ht="15.75" customHeight="1" s="147"/>
    <row r="508" ht="15.75" customHeight="1" s="147"/>
    <row r="509" ht="15.75" customHeight="1" s="147"/>
    <row r="510" ht="15.75" customHeight="1" s="147"/>
    <row r="511" ht="15.75" customHeight="1" s="147"/>
    <row r="512" ht="15.75" customHeight="1" s="147"/>
    <row r="513" ht="15.75" customHeight="1" s="147"/>
    <row r="514" ht="15.75" customHeight="1" s="147"/>
    <row r="515" ht="15.75" customHeight="1" s="147"/>
    <row r="516" ht="15.75" customHeight="1" s="147"/>
    <row r="517" ht="15.75" customHeight="1" s="147"/>
    <row r="518" ht="15.75" customHeight="1" s="147"/>
    <row r="519" ht="15.75" customHeight="1" s="147"/>
    <row r="520" ht="15.75" customHeight="1" s="147"/>
    <row r="521" ht="15.75" customHeight="1" s="147"/>
    <row r="522" ht="15.75" customHeight="1" s="147"/>
    <row r="523" ht="15.75" customHeight="1" s="147"/>
    <row r="524" ht="15.75" customHeight="1" s="147"/>
    <row r="525" ht="15.75" customHeight="1" s="147"/>
    <row r="526" ht="15.75" customHeight="1" s="147"/>
    <row r="527" ht="15.75" customHeight="1" s="147"/>
    <row r="528" ht="15.75" customHeight="1" s="147"/>
    <row r="529" ht="15.75" customHeight="1" s="147"/>
    <row r="530" ht="15.75" customHeight="1" s="147"/>
    <row r="531" ht="15.75" customHeight="1" s="147"/>
    <row r="532" ht="15.75" customHeight="1" s="147"/>
    <row r="533" ht="15.75" customHeight="1" s="147"/>
    <row r="534" ht="15.75" customHeight="1" s="147"/>
    <row r="535" ht="15.75" customHeight="1" s="147"/>
    <row r="536" ht="15.75" customHeight="1" s="147"/>
    <row r="537" ht="15.75" customHeight="1" s="147"/>
    <row r="538" ht="15.75" customHeight="1" s="147"/>
    <row r="539" ht="15.75" customHeight="1" s="147"/>
    <row r="540" ht="15.75" customHeight="1" s="147"/>
    <row r="541" ht="15.75" customHeight="1" s="147"/>
    <row r="542" ht="15.75" customHeight="1" s="147"/>
    <row r="543" ht="15.75" customHeight="1" s="147"/>
    <row r="544" ht="15.75" customHeight="1" s="147"/>
    <row r="545" ht="15.75" customHeight="1" s="147"/>
    <row r="546" ht="15.75" customHeight="1" s="147"/>
    <row r="547" ht="15.75" customHeight="1" s="147"/>
    <row r="548" ht="15.75" customHeight="1" s="147"/>
    <row r="549" ht="15.75" customHeight="1" s="147"/>
    <row r="550" ht="15.75" customHeight="1" s="147"/>
    <row r="551" ht="15.75" customHeight="1" s="147"/>
    <row r="552" ht="15.75" customHeight="1" s="147"/>
    <row r="553" ht="15.75" customHeight="1" s="147"/>
    <row r="554" ht="15.75" customHeight="1" s="147"/>
    <row r="555" ht="15.75" customHeight="1" s="147"/>
    <row r="556" ht="15.75" customHeight="1" s="147"/>
    <row r="557" ht="15.75" customHeight="1" s="147"/>
    <row r="558" ht="15.75" customHeight="1" s="147"/>
    <row r="559" ht="15.75" customHeight="1" s="147"/>
    <row r="560" ht="15.75" customHeight="1" s="147"/>
    <row r="561" ht="15.75" customHeight="1" s="147"/>
    <row r="562" ht="15.75" customHeight="1" s="147"/>
    <row r="563" ht="15.75" customHeight="1" s="147"/>
    <row r="564" ht="15.75" customHeight="1" s="147"/>
    <row r="565" ht="15.75" customHeight="1" s="147"/>
    <row r="566" ht="15.75" customHeight="1" s="147"/>
    <row r="567" ht="15.75" customHeight="1" s="147"/>
    <row r="568" ht="15.75" customHeight="1" s="147"/>
    <row r="569" ht="15.75" customHeight="1" s="147"/>
    <row r="570" ht="15.75" customHeight="1" s="147"/>
    <row r="571" ht="15.75" customHeight="1" s="147"/>
    <row r="572" ht="15.75" customHeight="1" s="147"/>
    <row r="573" ht="15.75" customHeight="1" s="147"/>
    <row r="574" ht="15.75" customHeight="1" s="147"/>
    <row r="575" ht="15.75" customHeight="1" s="147"/>
    <row r="576" ht="15.75" customHeight="1" s="147"/>
    <row r="577" ht="15.75" customHeight="1" s="147"/>
    <row r="578" ht="15.75" customHeight="1" s="147"/>
    <row r="579" ht="15.75" customHeight="1" s="147"/>
    <row r="580" ht="15.75" customHeight="1" s="147"/>
    <row r="581" ht="15.75" customHeight="1" s="147"/>
    <row r="582" ht="15.75" customHeight="1" s="147"/>
    <row r="583" ht="15.75" customHeight="1" s="147"/>
    <row r="584" ht="15.75" customHeight="1" s="147"/>
    <row r="585" ht="15.75" customHeight="1" s="147"/>
    <row r="586" ht="15.75" customHeight="1" s="147"/>
    <row r="587" ht="15.75" customHeight="1" s="147"/>
    <row r="588" ht="15.75" customHeight="1" s="147"/>
    <row r="589" ht="15.75" customHeight="1" s="147"/>
    <row r="590" ht="15.75" customHeight="1" s="147"/>
    <row r="591" ht="15.75" customHeight="1" s="147"/>
    <row r="592" ht="15.75" customHeight="1" s="147"/>
    <row r="593" ht="15.75" customHeight="1" s="147"/>
    <row r="594" ht="15.75" customHeight="1" s="147"/>
    <row r="595" ht="15.75" customHeight="1" s="147"/>
    <row r="596" ht="15.75" customHeight="1" s="147"/>
    <row r="597" ht="15.75" customHeight="1" s="147"/>
    <row r="598" ht="15.75" customHeight="1" s="147"/>
    <row r="599" ht="15.75" customHeight="1" s="147"/>
    <row r="600" ht="15.75" customHeight="1" s="147"/>
    <row r="601" ht="15.75" customHeight="1" s="147"/>
    <row r="602" ht="15.75" customHeight="1" s="147"/>
    <row r="603" ht="15.75" customHeight="1" s="147"/>
    <row r="604" ht="15.75" customHeight="1" s="147"/>
    <row r="605" ht="15.75" customHeight="1" s="147"/>
    <row r="606" ht="15.75" customHeight="1" s="147"/>
    <row r="607" ht="15.75" customHeight="1" s="147"/>
    <row r="608" ht="15.75" customHeight="1" s="147"/>
    <row r="609" ht="15.75" customHeight="1" s="147"/>
    <row r="610" ht="15.75" customHeight="1" s="147"/>
    <row r="611" ht="15.75" customHeight="1" s="147"/>
    <row r="612" ht="15.75" customHeight="1" s="147"/>
    <row r="613" ht="15.75" customHeight="1" s="147"/>
    <row r="614" ht="15.75" customHeight="1" s="147"/>
    <row r="615" ht="15.75" customHeight="1" s="147"/>
    <row r="616" ht="15.75" customHeight="1" s="147"/>
    <row r="617" ht="15.75" customHeight="1" s="147"/>
    <row r="618" ht="15.75" customHeight="1" s="147"/>
    <row r="619" ht="15.75" customHeight="1" s="147"/>
    <row r="620" ht="15.75" customHeight="1" s="147"/>
    <row r="621" ht="15.75" customHeight="1" s="147"/>
    <row r="622" ht="15.75" customHeight="1" s="147"/>
    <row r="623" ht="15.75" customHeight="1" s="147"/>
    <row r="624" ht="15.75" customHeight="1" s="147"/>
    <row r="625" ht="15.75" customHeight="1" s="147"/>
    <row r="626" ht="15.75" customHeight="1" s="147"/>
    <row r="627" ht="15.75" customHeight="1" s="147"/>
    <row r="628" ht="15.75" customHeight="1" s="147"/>
    <row r="629" ht="15.75" customHeight="1" s="147"/>
    <row r="630" ht="15.75" customHeight="1" s="147"/>
    <row r="631" ht="15.75" customHeight="1" s="147"/>
    <row r="632" ht="15.75" customHeight="1" s="147"/>
    <row r="633" ht="15.75" customHeight="1" s="147"/>
    <row r="634" ht="15.75" customHeight="1" s="147"/>
    <row r="635" ht="15.75" customHeight="1" s="147"/>
    <row r="636" ht="15.75" customHeight="1" s="147"/>
    <row r="637" ht="15.75" customHeight="1" s="147"/>
    <row r="638" ht="15.75" customHeight="1" s="147"/>
    <row r="639" ht="15.75" customHeight="1" s="147"/>
    <row r="640" ht="15.75" customHeight="1" s="147"/>
    <row r="641" ht="15.75" customHeight="1" s="147"/>
    <row r="642" ht="15.75" customHeight="1" s="147"/>
    <row r="643" ht="15.75" customHeight="1" s="147"/>
    <row r="644" ht="15.75" customHeight="1" s="147"/>
    <row r="645" ht="15.75" customHeight="1" s="147"/>
    <row r="646" ht="15.75" customHeight="1" s="147"/>
    <row r="647" ht="15.75" customHeight="1" s="147"/>
    <row r="648" ht="15.75" customHeight="1" s="147"/>
    <row r="649" ht="15.75" customHeight="1" s="147"/>
    <row r="650" ht="15.75" customHeight="1" s="147"/>
    <row r="651" ht="15.75" customHeight="1" s="147"/>
    <row r="652" ht="15.75" customHeight="1" s="147"/>
    <row r="653" ht="15.75" customHeight="1" s="147"/>
    <row r="654" ht="15.75" customHeight="1" s="147"/>
    <row r="655" ht="15.75" customHeight="1" s="147"/>
    <row r="656" ht="15.75" customHeight="1" s="147"/>
    <row r="657" ht="15.75" customHeight="1" s="147"/>
    <row r="658" ht="15.75" customHeight="1" s="147"/>
    <row r="659" ht="15.75" customHeight="1" s="147"/>
    <row r="660" ht="15.75" customHeight="1" s="147"/>
    <row r="661" ht="15.75" customHeight="1" s="147"/>
    <row r="662" ht="15.75" customHeight="1" s="147"/>
    <row r="663" ht="15.75" customHeight="1" s="147"/>
    <row r="664" ht="15.75" customHeight="1" s="147"/>
    <row r="665" ht="15.75" customHeight="1" s="147"/>
    <row r="666" ht="15.75" customHeight="1" s="147"/>
    <row r="667" ht="15.75" customHeight="1" s="147"/>
    <row r="668" ht="15.75" customHeight="1" s="147"/>
    <row r="669" ht="15.75" customHeight="1" s="147"/>
    <row r="670" ht="15.75" customHeight="1" s="147"/>
    <row r="671" ht="15.75" customHeight="1" s="147"/>
    <row r="672" ht="15.75" customHeight="1" s="147"/>
    <row r="673" ht="15.75" customHeight="1" s="147"/>
    <row r="674" ht="15.75" customHeight="1" s="147"/>
    <row r="675" ht="15.75" customHeight="1" s="147"/>
    <row r="676" ht="15.75" customHeight="1" s="147"/>
    <row r="677" ht="15.75" customHeight="1" s="147"/>
    <row r="678" ht="15.75" customHeight="1" s="147"/>
    <row r="679" ht="15.75" customHeight="1" s="147"/>
    <row r="680" ht="15.75" customHeight="1" s="147"/>
    <row r="681" ht="15.75" customHeight="1" s="147"/>
    <row r="682" ht="15.75" customHeight="1" s="147"/>
    <row r="683" ht="15.75" customHeight="1" s="147"/>
    <row r="684" ht="15.75" customHeight="1" s="147"/>
    <row r="685" ht="15.75" customHeight="1" s="147"/>
    <row r="686" ht="15.75" customHeight="1" s="147"/>
    <row r="687" ht="15.75" customHeight="1" s="147"/>
    <row r="688" ht="15.75" customHeight="1" s="147"/>
    <row r="689" ht="15.75" customHeight="1" s="147"/>
    <row r="690" ht="15.75" customHeight="1" s="147"/>
    <row r="691" ht="15.75" customHeight="1" s="147"/>
    <row r="692" ht="15.75" customHeight="1" s="147"/>
    <row r="693" ht="15.75" customHeight="1" s="147"/>
    <row r="694" ht="15.75" customHeight="1" s="147"/>
    <row r="695" ht="15.75" customHeight="1" s="147"/>
    <row r="696" ht="15.75" customHeight="1" s="147"/>
    <row r="697" ht="15.75" customHeight="1" s="147"/>
    <row r="698" ht="15.75" customHeight="1" s="147"/>
    <row r="699" ht="15.75" customHeight="1" s="147"/>
    <row r="700" ht="15.75" customHeight="1" s="147"/>
    <row r="701" ht="15.75" customHeight="1" s="147"/>
    <row r="702" ht="15.75" customHeight="1" s="147"/>
    <row r="703" ht="15.75" customHeight="1" s="147"/>
    <row r="704" ht="15.75" customHeight="1" s="147"/>
    <row r="705" ht="15.75" customHeight="1" s="147"/>
    <row r="706" ht="15.75" customHeight="1" s="147"/>
    <row r="707" ht="15.75" customHeight="1" s="147"/>
    <row r="708" ht="15.75" customHeight="1" s="147"/>
    <row r="709" ht="15.75" customHeight="1" s="147"/>
    <row r="710" ht="15.75" customHeight="1" s="147"/>
    <row r="711" ht="15.75" customHeight="1" s="147"/>
    <row r="712" ht="15.75" customHeight="1" s="147"/>
    <row r="713" ht="15.75" customHeight="1" s="147"/>
    <row r="714" ht="15.75" customHeight="1" s="147"/>
    <row r="715" ht="15.75" customHeight="1" s="147"/>
    <row r="716" ht="15.75" customHeight="1" s="147"/>
    <row r="717" ht="15.75" customHeight="1" s="147"/>
    <row r="718" ht="15.75" customHeight="1" s="147"/>
    <row r="719" ht="15.75" customHeight="1" s="147"/>
    <row r="720" ht="15.75" customHeight="1" s="147"/>
    <row r="721" ht="15.75" customHeight="1" s="147"/>
    <row r="722" ht="15.75" customHeight="1" s="147"/>
    <row r="723" ht="15.75" customHeight="1" s="147"/>
    <row r="724" ht="15.75" customHeight="1" s="147"/>
    <row r="725" ht="15.75" customHeight="1" s="147"/>
    <row r="726" ht="15.75" customHeight="1" s="147"/>
    <row r="727" ht="15.75" customHeight="1" s="147"/>
    <row r="728" ht="15.75" customHeight="1" s="147"/>
    <row r="729" ht="15.75" customHeight="1" s="147"/>
    <row r="730" ht="15.75" customHeight="1" s="147"/>
    <row r="731" ht="15.75" customHeight="1" s="147"/>
    <row r="732" ht="15.75" customHeight="1" s="147"/>
    <row r="733" ht="15.75" customHeight="1" s="147"/>
    <row r="734" ht="15.75" customHeight="1" s="147"/>
    <row r="735" ht="15.75" customHeight="1" s="147"/>
    <row r="736" ht="15.75" customHeight="1" s="147"/>
    <row r="737" ht="15.75" customHeight="1" s="147"/>
    <row r="738" ht="15.75" customHeight="1" s="147"/>
    <row r="739" ht="15.75" customHeight="1" s="147"/>
    <row r="740" ht="15.75" customHeight="1" s="147"/>
    <row r="741" ht="15.75" customHeight="1" s="147"/>
    <row r="742" ht="15.75" customHeight="1" s="147"/>
    <row r="743" ht="15.75" customHeight="1" s="147"/>
    <row r="744" ht="15.75" customHeight="1" s="147"/>
    <row r="745" ht="15.75" customHeight="1" s="147"/>
    <row r="746" ht="15.75" customHeight="1" s="147"/>
    <row r="747" ht="15.75" customHeight="1" s="147"/>
    <row r="748" ht="15.75" customHeight="1" s="147"/>
    <row r="749" ht="15.75" customHeight="1" s="147"/>
    <row r="750" ht="15.75" customHeight="1" s="147"/>
    <row r="751" ht="15.75" customHeight="1" s="147"/>
    <row r="752" ht="15.75" customHeight="1" s="147"/>
    <row r="753" ht="15.75" customHeight="1" s="147"/>
    <row r="754" ht="15.75" customHeight="1" s="147"/>
    <row r="755" ht="15.75" customHeight="1" s="147"/>
    <row r="756" ht="15.75" customHeight="1" s="147"/>
    <row r="757" ht="15.75" customHeight="1" s="147"/>
    <row r="758" ht="15.75" customHeight="1" s="147"/>
    <row r="759" ht="15.75" customHeight="1" s="147"/>
    <row r="760" ht="15.75" customHeight="1" s="147"/>
    <row r="761" ht="15.75" customHeight="1" s="147"/>
    <row r="762" ht="15.75" customHeight="1" s="147"/>
    <row r="763" ht="15.75" customHeight="1" s="147"/>
    <row r="764" ht="15.75" customHeight="1" s="147"/>
    <row r="765" ht="15.75" customHeight="1" s="147"/>
    <row r="766" ht="15.75" customHeight="1" s="147"/>
    <row r="767" ht="15.75" customHeight="1" s="147"/>
    <row r="768" ht="15.75" customHeight="1" s="147"/>
    <row r="769" ht="15.75" customHeight="1" s="147"/>
    <row r="770" ht="15.75" customHeight="1" s="147"/>
    <row r="771" ht="15.75" customHeight="1" s="147"/>
    <row r="772" ht="15.75" customHeight="1" s="147"/>
    <row r="773" ht="15.75" customHeight="1" s="147"/>
    <row r="774" ht="15.75" customHeight="1" s="147"/>
    <row r="775" ht="15.75" customHeight="1" s="147"/>
    <row r="776" ht="15.75" customHeight="1" s="147"/>
    <row r="777" ht="15.75" customHeight="1" s="147"/>
    <row r="778" ht="15.75" customHeight="1" s="147"/>
    <row r="779" ht="15.75" customHeight="1" s="147"/>
    <row r="780" ht="15.75" customHeight="1" s="147"/>
    <row r="781" ht="15.75" customHeight="1" s="147"/>
    <row r="782" ht="15.75" customHeight="1" s="147"/>
    <row r="783" ht="15.75" customHeight="1" s="147"/>
    <row r="784" ht="15.75" customHeight="1" s="147"/>
    <row r="785" ht="15.75" customHeight="1" s="147"/>
    <row r="786" ht="15.75" customHeight="1" s="147"/>
    <row r="787" ht="15.75" customHeight="1" s="147"/>
    <row r="788" ht="15.75" customHeight="1" s="147"/>
    <row r="789" ht="15.75" customHeight="1" s="147"/>
    <row r="790" ht="15.75" customHeight="1" s="147"/>
    <row r="791" ht="15.75" customHeight="1" s="147"/>
    <row r="792" ht="15.75" customHeight="1" s="147"/>
    <row r="793" ht="15.75" customHeight="1" s="147"/>
    <row r="794" ht="15.75" customHeight="1" s="147"/>
    <row r="795" ht="15.75" customHeight="1" s="147"/>
    <row r="796" ht="15.75" customHeight="1" s="147"/>
    <row r="797" ht="15.75" customHeight="1" s="147"/>
    <row r="798" ht="15.75" customHeight="1" s="147"/>
    <row r="799" ht="15.75" customHeight="1" s="147"/>
    <row r="800" ht="15.75" customHeight="1" s="147"/>
    <row r="801" ht="15.75" customHeight="1" s="147"/>
    <row r="802" ht="15.75" customHeight="1" s="147"/>
    <row r="803" ht="15.75" customHeight="1" s="147"/>
    <row r="804" ht="15.75" customHeight="1" s="147"/>
    <row r="805" ht="15.75" customHeight="1" s="147"/>
    <row r="806" ht="15.75" customHeight="1" s="147"/>
    <row r="807" ht="15.75" customHeight="1" s="147"/>
    <row r="808" ht="15.75" customHeight="1" s="147"/>
    <row r="809" ht="15.75" customHeight="1" s="147"/>
    <row r="810" ht="15.75" customHeight="1" s="147"/>
    <row r="811" ht="15.75" customHeight="1" s="147"/>
    <row r="812" ht="15.75" customHeight="1" s="147"/>
    <row r="813" ht="15.75" customHeight="1" s="147"/>
    <row r="814" ht="15.75" customHeight="1" s="147"/>
    <row r="815" ht="15.75" customHeight="1" s="147"/>
    <row r="816" ht="15.75" customHeight="1" s="147"/>
    <row r="817" ht="15.75" customHeight="1" s="147"/>
    <row r="818" ht="15.75" customHeight="1" s="147"/>
    <row r="819" ht="15.75" customHeight="1" s="147"/>
    <row r="820" ht="15.75" customHeight="1" s="147"/>
    <row r="821" ht="15.75" customHeight="1" s="147"/>
    <row r="822" ht="15.75" customHeight="1" s="147"/>
    <row r="823" ht="15.75" customHeight="1" s="147"/>
    <row r="824" ht="15.75" customHeight="1" s="147"/>
    <row r="825" ht="15.75" customHeight="1" s="147"/>
    <row r="826" ht="15.75" customHeight="1" s="147"/>
    <row r="827" ht="15.75" customHeight="1" s="147"/>
    <row r="828" ht="15.75" customHeight="1" s="147"/>
    <row r="829" ht="15.75" customHeight="1" s="147"/>
    <row r="830" ht="15.75" customHeight="1" s="147"/>
    <row r="831" ht="15.75" customHeight="1" s="147"/>
    <row r="832" ht="15.75" customHeight="1" s="147"/>
    <row r="833" ht="15.75" customHeight="1" s="147"/>
    <row r="834" ht="15.75" customHeight="1" s="147"/>
    <row r="835" ht="15.75" customHeight="1" s="147"/>
    <row r="836" ht="15.75" customHeight="1" s="147"/>
    <row r="837" ht="15.75" customHeight="1" s="147"/>
    <row r="838" ht="15.75" customHeight="1" s="147"/>
    <row r="839" ht="15.75" customHeight="1" s="147"/>
    <row r="840" ht="15.75" customHeight="1" s="147"/>
    <row r="841" ht="15.75" customHeight="1" s="147"/>
    <row r="842" ht="15.75" customHeight="1" s="147"/>
    <row r="843" ht="15.75" customHeight="1" s="147"/>
    <row r="844" ht="15.75" customHeight="1" s="147"/>
    <row r="845" ht="15.75" customHeight="1" s="147"/>
    <row r="846" ht="15.75" customHeight="1" s="147"/>
    <row r="847" ht="15.75" customHeight="1" s="147"/>
    <row r="848" ht="15.75" customHeight="1" s="147"/>
    <row r="849" ht="15.75" customHeight="1" s="147"/>
    <row r="850" ht="15.75" customHeight="1" s="147"/>
    <row r="851" ht="15.75" customHeight="1" s="147"/>
    <row r="852" ht="15.75" customHeight="1" s="147"/>
    <row r="853" ht="15.75" customHeight="1" s="147"/>
    <row r="854" ht="15.75" customHeight="1" s="147"/>
    <row r="855" ht="15.75" customHeight="1" s="147"/>
    <row r="856" ht="15.75" customHeight="1" s="147"/>
    <row r="857" ht="15.75" customHeight="1" s="147"/>
    <row r="858" ht="15.75" customHeight="1" s="147"/>
    <row r="859" ht="15.75" customHeight="1" s="147"/>
    <row r="860" ht="15.75" customHeight="1" s="147"/>
    <row r="861" ht="15.75" customHeight="1" s="147"/>
    <row r="862" ht="15.75" customHeight="1" s="147"/>
    <row r="863" ht="15.75" customHeight="1" s="147"/>
    <row r="864" ht="15.75" customHeight="1" s="147"/>
    <row r="865" ht="15.75" customHeight="1" s="147"/>
    <row r="866" ht="15.75" customHeight="1" s="147"/>
    <row r="867" ht="15.75" customHeight="1" s="147"/>
    <row r="868" ht="15.75" customHeight="1" s="147"/>
    <row r="869" ht="15.75" customHeight="1" s="147"/>
    <row r="870" ht="15.75" customHeight="1" s="147"/>
    <row r="871" ht="15.75" customHeight="1" s="147"/>
    <row r="872" ht="15.75" customHeight="1" s="147"/>
    <row r="873" ht="15.75" customHeight="1" s="147"/>
    <row r="874" ht="15.75" customHeight="1" s="147"/>
    <row r="875" ht="15.75" customHeight="1" s="147"/>
    <row r="876" ht="15.75" customHeight="1" s="147"/>
    <row r="877" ht="15.75" customHeight="1" s="147"/>
    <row r="878" ht="15.75" customHeight="1" s="147"/>
    <row r="879" ht="15.75" customHeight="1" s="147"/>
    <row r="880" ht="15.75" customHeight="1" s="147"/>
    <row r="881" ht="15.75" customHeight="1" s="147"/>
    <row r="882" ht="15.75" customHeight="1" s="147"/>
    <row r="883" ht="15.75" customHeight="1" s="147"/>
    <row r="884" ht="15.75" customHeight="1" s="147"/>
    <row r="885" ht="15.75" customHeight="1" s="147"/>
    <row r="886" ht="15.75" customHeight="1" s="147"/>
    <row r="887" ht="15.75" customHeight="1" s="147"/>
    <row r="888" ht="15.75" customHeight="1" s="147"/>
    <row r="889" ht="15.75" customHeight="1" s="147"/>
    <row r="890" ht="15.75" customHeight="1" s="147"/>
    <row r="891" ht="15.75" customHeight="1" s="147"/>
    <row r="892" ht="15.75" customHeight="1" s="147"/>
    <row r="893" ht="15.75" customHeight="1" s="147"/>
    <row r="894" ht="15.75" customHeight="1" s="147"/>
    <row r="895" ht="15.75" customHeight="1" s="147"/>
    <row r="896" ht="15.75" customHeight="1" s="147"/>
    <row r="897" ht="15.75" customHeight="1" s="147"/>
    <row r="898" ht="15.75" customHeight="1" s="147"/>
    <row r="899" ht="15.75" customHeight="1" s="147"/>
    <row r="900" ht="15.75" customHeight="1" s="147"/>
    <row r="901" ht="15.75" customHeight="1" s="147"/>
    <row r="902" ht="15.75" customHeight="1" s="147"/>
    <row r="903" ht="15.75" customHeight="1" s="147"/>
    <row r="904" ht="15.75" customHeight="1" s="147"/>
    <row r="905" ht="15.75" customHeight="1" s="147"/>
    <row r="906" ht="15.75" customHeight="1" s="147"/>
    <row r="907" ht="15.75" customHeight="1" s="147"/>
    <row r="908" ht="15.75" customHeight="1" s="147"/>
    <row r="909" ht="15.75" customHeight="1" s="147"/>
    <row r="910" ht="15.75" customHeight="1" s="147"/>
    <row r="911" ht="15.75" customHeight="1" s="147"/>
    <row r="912" ht="15.75" customHeight="1" s="147"/>
    <row r="913" ht="15.75" customHeight="1" s="147"/>
    <row r="914" ht="15.75" customHeight="1" s="147"/>
    <row r="915" ht="15.75" customHeight="1" s="147"/>
    <row r="916" ht="15.75" customHeight="1" s="147"/>
    <row r="917" ht="15.75" customHeight="1" s="147"/>
    <row r="918" ht="15.75" customHeight="1" s="147"/>
    <row r="919" ht="15.75" customHeight="1" s="147"/>
    <row r="920" ht="15.75" customHeight="1" s="147"/>
    <row r="921" ht="15.75" customHeight="1" s="147"/>
    <row r="922" ht="15.75" customHeight="1" s="147"/>
    <row r="923" ht="15.75" customHeight="1" s="147"/>
    <row r="924" ht="15.75" customHeight="1" s="147"/>
    <row r="925" ht="15.75" customHeight="1" s="147"/>
    <row r="926" ht="15.75" customHeight="1" s="147"/>
    <row r="927" ht="15.75" customHeight="1" s="147"/>
    <row r="928" ht="15.75" customHeight="1" s="147"/>
    <row r="929" ht="15.75" customHeight="1" s="147"/>
    <row r="930" ht="15.75" customHeight="1" s="147"/>
    <row r="931" ht="15.75" customHeight="1" s="147"/>
    <row r="932" ht="15.75" customHeight="1" s="147"/>
    <row r="933" ht="15.75" customHeight="1" s="147"/>
    <row r="934" ht="15.75" customHeight="1" s="147"/>
    <row r="935" ht="15.75" customHeight="1" s="147"/>
    <row r="936" ht="15.75" customHeight="1" s="147"/>
    <row r="937" ht="15.75" customHeight="1" s="147"/>
    <row r="938" ht="15.75" customHeight="1" s="147"/>
    <row r="939" ht="15.75" customHeight="1" s="147"/>
    <row r="940" ht="15.75" customHeight="1" s="147"/>
    <row r="941" ht="15.75" customHeight="1" s="147"/>
    <row r="942" ht="15.75" customHeight="1" s="147"/>
    <row r="943" ht="15.75" customHeight="1" s="147"/>
    <row r="944" ht="15.75" customHeight="1" s="147"/>
    <row r="945" ht="15.75" customHeight="1" s="147"/>
    <row r="946" ht="15.75" customHeight="1" s="147"/>
    <row r="947" ht="15.75" customHeight="1" s="147"/>
    <row r="948" ht="15.75" customHeight="1" s="147"/>
    <row r="949" ht="15.75" customHeight="1" s="147"/>
    <row r="950" ht="15.75" customHeight="1" s="147"/>
    <row r="951" ht="15.75" customHeight="1" s="147"/>
    <row r="952" ht="15.75" customHeight="1" s="147"/>
    <row r="953" ht="15.75" customHeight="1" s="147"/>
    <row r="954" ht="15.75" customHeight="1" s="147"/>
    <row r="955" ht="15.75" customHeight="1" s="147"/>
    <row r="956" ht="15.75" customHeight="1" s="147"/>
    <row r="957" ht="15.75" customHeight="1" s="147"/>
    <row r="958" ht="15.75" customHeight="1" s="147"/>
    <row r="959" ht="15.75" customHeight="1" s="147"/>
    <row r="960" ht="15.75" customHeight="1" s="147"/>
    <row r="961" ht="15.75" customHeight="1" s="147"/>
    <row r="962" ht="15.75" customHeight="1" s="147"/>
    <row r="963" ht="15.75" customHeight="1" s="147"/>
    <row r="964" ht="15.75" customHeight="1" s="147"/>
    <row r="965" ht="15.75" customHeight="1" s="147"/>
    <row r="966" ht="15.75" customHeight="1" s="147"/>
    <row r="967" ht="15.75" customHeight="1" s="147"/>
    <row r="968" ht="15.75" customHeight="1" s="147"/>
    <row r="969" ht="15.75" customHeight="1" s="147"/>
    <row r="970" ht="15.75" customHeight="1" s="147"/>
    <row r="971" ht="15.75" customHeight="1" s="147"/>
    <row r="972" ht="15.75" customHeight="1" s="147"/>
    <row r="973" ht="15.75" customHeight="1" s="147"/>
    <row r="974" ht="15.75" customHeight="1" s="147"/>
    <row r="975" ht="15.75" customHeight="1" s="147"/>
    <row r="976" ht="15.75" customHeight="1" s="147"/>
    <row r="977" ht="15.75" customHeight="1" s="147"/>
    <row r="978" ht="15.75" customHeight="1" s="147"/>
    <row r="979" ht="15.75" customHeight="1" s="147"/>
    <row r="980" ht="15.75" customHeight="1" s="147"/>
    <row r="981" ht="15.75" customHeight="1" s="147"/>
    <row r="982" ht="15.75" customHeight="1" s="147"/>
    <row r="983" ht="15.75" customHeight="1" s="147"/>
    <row r="984" ht="15.75" customHeight="1" s="147"/>
    <row r="985" ht="15.75" customHeight="1" s="147"/>
    <row r="986" ht="15.75" customHeight="1" s="147"/>
    <row r="987" ht="15.75" customHeight="1" s="147"/>
    <row r="988" ht="15.75" customHeight="1" s="147"/>
    <row r="989" ht="15.75" customHeight="1" s="147"/>
    <row r="990" ht="15.75" customHeight="1" s="147"/>
    <row r="991" ht="15.75" customHeight="1" s="147"/>
    <row r="992" ht="15.75" customHeight="1" s="147"/>
    <row r="993" ht="15.75" customHeight="1" s="147"/>
    <row r="994" ht="15.75" customHeight="1" s="147"/>
    <row r="995" ht="15.75" customHeight="1" s="147"/>
    <row r="996" ht="15.75" customHeight="1" s="147"/>
    <row r="997" ht="15.75" customHeight="1" s="147"/>
    <row r="998" ht="15.75" customHeight="1" s="147"/>
    <row r="999" ht="15.75" customHeight="1" s="147"/>
    <row r="1000" ht="15.75" customHeight="1" s="147"/>
  </sheetData>
  <mergeCells count="28">
    <mergeCell ref="B74:H74"/>
    <mergeCell ref="D81:H81"/>
    <mergeCell ref="B64:H64"/>
    <mergeCell ref="D80:H80"/>
    <mergeCell ref="D84:H84"/>
    <mergeCell ref="L13:M13"/>
    <mergeCell ref="B36:H36"/>
    <mergeCell ref="L12:M12"/>
    <mergeCell ref="D77:H77"/>
    <mergeCell ref="B4:H4"/>
    <mergeCell ref="D2:H2"/>
    <mergeCell ref="B75:H75"/>
    <mergeCell ref="L15:M15"/>
    <mergeCell ref="D76:H76"/>
    <mergeCell ref="L14:M14"/>
    <mergeCell ref="B59:H59"/>
    <mergeCell ref="D70:H70"/>
    <mergeCell ref="D78:H78"/>
    <mergeCell ref="B26:J26"/>
    <mergeCell ref="D62:H62"/>
    <mergeCell ref="D83:H83"/>
    <mergeCell ref="D73:H73"/>
    <mergeCell ref="D82:H82"/>
    <mergeCell ref="J4:M4"/>
    <mergeCell ref="D89:H89"/>
    <mergeCell ref="J11:M11"/>
    <mergeCell ref="B10:H10"/>
    <mergeCell ref="D79:H79"/>
  </mergeCells>
  <conditionalFormatting sqref="F38:F45">
    <cfRule type="cellIs" rank="0" priority="2" equalAverage="0" operator="equal" aboveAverage="0" dxfId="0" text="" percent="0" bottom="0">
      <formula>"GREEN"</formula>
    </cfRule>
    <cfRule type="cellIs" rank="0" priority="3" equalAverage="0" operator="equal" aboveAverage="0" dxfId="1" text="" percent="0" bottom="0">
      <formula>"YELLOW"</formula>
    </cfRule>
    <cfRule type="cellIs" rank="0" priority="4" equalAverage="0" operator="equal" aboveAverage="0" dxfId="2" text="" percent="0" bottom="0">
      <formula>"RED"</formula>
    </cfRule>
    <cfRule type="cellIs" rank="0" priority="5" equalAverage="0" operator="equal" aboveAverage="0" dxfId="2" text="" percent="0" bottom="0">
      <formula>"KNOCKOUT"</formula>
    </cfRule>
  </conditionalFormatting>
  <conditionalFormatting sqref="F51:F56">
    <cfRule type="cellIs" rank="0" priority="6" equalAverage="0" operator="equal" aboveAverage="0" dxfId="0" text="" percent="0" bottom="0">
      <formula>"GREEN"</formula>
    </cfRule>
    <cfRule type="cellIs" rank="0" priority="7" equalAverage="0" operator="equal" aboveAverage="0" dxfId="1" text="" percent="0" bottom="0">
      <formula>"YELLOW"</formula>
    </cfRule>
    <cfRule type="cellIs" rank="0" priority="8" equalAverage="0" operator="equal" aboveAverage="0" dxfId="2" text="" percent="0" bottom="0">
      <formula>"RED"</formula>
    </cfRule>
    <cfRule type="cellIs" rank="0" priority="9" equalAverage="0" operator="equal" aboveAverage="0" dxfId="2" text="" percent="0" bottom="0">
      <formula>"KNOCKOUT"</formula>
    </cfRule>
  </conditionalFormatting>
  <conditionalFormatting sqref="C2">
    <cfRule type="cellIs" rank="0" priority="10" equalAverage="0" operator="equal" aboveAverage="0" dxfId="0" text="" percent="0" bottom="0">
      <formula>"APPROVE"</formula>
    </cfRule>
    <cfRule type="cellIs" rank="0" priority="11" equalAverage="0" operator="equal" aboveAverage="0" dxfId="1" text="" percent="0" bottom="0">
      <formula>"CONDITIONAL"</formula>
    </cfRule>
    <cfRule type="cellIs" rank="0" priority="12" equalAverage="0" operator="equal" aboveAverage="0" dxfId="2" text="" percent="0" bottom="0">
      <formula>"DECLINE"</formula>
    </cfRule>
    <cfRule type="cellIs" rank="0" priority="13" equalAverage="0" operator="equal" aboveAverage="0" dxfId="3" text="" percent="0" bottom="0">
      <formula>"MANUAL REVIEW"</formula>
    </cfRule>
  </conditionalFormatting>
  <conditionalFormatting sqref="C62">
    <cfRule type="cellIs" rank="0" priority="14" equalAverage="0" operator="equal" aboveAverage="0" dxfId="0" text="" percent="0" bottom="0">
      <formula>"APPROVE"</formula>
    </cfRule>
    <cfRule type="cellIs" rank="0" priority="15" equalAverage="0" operator="equal" aboveAverage="0" dxfId="1" text="" percent="0" bottom="0">
      <formula>"CONDITIONAL"</formula>
    </cfRule>
    <cfRule type="cellIs" rank="0" priority="16" equalAverage="0" operator="equal" aboveAverage="0" dxfId="2" text="" percent="0" bottom="0">
      <formula>"DECLINE"</formula>
    </cfRule>
    <cfRule type="cellIs" rank="0" priority="17" equalAverage="0" operator="equal" aboveAverage="0" dxfId="3" text="" percent="0" bottom="0">
      <formula>"MANUAL REVIEW"</formula>
    </cfRule>
  </conditionalFormatting>
  <conditionalFormatting sqref="D85:D88">
    <cfRule type="cellIs" rank="0" priority="18" equalAverage="0" operator="equal" aboveAverage="0" dxfId="0" text="" percent="0" bottom="0">
      <formula>"GREEN"</formula>
    </cfRule>
    <cfRule type="cellIs" rank="0" priority="19" equalAverage="0" operator="equal" aboveAverage="0" dxfId="1" text="" percent="0" bottom="0">
      <formula>"YELLOW"</formula>
    </cfRule>
    <cfRule type="cellIs" rank="0" priority="20" equalAverage="0" operator="equal" aboveAverage="0" dxfId="2" text="" percent="0" bottom="0">
      <formula>"RED"</formula>
    </cfRule>
    <cfRule type="cellIs" rank="0" priority="21" equalAverage="0" operator="equal" aboveAverage="0" dxfId="2" text="" percent="0" bottom="0">
      <formula>"KNOCKOUT"</formula>
    </cfRule>
  </conditionalFormatting>
  <conditionalFormatting sqref="C77">
    <cfRule type="cellIs" rank="0" priority="22" equalAverage="0" operator="equal" aboveAverage="0" dxfId="0" text="" percent="0" bottom="0">
      <formula>"APPROVE"</formula>
    </cfRule>
    <cfRule type="cellIs" rank="0" priority="23" equalAverage="0" operator="equal" aboveAverage="0" dxfId="1" text="" percent="0" bottom="0">
      <formula>"CONDITIONAL"</formula>
    </cfRule>
    <cfRule type="cellIs" rank="0" priority="24" equalAverage="0" operator="equal" aboveAverage="0" dxfId="2" text="" percent="0" bottom="0">
      <formula>"DECLINE"</formula>
    </cfRule>
  </conditionalFormatting>
  <dataValidations count="6">
    <dataValidation sqref="E28:E33" showDropDown="0" showInputMessage="0" showErrorMessage="0" allowBlank="1" type="list" errorStyle="stop" operator="between">
      <formula1>"Weekly,Daily,Monthly"</formula1>
      <formula2>0</formula2>
    </dataValidation>
    <dataValidation sqref="B12:B23" showDropDown="0" showInputMessage="0" showErrorMessage="0" allowBlank="1" type="list" errorStyle="stop" operator="between">
      <formula1>"Jan,Feb,Mar,Apr,May,Jun,Jul,Aug,Sep,Oct,Nov,Dec"</formula1>
      <formula2>0</formula2>
    </dataValidation>
    <dataValidation sqref="K13" showDropDown="0" showInputMessage="0" showErrorMessage="0" allowBlank="1" type="list" errorStyle="stop" operator="between">
      <formula1>Ref!$G$2:$G$67</formula1>
      <formula2>0</formula2>
    </dataValidation>
    <dataValidation sqref="K12" showDropDown="0" showInputMessage="0" showErrorMessage="0" allowBlank="1" type="list" errorStyle="stop" operator="between">
      <formula1>Ref!$E$2:$E$157</formula1>
      <formula2>0</formula2>
    </dataValidation>
    <dataValidation sqref="E6" showDropDown="0" showInputMessage="0" showErrorMessage="0" allowBlank="1" type="list" errorStyle="stop" operator="between">
      <formula1>"Daily,Weekly"</formula1>
      <formula2>0</formula2>
    </dataValidation>
    <dataValidation sqref="K14" showDropDown="0" showInputMessage="0" showErrorMessage="0" allowBlank="1" type="list" errorStyle="stop" operator="between">
      <formula1>"New Deal,Renewal"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7" customWidth="1" style="146" min="1" max="1"/>
    <col width="38" customWidth="1" style="146" min="2" max="2"/>
    <col width="23.57" customWidth="1" style="146" min="3" max="3"/>
    <col width="16" customWidth="1" style="146" min="4" max="4"/>
    <col width="12" customWidth="1" style="146" min="5" max="5"/>
    <col width="16" customWidth="1" style="146" min="6" max="7"/>
    <col width="12" customWidth="1" style="146" min="8" max="8"/>
    <col width="60" customWidth="1" style="146" min="9" max="9"/>
    <col width="8.57" customWidth="1" style="146" min="10" max="26"/>
  </cols>
  <sheetData>
    <row r="1" ht="17.35" customHeight="1" s="147">
      <c r="A1" s="250" t="inlineStr">
        <is>
          <t xml:space="preserve">HISTORICAL SCORE  </t>
        </is>
      </c>
    </row>
    <row r="2" ht="15" customHeight="1" s="147">
      <c r="A2" s="251" t="n"/>
    </row>
    <row r="4" ht="15" customHeight="1" s="147">
      <c r="A4" s="152" t="inlineStr">
        <is>
          <t>DEAL BEING MATCHED</t>
        </is>
      </c>
    </row>
    <row r="5" ht="15" customHeight="1" s="147">
      <c r="B5" s="252" t="inlineStr">
        <is>
          <t>New deal or renewal</t>
        </is>
      </c>
      <c r="C5" s="243">
        <f>IF(Deal!$K$14="","",Deal!$K$14)</f>
        <v/>
      </c>
    </row>
    <row r="6" ht="15" customHeight="1" s="147">
      <c r="B6" s="252" t="inlineStr">
        <is>
          <t>Position (Deal C42)</t>
        </is>
      </c>
      <c r="C6" s="243">
        <f>IF(Deal!$C$42="","",Deal!$C$42)</f>
        <v/>
      </c>
    </row>
    <row r="7" ht="15" customHeight="1" s="147">
      <c r="B7" s="252" t="inlineStr">
        <is>
          <t>Industry</t>
        </is>
      </c>
      <c r="C7" s="243">
        <f>IF(Deal!$K$13="","",Deal!$K$13)</f>
        <v/>
      </c>
    </row>
    <row r="8" ht="15" customHeight="1" s="147">
      <c r="B8" s="252" t="inlineStr">
        <is>
          <t>ISO</t>
        </is>
      </c>
      <c r="C8" s="247">
        <f>IF(Deal!$K$12="","",Deal!$K$12)</f>
        <v/>
      </c>
    </row>
    <row r="9" ht="15" customHeight="1" s="147"/>
    <row r="10" ht="15" customHeight="1" s="147">
      <c r="B10" s="252" t="inlineStr">
        <is>
          <t>Seasoned-book principal lost rate</t>
        </is>
      </c>
      <c r="C10" s="245">
        <f>IF($F$20="",0,$F$20)</f>
        <v/>
      </c>
    </row>
    <row r="11" ht="15" customHeight="1" s="147">
      <c r="B11" s="252" t="inlineStr">
        <is>
          <t>Seasoned-book return on funded</t>
        </is>
      </c>
      <c r="C11" s="245">
        <f>IF($G$20="",0,$G$20)</f>
        <v/>
      </c>
    </row>
    <row r="12" ht="15" customHeight="1" s="147"/>
    <row r="13" ht="30" customHeight="1" s="147">
      <c r="A13" s="236" t="n"/>
      <c r="B13" s="236" t="inlineStr">
        <is>
          <t>Cohort</t>
        </is>
      </c>
      <c r="C13" s="236" t="inlineStr">
        <is>
          <t>Seasoned deals</t>
        </is>
      </c>
      <c r="D13" s="236" t="inlineStr">
        <is>
          <t>Funded $ (seasoned)</t>
        </is>
      </c>
      <c r="E13" s="236" t="inlineStr">
        <is>
          <t>Meets min?</t>
        </is>
      </c>
      <c r="F13" s="236" t="inlineStr">
        <is>
          <t>Principal lost rate</t>
        </is>
      </c>
      <c r="G13" s="236" t="inlineStr">
        <is>
          <t>Return on funded</t>
        </is>
      </c>
      <c r="H13" s="236" t="inlineStr">
        <is>
          <t>Index</t>
        </is>
      </c>
      <c r="I13" s="236" t="n"/>
    </row>
    <row r="14" ht="15" customHeight="1" s="147">
      <c r="A14" s="202" t="n"/>
      <c r="B14" s="252" t="inlineStr">
        <is>
          <t>New/renewal + industry + position</t>
        </is>
      </c>
      <c r="C14" s="253">
        <f>SUMPRODUCT('Historical Data'!$AU$2:$AU$9*'Historical Data'!$AP$2:$AP$9)</f>
        <v/>
      </c>
      <c r="D14" s="254">
        <f>SUMPRODUCT('Historical Data'!$AU$2:$AU$9*'Historical Data'!$AP$2:$AP$9*'Historical Data'!$N$2:$N$9)</f>
        <v/>
      </c>
      <c r="E14" s="247">
        <f>IF(AND(C14&gt;=Controls!$B$24,D14&gt;=Controls!$B$25),"Yes","No")</f>
        <v/>
      </c>
      <c r="F14" s="255">
        <f>IF(D14=0,"",SUMPRODUCT('Historical Data'!$AU$2:$AU$9*'Historical Data'!$AP$2:$AP$9*'Historical Data'!$AK$2:$AK$9)/D14)</f>
        <v/>
      </c>
      <c r="G14" s="255">
        <f>IF(D14=0,"",SUMPRODUCT('Historical Data'!$AU$2:$AU$9*'Historical Data'!$AP$2:$AP$9*'Historical Data'!$AJ$2:$AJ$9)/D14)</f>
        <v/>
      </c>
      <c r="H14" s="206">
        <f>IF(OR(F14="",$C$10=0),"",F14/$C$10)</f>
        <v/>
      </c>
      <c r="I14" s="251" t="n"/>
    </row>
    <row r="15" ht="15" customHeight="1" s="147">
      <c r="A15" s="202" t="n"/>
      <c r="B15" s="252" t="inlineStr">
        <is>
          <t>New/renewal + ISO + position</t>
        </is>
      </c>
      <c r="C15" s="253">
        <f>SUMPRODUCT('Historical Data'!$AV$2:$AV$9*'Historical Data'!$AP$2:$AP$9)</f>
        <v/>
      </c>
      <c r="D15" s="254">
        <f>SUMPRODUCT('Historical Data'!$AV$2:$AV$9*'Historical Data'!$AP$2:$AP$9*'Historical Data'!$N$2:$N$9)</f>
        <v/>
      </c>
      <c r="E15" s="247">
        <f>IF(AND(C15&gt;=Controls!$B$24,D15&gt;=Controls!$B$25),"Yes","No")</f>
        <v/>
      </c>
      <c r="F15" s="255">
        <f>IF(D15=0,"",SUMPRODUCT('Historical Data'!$AV$2:$AV$9*'Historical Data'!$AP$2:$AP$9*'Historical Data'!$AK$2:$AK$9)/D15)</f>
        <v/>
      </c>
      <c r="G15" s="255">
        <f>IF(D15=0,"",SUMPRODUCT('Historical Data'!$AV$2:$AV$9*'Historical Data'!$AP$2:$AP$9*'Historical Data'!$AJ$2:$AJ$9)/D15)</f>
        <v/>
      </c>
      <c r="H15" s="206">
        <f>IF(OR(F15="",$C$10=0),"",F15/$C$10)</f>
        <v/>
      </c>
    </row>
    <row r="16" ht="15" customHeight="1" s="147">
      <c r="A16" s="202" t="n"/>
      <c r="B16" s="252" t="inlineStr">
        <is>
          <t>New/renewal + industry</t>
        </is>
      </c>
      <c r="C16" s="253">
        <f>SUMPRODUCT('Historical Data'!$AW$2:$AW$9*'Historical Data'!$AP$2:$AP$9)</f>
        <v/>
      </c>
      <c r="D16" s="254">
        <f>SUMPRODUCT('Historical Data'!$AW$2:$AW$9*'Historical Data'!$AP$2:$AP$9*'Historical Data'!$N$2:$N$9)</f>
        <v/>
      </c>
      <c r="E16" s="247">
        <f>IF(AND(C16&gt;=Controls!$B$24,D16&gt;=Controls!$B$25),"Yes","No")</f>
        <v/>
      </c>
      <c r="F16" s="255">
        <f>IF(D16=0,"",SUMPRODUCT('Historical Data'!$AW$2:$AW$9*'Historical Data'!$AP$2:$AP$9*'Historical Data'!$AK$2:$AK$9)/D16)</f>
        <v/>
      </c>
      <c r="G16" s="255">
        <f>IF(D16=0,"",SUMPRODUCT('Historical Data'!$AW$2:$AW$9*'Historical Data'!$AP$2:$AP$9*'Historical Data'!$AJ$2:$AJ$9)/D16)</f>
        <v/>
      </c>
      <c r="H16" s="206">
        <f>IF(OR(F16="",$C$10=0),"",F16/$C$10)</f>
        <v/>
      </c>
    </row>
    <row r="17" ht="15" customHeight="1" s="147">
      <c r="A17" s="202" t="n"/>
      <c r="B17" s="252" t="inlineStr">
        <is>
          <t>New/renewal + ISO</t>
        </is>
      </c>
      <c r="C17" s="253">
        <f>SUMPRODUCT('Historical Data'!$AX$2:$AX$9*'Historical Data'!$AP$2:$AP$9)</f>
        <v/>
      </c>
      <c r="D17" s="254">
        <f>SUMPRODUCT('Historical Data'!$AX$2:$AX$9*'Historical Data'!$AP$2:$AP$9*'Historical Data'!$N$2:$N$9)</f>
        <v/>
      </c>
      <c r="E17" s="247">
        <f>IF(AND(C17&gt;=Controls!$B$24,D17&gt;=Controls!$B$25),"Yes","No")</f>
        <v/>
      </c>
      <c r="F17" s="255">
        <f>IF(D17=0,"",SUMPRODUCT('Historical Data'!$AX$2:$AX$9*'Historical Data'!$AP$2:$AP$9*'Historical Data'!$AK$2:$AK$9)/D17)</f>
        <v/>
      </c>
      <c r="G17" s="255">
        <f>IF(D17=0,"",SUMPRODUCT('Historical Data'!$AX$2:$AX$9*'Historical Data'!$AP$2:$AP$9*'Historical Data'!$AJ$2:$AJ$9)/D17)</f>
        <v/>
      </c>
      <c r="H17" s="206">
        <f>IF(OR(F17="",$C$10=0),"",F17/$C$10)</f>
        <v/>
      </c>
    </row>
    <row r="18" ht="15" customHeight="1" s="147">
      <c r="A18" s="202" t="n"/>
      <c r="B18" s="252" t="inlineStr">
        <is>
          <t>New/renewal + position</t>
        </is>
      </c>
      <c r="C18" s="253">
        <f>SUMPRODUCT('Historical Data'!$AY$2:$AY$9*'Historical Data'!$AP$2:$AP$9)</f>
        <v/>
      </c>
      <c r="D18" s="254">
        <f>SUMPRODUCT('Historical Data'!$AY$2:$AY$9*'Historical Data'!$AP$2:$AP$9*'Historical Data'!$N$2:$N$9)</f>
        <v/>
      </c>
      <c r="E18" s="247">
        <f>IF(AND(C18&gt;=Controls!$B$24,D18&gt;=Controls!$B$25),"Yes","No")</f>
        <v/>
      </c>
      <c r="F18" s="255">
        <f>IF(D18=0,"",SUMPRODUCT('Historical Data'!$AY$2:$AY$9*'Historical Data'!$AP$2:$AP$9*'Historical Data'!$AK$2:$AK$9)/D18)</f>
        <v/>
      </c>
      <c r="G18" s="255">
        <f>IF(D18=0,"",SUMPRODUCT('Historical Data'!$AY$2:$AY$9*'Historical Data'!$AP$2:$AP$9*'Historical Data'!$AJ$2:$AJ$9)/D18)</f>
        <v/>
      </c>
      <c r="H18" s="206">
        <f>IF(OR(F18="",$C$10=0),"",F18/$C$10)</f>
        <v/>
      </c>
    </row>
    <row r="19" ht="15" customHeight="1" s="147">
      <c r="A19" s="202" t="n"/>
      <c r="B19" s="252" t="inlineStr">
        <is>
          <t>New/renewal only</t>
        </is>
      </c>
      <c r="C19" s="253">
        <f>SUMPRODUCT('Historical Data'!$AZ$2:$AZ$9*'Historical Data'!$AP$2:$AP$9)</f>
        <v/>
      </c>
      <c r="D19" s="254">
        <f>SUMPRODUCT('Historical Data'!$AZ$2:$AZ$9*'Historical Data'!$AP$2:$AP$9*'Historical Data'!$N$2:$N$9)</f>
        <v/>
      </c>
      <c r="E19" s="247">
        <f>IF(AND(C19&gt;=Controls!$B$24,D19&gt;=Controls!$B$25),"Yes","No")</f>
        <v/>
      </c>
      <c r="F19" s="255">
        <f>IF(D19=0,"",SUMPRODUCT('Historical Data'!$AZ$2:$AZ$9*'Historical Data'!$AP$2:$AP$9*'Historical Data'!$AK$2:$AK$9)/D19)</f>
        <v/>
      </c>
      <c r="G19" s="255">
        <f>IF(D19=0,"",SUMPRODUCT('Historical Data'!$AZ$2:$AZ$9*'Historical Data'!$AP$2:$AP$9*'Historical Data'!$AJ$2:$AJ$9)/D19)</f>
        <v/>
      </c>
      <c r="H19" s="206">
        <f>IF(OR(F19="",$C$10=0),"",F19/$C$10)</f>
        <v/>
      </c>
    </row>
    <row r="20" ht="15" customHeight="1" s="147">
      <c r="A20" s="202" t="n"/>
      <c r="B20" s="252" t="inlineStr">
        <is>
          <t>Whole seasoned book</t>
        </is>
      </c>
      <c r="C20" s="253">
        <f>SUMPRODUCT('Historical Data'!$BA$2:$BA$9*'Historical Data'!$AP$2:$AP$9)</f>
        <v/>
      </c>
      <c r="D20" s="254">
        <f>SUMPRODUCT('Historical Data'!$BA$2:$BA$9*'Historical Data'!$AP$2:$AP$9*'Historical Data'!$N$2:$N$9)</f>
        <v/>
      </c>
      <c r="E20" s="247">
        <f>IF(AND(C20&gt;=Controls!$B$24,D20&gt;=Controls!$B$25),"Yes","No")</f>
        <v/>
      </c>
      <c r="F20" s="255">
        <f>IF(D20=0,"",SUMPRODUCT('Historical Data'!$BA$2:$BA$9*'Historical Data'!$AP$2:$AP$9*'Historical Data'!$AK$2:$AK$9)/D20)</f>
        <v/>
      </c>
      <c r="G20" s="255">
        <f>IF(D20=0,"",SUMPRODUCT('Historical Data'!$BA$2:$BA$9*'Historical Data'!$AP$2:$AP$9*'Historical Data'!$AJ$2:$AJ$9)/D20)</f>
        <v/>
      </c>
      <c r="H20" s="206">
        <f>IF(OR(F20="",$C$10=0),"",F20/$C$10)</f>
        <v/>
      </c>
    </row>
    <row r="21" ht="15.75" customHeight="1" s="147">
      <c r="A21" s="236" t="n"/>
      <c r="B21" s="236" t="inlineStr">
        <is>
          <t>SINGLE-DIMENSION EVIDENCE  (feeds C2 on the Deal sheet; does not pick the cohort)</t>
        </is>
      </c>
      <c r="C21" s="236" t="n"/>
      <c r="D21" s="236" t="n"/>
      <c r="E21" s="236" t="n"/>
      <c r="F21" s="236" t="n"/>
      <c r="G21" s="236" t="n"/>
      <c r="H21" s="236" t="n"/>
      <c r="I21" s="236" t="inlineStr">
        <is>
          <t>|PLR - book|</t>
        </is>
      </c>
    </row>
    <row r="22" ht="15.75" customHeight="1" s="147">
      <c r="A22" s="202" t="n"/>
      <c r="B22" s="252" t="inlineStr">
        <is>
          <t>Position only</t>
        </is>
      </c>
      <c r="C22" s="253">
        <f>SUMPRODUCT('Historical Data'!$AQ$2:$AQ$9*'Historical Data'!$AP$2:$AP$9)</f>
        <v/>
      </c>
      <c r="D22" s="254">
        <f>SUMPRODUCT('Historical Data'!$AQ$2:$AQ$9*'Historical Data'!$AP$2:$AP$9*'Historical Data'!$N$2:$N$9)</f>
        <v/>
      </c>
      <c r="E22" s="247">
        <f>IF(AND(C22&gt;=Controls!$B$24,D22&gt;=Controls!$B$25),"Yes","No")</f>
        <v/>
      </c>
      <c r="F22" s="255">
        <f>IF(D22=0,"",SUMPRODUCT('Historical Data'!$AQ$2:$AQ$9*'Historical Data'!$AP$2:$AP$9*'Historical Data'!$AK$2:$AK$9)/D22)</f>
        <v/>
      </c>
      <c r="G22" s="255">
        <f>IF(D22=0,"",SUMPRODUCT('Historical Data'!$AQ$2:$AQ$9*'Historical Data'!$AP$2:$AP$9*'Historical Data'!$AJ$2:$AJ$9)/D22)</f>
        <v/>
      </c>
      <c r="H22" s="206">
        <f>IF(OR(F22="",$C$10=0),"",F22/$C$10)</f>
        <v/>
      </c>
      <c r="I22" s="256">
        <f>IF(F22="",0,ABS(F22-$C$10))</f>
        <v/>
      </c>
    </row>
    <row r="23" ht="15.75" customHeight="1" s="147">
      <c r="A23" s="202" t="n"/>
      <c r="B23" s="252" t="inlineStr">
        <is>
          <t>New/renewal only</t>
        </is>
      </c>
      <c r="C23" s="253">
        <f>SUMPRODUCT('Historical Data'!$AR$2:$AR$9*'Historical Data'!$AP$2:$AP$9)</f>
        <v/>
      </c>
      <c r="D23" s="254">
        <f>SUMPRODUCT('Historical Data'!$AR$2:$AR$9*'Historical Data'!$AP$2:$AP$9*'Historical Data'!$N$2:$N$9)</f>
        <v/>
      </c>
      <c r="E23" s="247">
        <f>IF(AND(C23&gt;=Controls!$B$24,D23&gt;=Controls!$B$25),"Yes","No")</f>
        <v/>
      </c>
      <c r="F23" s="255">
        <f>IF(D23=0,"",SUMPRODUCT('Historical Data'!$AR$2:$AR$9*'Historical Data'!$AP$2:$AP$9*'Historical Data'!$AK$2:$AK$9)/D23)</f>
        <v/>
      </c>
      <c r="G23" s="255">
        <f>IF(D23=0,"",SUMPRODUCT('Historical Data'!$AR$2:$AR$9*'Historical Data'!$AP$2:$AP$9*'Historical Data'!$AJ$2:$AJ$9)/D23)</f>
        <v/>
      </c>
      <c r="H23" s="206">
        <f>IF(OR(F23="",$C$10=0),"",F23/$C$10)</f>
        <v/>
      </c>
      <c r="I23" s="256">
        <f>IF(F23="",0,ABS(F23-$C$10))</f>
        <v/>
      </c>
    </row>
    <row r="24" ht="15.75" customHeight="1" s="147">
      <c r="A24" s="202" t="n"/>
      <c r="B24" s="252" t="inlineStr">
        <is>
          <t>Industry only</t>
        </is>
      </c>
      <c r="C24" s="253">
        <f>SUMPRODUCT('Historical Data'!$AS$2:$AS$9*'Historical Data'!$AP$2:$AP$9)</f>
        <v/>
      </c>
      <c r="D24" s="254">
        <f>SUMPRODUCT('Historical Data'!$AS$2:$AS$9*'Historical Data'!$AP$2:$AP$9*'Historical Data'!$N$2:$N$9)</f>
        <v/>
      </c>
      <c r="E24" s="247">
        <f>IF(AND(C24&gt;=Controls!$B$24,D24&gt;=Controls!$B$25),"Yes","No")</f>
        <v/>
      </c>
      <c r="F24" s="255">
        <f>IF(D24=0,"",SUMPRODUCT('Historical Data'!$AS$2:$AS$9*'Historical Data'!$AP$2:$AP$9*'Historical Data'!$AK$2:$AK$9)/D24)</f>
        <v/>
      </c>
      <c r="G24" s="255">
        <f>IF(D24=0,"",SUMPRODUCT('Historical Data'!$AS$2:$AS$9*'Historical Data'!$AP$2:$AP$9*'Historical Data'!$AJ$2:$AJ$9)/D24)</f>
        <v/>
      </c>
      <c r="H24" s="206">
        <f>IF(OR(F24="",$C$10=0),"",F24/$C$10)</f>
        <v/>
      </c>
      <c r="I24" s="256">
        <f>IF(F24="",0,ABS(F24-$C$10))</f>
        <v/>
      </c>
    </row>
    <row r="25" ht="15.75" customHeight="1" s="147">
      <c r="A25" s="202" t="n"/>
      <c r="B25" s="252" t="inlineStr">
        <is>
          <t>ISO only</t>
        </is>
      </c>
      <c r="C25" s="253">
        <f>SUMPRODUCT('Historical Data'!$AT$2:$AT$9*'Historical Data'!$AP$2:$AP$9)</f>
        <v/>
      </c>
      <c r="D25" s="254">
        <f>SUMPRODUCT('Historical Data'!$AT$2:$AT$9*'Historical Data'!$AP$2:$AP$9*'Historical Data'!$N$2:$N$9)</f>
        <v/>
      </c>
      <c r="E25" s="247">
        <f>IF(AND(C25&gt;=Controls!$B$24,D25&gt;=Controls!$B$25),"Yes","No")</f>
        <v/>
      </c>
      <c r="F25" s="255">
        <f>IF(D25=0,"",SUMPRODUCT('Historical Data'!$AT$2:$AT$9*'Historical Data'!$AP$2:$AP$9*'Historical Data'!$AK$2:$AK$9)/D25)</f>
        <v/>
      </c>
      <c r="G25" s="255">
        <f>IF(D25=0,"",SUMPRODUCT('Historical Data'!$AT$2:$AT$9*'Historical Data'!$AP$2:$AP$9*'Historical Data'!$AJ$2:$AJ$9)/D25)</f>
        <v/>
      </c>
      <c r="H25" s="206">
        <f>IF(OR(F25="",$C$10=0),"",F25/$C$10)</f>
        <v/>
      </c>
      <c r="I25" s="256">
        <f>IF(F25="",0,ABS(F25-$C$10))</f>
        <v/>
      </c>
    </row>
    <row r="26" ht="15.75" customHeight="1" s="147"/>
    <row r="27" ht="15.75" customHeight="1" s="147"/>
    <row r="28" ht="15.75" customHeight="1" s="147">
      <c r="A28" s="152" t="inlineStr">
        <is>
          <t>RESULT</t>
        </is>
      </c>
    </row>
    <row r="29" ht="15.75" customHeight="1" s="147">
      <c r="B29" s="252" t="inlineStr">
        <is>
          <t>Primary cohort  (lowest row that meets both minimums)</t>
        </is>
      </c>
      <c r="C29" s="257">
        <f>INDEX($B$14:$B$20,$D$29)</f>
        <v/>
      </c>
      <c r="D29" s="258">
        <f>IFERROR(MATCH("Yes",$E$14:$E$20,0),7)</f>
        <v/>
      </c>
      <c r="E29" s="249" t="inlineStr">
        <is>
          <t>row # (read by Historical Data)</t>
        </is>
      </c>
    </row>
    <row r="30" ht="15.75" customHeight="1" s="147">
      <c r="B30" s="252" t="inlineStr">
        <is>
          <t>Seasoned deals in it</t>
        </is>
      </c>
      <c r="C30" s="257">
        <f>INDEX($C$14:$C$20,$D$29)</f>
        <v/>
      </c>
    </row>
    <row r="31" ht="15.75" customHeight="1" s="147">
      <c r="B31" s="252" t="inlineStr">
        <is>
          <t>Principal lost rate</t>
        </is>
      </c>
      <c r="C31" s="259">
        <f>INDEX($F$14:$F$20,$D$29)</f>
        <v/>
      </c>
    </row>
    <row r="32" ht="15.75" customHeight="1" s="147">
      <c r="B32" s="252" t="inlineStr">
        <is>
          <t>Return on funded</t>
        </is>
      </c>
      <c r="C32" s="259">
        <f>INDEX($G$14:$G$20,$D$29)</f>
        <v/>
      </c>
    </row>
    <row r="33" ht="15.75" customHeight="1" s="147">
      <c r="B33" s="252" t="inlineStr">
        <is>
          <t>Index (PLR / book PLR)</t>
        </is>
      </c>
      <c r="C33" s="260">
        <f>INDEX($H$14:$H$20,$D$29)</f>
        <v/>
      </c>
    </row>
    <row r="34" ht="15.75" customHeight="1" s="147">
      <c r="B34" s="252" t="inlineStr">
        <is>
          <t>HOUSE-BOOK OUTCOME</t>
        </is>
      </c>
      <c r="C34" s="261">
        <f>IF(OR(D29=7,C33=""),"Neutral",IF(C33&lt;=Controls!$B$29,"Supportive",IF(C33&gt;Controls!$B$30,"Negative","Neutral")))</f>
        <v/>
      </c>
    </row>
    <row r="35" ht="15.75" customHeight="1" s="147">
      <c r="B35" s="252" t="inlineStr">
        <is>
          <t>Sizing flex applied (Supportive only)</t>
        </is>
      </c>
      <c r="C35" s="262">
        <f>IF(C34="Supportive",Controls!$B$31,0)</f>
        <v/>
      </c>
    </row>
    <row r="36" ht="15.75" customHeight="1" s="147">
      <c r="B36" s="252" t="inlineStr">
        <is>
          <t>Largest-impact variable</t>
        </is>
      </c>
      <c r="C36" s="262">
        <f>IF(MAX($I$22:$I$25)=0,"none rated",INDEX($B$22:$B$25,MATCH(MAX($I$22:$I$25),$I$22:$I$25,0))&amp;": "&amp;TEXT(INDEX($F$22:$F$25,MATCH(MAX($I$22:$I$25),$I$22:$I$25,0)),"0.0%")&amp;" PLR vs "&amp;TEXT($C$10,"0.0%")&amp;" book")</f>
        <v/>
      </c>
    </row>
    <row r="37" ht="15.75" customHeight="1" s="147">
      <c r="B37" s="159" t="n"/>
      <c r="C37" s="263" t="n"/>
    </row>
    <row r="38" ht="15.75" customHeight="1" s="147"/>
    <row r="39" ht="15.75" customHeight="1" s="147">
      <c r="B39" s="251" t="n"/>
    </row>
    <row r="40" ht="15.75" customHeight="1" s="147"/>
    <row r="41" ht="15.75" customHeight="1" s="147"/>
    <row r="42" ht="15.75" customHeight="1" s="147"/>
    <row r="43" ht="15.75" customHeight="1" s="147"/>
    <row r="44" ht="15.75" customHeight="1" s="147"/>
    <row r="45" ht="15.75" customHeight="1" s="147"/>
    <row r="46" ht="15.75" customHeight="1" s="147"/>
    <row r="47" ht="15.75" customHeight="1" s="147"/>
    <row r="48" ht="15.75" customHeight="1" s="147"/>
    <row r="49" ht="15.75" customHeight="1" s="147"/>
    <row r="50" ht="15.75" customHeight="1" s="147"/>
    <row r="51" ht="15.75" customHeight="1" s="147"/>
    <row r="52" ht="15.75" customHeight="1" s="147"/>
    <row r="53" ht="15.75" customHeight="1" s="147"/>
    <row r="54" ht="15.75" customHeight="1" s="147"/>
    <row r="55" ht="15.75" customHeight="1" s="147"/>
    <row r="56" ht="15.75" customHeight="1" s="147"/>
    <row r="57" ht="15.75" customHeight="1" s="147"/>
    <row r="58" ht="15.75" customHeight="1" s="147"/>
    <row r="59" ht="15.75" customHeight="1" s="147"/>
    <row r="60" ht="15.75" customHeight="1" s="147"/>
    <row r="61" ht="15.75" customHeight="1" s="147"/>
    <row r="62" ht="15.75" customHeight="1" s="147"/>
    <row r="63" ht="15.75" customHeight="1" s="147"/>
    <row r="64" ht="15.75" customHeight="1" s="147"/>
    <row r="65" ht="15.75" customHeight="1" s="147"/>
    <row r="66" ht="15.75" customHeight="1" s="147"/>
    <row r="67" ht="15.75" customHeight="1" s="147"/>
    <row r="68" ht="15.75" customHeight="1" s="147"/>
    <row r="69" ht="15.75" customHeight="1" s="147"/>
    <row r="70" ht="15.75" customHeight="1" s="147"/>
    <row r="71" ht="15.75" customHeight="1" s="147"/>
    <row r="72" ht="15.75" customHeight="1" s="147"/>
    <row r="73" ht="15.75" customHeight="1" s="147"/>
    <row r="74" ht="15.75" customHeight="1" s="147"/>
    <row r="75" ht="15.75" customHeight="1" s="147"/>
    <row r="76" ht="15.75" customHeight="1" s="147"/>
    <row r="77" ht="15.75" customHeight="1" s="147"/>
    <row r="78" ht="15.75" customHeight="1" s="147"/>
    <row r="79" ht="15.75" customHeight="1" s="147"/>
    <row r="80" ht="15.75" customHeight="1" s="147"/>
    <row r="81" ht="15.75" customHeight="1" s="147"/>
    <row r="82" ht="15.75" customHeight="1" s="147"/>
    <row r="83" ht="15.75" customHeight="1" s="147"/>
    <row r="84" ht="15.75" customHeight="1" s="147"/>
    <row r="85" ht="15.75" customHeight="1" s="147"/>
    <row r="86" ht="15.75" customHeight="1" s="147"/>
    <row r="87" ht="15.75" customHeight="1" s="147"/>
    <row r="88" ht="15.75" customHeight="1" s="147"/>
    <row r="89" ht="15.75" customHeight="1" s="147"/>
    <row r="90" ht="15.75" customHeight="1" s="147"/>
    <row r="91" ht="15.75" customHeight="1" s="147"/>
    <row r="92" ht="15.75" customHeight="1" s="147"/>
    <row r="93" ht="15.75" customHeight="1" s="147"/>
    <row r="94" ht="15.75" customHeight="1" s="147"/>
    <row r="95" ht="15.75" customHeight="1" s="147"/>
    <row r="96" ht="15.75" customHeight="1" s="147"/>
    <row r="97" ht="15.75" customHeight="1" s="147"/>
    <row r="98" ht="15.75" customHeight="1" s="147"/>
    <row r="99" ht="15.75" customHeight="1" s="147"/>
    <row r="100" ht="15.75" customHeight="1" s="147"/>
    <row r="101" ht="15.75" customHeight="1" s="147"/>
    <row r="102" ht="15.75" customHeight="1" s="147"/>
    <row r="103" ht="15.75" customHeight="1" s="147"/>
    <row r="104" ht="15.75" customHeight="1" s="147"/>
    <row r="105" ht="15.75" customHeight="1" s="147"/>
    <row r="106" ht="15.75" customHeight="1" s="147"/>
    <row r="107" ht="15.75" customHeight="1" s="147"/>
    <row r="108" ht="15.75" customHeight="1" s="147"/>
    <row r="109" ht="15.75" customHeight="1" s="147"/>
    <row r="110" ht="15.75" customHeight="1" s="147"/>
    <row r="111" ht="15.75" customHeight="1" s="147"/>
    <row r="112" ht="15.75" customHeight="1" s="147"/>
    <row r="113" ht="15.75" customHeight="1" s="147"/>
    <row r="114" ht="15.75" customHeight="1" s="147"/>
    <row r="115" ht="15.75" customHeight="1" s="147"/>
    <row r="116" ht="15.75" customHeight="1" s="147"/>
    <row r="117" ht="15.75" customHeight="1" s="147"/>
    <row r="118" ht="15.75" customHeight="1" s="147"/>
    <row r="119" ht="15.75" customHeight="1" s="147"/>
    <row r="120" ht="15.75" customHeight="1" s="147"/>
    <row r="121" ht="15.75" customHeight="1" s="147"/>
    <row r="122" ht="15.75" customHeight="1" s="147"/>
    <row r="123" ht="15.75" customHeight="1" s="147"/>
    <row r="124" ht="15.75" customHeight="1" s="147"/>
    <row r="125" ht="15.75" customHeight="1" s="147"/>
    <row r="126" ht="15.75" customHeight="1" s="147"/>
    <row r="127" ht="15.75" customHeight="1" s="147"/>
    <row r="128" ht="15.75" customHeight="1" s="147"/>
    <row r="129" ht="15.75" customHeight="1" s="147"/>
    <row r="130" ht="15.75" customHeight="1" s="147"/>
    <row r="131" ht="15.75" customHeight="1" s="147"/>
    <row r="132" ht="15.75" customHeight="1" s="147"/>
    <row r="133" ht="15.75" customHeight="1" s="147"/>
    <row r="134" ht="15.75" customHeight="1" s="147"/>
    <row r="135" ht="15.75" customHeight="1" s="147"/>
    <row r="136" ht="15.75" customHeight="1" s="147"/>
    <row r="137" ht="15.75" customHeight="1" s="147"/>
    <row r="138" ht="15.75" customHeight="1" s="147"/>
    <row r="139" ht="15.75" customHeight="1" s="147"/>
    <row r="140" ht="15.75" customHeight="1" s="147"/>
    <row r="141" ht="15.75" customHeight="1" s="147"/>
    <row r="142" ht="15.75" customHeight="1" s="147"/>
    <row r="143" ht="15.75" customHeight="1" s="147"/>
    <row r="144" ht="15.75" customHeight="1" s="147"/>
    <row r="145" ht="15.75" customHeight="1" s="147"/>
    <row r="146" ht="15.75" customHeight="1" s="147"/>
    <row r="147" ht="15.75" customHeight="1" s="147"/>
    <row r="148" ht="15.75" customHeight="1" s="147"/>
    <row r="149" ht="15.75" customHeight="1" s="147"/>
    <row r="150" ht="15.75" customHeight="1" s="147"/>
    <row r="151" ht="15.75" customHeight="1" s="147"/>
    <row r="152" ht="15.75" customHeight="1" s="147"/>
    <row r="153" ht="15.75" customHeight="1" s="147"/>
    <row r="154" ht="15.75" customHeight="1" s="147"/>
    <row r="155" ht="15.75" customHeight="1" s="147"/>
    <row r="156" ht="15.75" customHeight="1" s="147"/>
    <row r="157" ht="15.75" customHeight="1" s="147"/>
    <row r="158" ht="15.75" customHeight="1" s="147"/>
    <row r="159" ht="15.75" customHeight="1" s="147"/>
    <row r="160" ht="15.75" customHeight="1" s="147"/>
    <row r="161" ht="15.75" customHeight="1" s="147"/>
    <row r="162" ht="15.75" customHeight="1" s="147"/>
    <row r="163" ht="15.75" customHeight="1" s="147"/>
    <row r="164" ht="15.75" customHeight="1" s="147"/>
    <row r="165" ht="15.75" customHeight="1" s="147"/>
    <row r="166" ht="15.75" customHeight="1" s="147"/>
    <row r="167" ht="15.75" customHeight="1" s="147"/>
    <row r="168" ht="15.75" customHeight="1" s="147"/>
    <row r="169" ht="15.75" customHeight="1" s="147"/>
    <row r="170" ht="15.75" customHeight="1" s="147"/>
    <row r="171" ht="15.75" customHeight="1" s="147"/>
    <row r="172" ht="15.75" customHeight="1" s="147"/>
    <row r="173" ht="15.75" customHeight="1" s="147"/>
    <row r="174" ht="15.75" customHeight="1" s="147"/>
    <row r="175" ht="15.75" customHeight="1" s="147"/>
    <row r="176" ht="15.75" customHeight="1" s="147"/>
    <row r="177" ht="15.75" customHeight="1" s="147"/>
    <row r="178" ht="15.75" customHeight="1" s="147"/>
    <row r="179" ht="15.75" customHeight="1" s="147"/>
    <row r="180" ht="15.75" customHeight="1" s="147"/>
    <row r="181" ht="15.75" customHeight="1" s="147"/>
    <row r="182" ht="15.75" customHeight="1" s="147"/>
    <row r="183" ht="15.75" customHeight="1" s="147"/>
    <row r="184" ht="15.75" customHeight="1" s="147"/>
    <row r="185" ht="15.75" customHeight="1" s="147"/>
    <row r="186" ht="15.75" customHeight="1" s="147"/>
    <row r="187" ht="15.75" customHeight="1" s="147"/>
    <row r="188" ht="15.75" customHeight="1" s="147"/>
    <row r="189" ht="15.75" customHeight="1" s="147"/>
    <row r="190" ht="15.75" customHeight="1" s="147"/>
    <row r="191" ht="15.75" customHeight="1" s="147"/>
    <row r="192" ht="15.75" customHeight="1" s="147"/>
    <row r="193" ht="15.75" customHeight="1" s="147"/>
    <row r="194" ht="15.75" customHeight="1" s="147"/>
    <row r="195" ht="15.75" customHeight="1" s="147"/>
    <row r="196" ht="15.75" customHeight="1" s="147"/>
    <row r="197" ht="15.75" customHeight="1" s="147"/>
    <row r="198" ht="15.75" customHeight="1" s="147"/>
    <row r="199" ht="15.75" customHeight="1" s="147"/>
    <row r="200" ht="15.75" customHeight="1" s="147"/>
    <row r="201" ht="15.75" customHeight="1" s="147"/>
    <row r="202" ht="15.75" customHeight="1" s="147"/>
    <row r="203" ht="15.75" customHeight="1" s="147"/>
    <row r="204" ht="15.75" customHeight="1" s="147"/>
    <row r="205" ht="15.75" customHeight="1" s="147"/>
    <row r="206" ht="15.75" customHeight="1" s="147"/>
    <row r="207" ht="15.75" customHeight="1" s="147"/>
    <row r="208" ht="15.75" customHeight="1" s="147"/>
    <row r="209" ht="15.75" customHeight="1" s="147"/>
    <row r="210" ht="15.75" customHeight="1" s="147"/>
    <row r="211" ht="15.75" customHeight="1" s="147"/>
    <row r="212" ht="15.75" customHeight="1" s="147"/>
    <row r="213" ht="15.75" customHeight="1" s="147"/>
    <row r="214" ht="15.75" customHeight="1" s="147"/>
    <row r="215" ht="15.75" customHeight="1" s="147"/>
    <row r="216" ht="15.75" customHeight="1" s="147"/>
    <row r="217" ht="15.75" customHeight="1" s="147"/>
    <row r="218" ht="15.75" customHeight="1" s="147"/>
    <row r="219" ht="15.75" customHeight="1" s="147"/>
    <row r="220" ht="15.75" customHeight="1" s="147"/>
    <row r="221" ht="15.75" customHeight="1" s="147"/>
    <row r="222" ht="15.75" customHeight="1" s="147"/>
    <row r="223" ht="15.75" customHeight="1" s="147"/>
    <row r="224" ht="15.75" customHeight="1" s="147"/>
    <row r="225" ht="15.75" customHeight="1" s="147"/>
    <row r="226" ht="15.75" customHeight="1" s="147"/>
    <row r="227" ht="15.75" customHeight="1" s="147"/>
    <row r="228" ht="15.75" customHeight="1" s="147"/>
    <row r="229" ht="15.75" customHeight="1" s="147"/>
    <row r="230" ht="15.75" customHeight="1" s="147"/>
    <row r="231" ht="15.75" customHeight="1" s="147"/>
    <row r="232" ht="15.75" customHeight="1" s="147"/>
    <row r="233" ht="15.75" customHeight="1" s="147"/>
    <row r="234" ht="15.75" customHeight="1" s="147"/>
    <row r="235" ht="15.75" customHeight="1" s="147"/>
    <row r="236" ht="15.75" customHeight="1" s="147"/>
    <row r="237" ht="15.75" customHeight="1" s="147"/>
    <row r="238" ht="15.75" customHeight="1" s="147"/>
    <row r="239" ht="15.75" customHeight="1" s="147"/>
    <row r="240" ht="15.75" customHeight="1" s="147"/>
    <row r="241" ht="15.75" customHeight="1" s="147"/>
    <row r="242" ht="15.75" customHeight="1" s="147"/>
    <row r="243" ht="15.75" customHeight="1" s="147"/>
    <row r="244" ht="15.75" customHeight="1" s="147"/>
    <row r="245" ht="15.75" customHeight="1" s="147"/>
    <row r="246" ht="15.75" customHeight="1" s="147"/>
    <row r="247" ht="15.75" customHeight="1" s="147"/>
    <row r="248" ht="15.75" customHeight="1" s="147"/>
    <row r="249" ht="15.75" customHeight="1" s="147"/>
    <row r="250" ht="15.75" customHeight="1" s="147"/>
    <row r="251" ht="15.75" customHeight="1" s="147"/>
    <row r="252" ht="15.75" customHeight="1" s="147"/>
    <row r="253" ht="15.75" customHeight="1" s="147"/>
    <row r="254" ht="15.75" customHeight="1" s="147"/>
    <row r="255" ht="15.75" customHeight="1" s="147"/>
    <row r="256" ht="15.75" customHeight="1" s="147"/>
    <row r="257" ht="15.75" customHeight="1" s="147"/>
    <row r="258" ht="15.75" customHeight="1" s="147"/>
    <row r="259" ht="15.75" customHeight="1" s="147"/>
    <row r="260" ht="15.75" customHeight="1" s="147"/>
    <row r="261" ht="15.75" customHeight="1" s="147"/>
    <row r="262" ht="15.75" customHeight="1" s="147"/>
    <row r="263" ht="15.75" customHeight="1" s="147"/>
    <row r="264" ht="15.75" customHeight="1" s="147"/>
    <row r="265" ht="15.75" customHeight="1" s="147"/>
    <row r="266" ht="15.75" customHeight="1" s="147"/>
    <row r="267" ht="15.75" customHeight="1" s="147"/>
    <row r="268" ht="15.75" customHeight="1" s="147"/>
    <row r="269" ht="15.75" customHeight="1" s="147"/>
    <row r="270" ht="15.75" customHeight="1" s="147"/>
    <row r="271" ht="15.75" customHeight="1" s="147"/>
    <row r="272" ht="15.75" customHeight="1" s="147"/>
    <row r="273" ht="15.75" customHeight="1" s="147"/>
    <row r="274" ht="15.75" customHeight="1" s="147"/>
    <row r="275" ht="15.75" customHeight="1" s="147"/>
    <row r="276" ht="15.75" customHeight="1" s="147"/>
    <row r="277" ht="15.75" customHeight="1" s="147"/>
    <row r="278" ht="15.75" customHeight="1" s="147"/>
    <row r="279" ht="15.75" customHeight="1" s="147"/>
    <row r="280" ht="15.75" customHeight="1" s="147"/>
    <row r="281" ht="15.75" customHeight="1" s="147"/>
    <row r="282" ht="15.75" customHeight="1" s="147"/>
    <row r="283" ht="15.75" customHeight="1" s="147"/>
    <row r="284" ht="15.75" customHeight="1" s="147"/>
    <row r="285" ht="15.75" customHeight="1" s="147"/>
    <row r="286" ht="15.75" customHeight="1" s="147"/>
    <row r="287" ht="15.75" customHeight="1" s="147"/>
    <row r="288" ht="15.75" customHeight="1" s="147"/>
    <row r="289" ht="15.75" customHeight="1" s="147"/>
    <row r="290" ht="15.75" customHeight="1" s="147"/>
    <row r="291" ht="15.75" customHeight="1" s="147"/>
    <row r="292" ht="15.75" customHeight="1" s="147"/>
    <row r="293" ht="15.75" customHeight="1" s="147"/>
    <row r="294" ht="15.75" customHeight="1" s="147"/>
    <row r="295" ht="15.75" customHeight="1" s="147"/>
    <row r="296" ht="15.75" customHeight="1" s="147"/>
    <row r="297" ht="15.75" customHeight="1" s="147"/>
    <row r="298" ht="15.75" customHeight="1" s="147"/>
    <row r="299" ht="15.75" customHeight="1" s="147"/>
    <row r="300" ht="15.75" customHeight="1" s="147"/>
    <row r="301" ht="15.75" customHeight="1" s="147"/>
    <row r="302" ht="15.75" customHeight="1" s="147"/>
    <row r="303" ht="15.75" customHeight="1" s="147"/>
    <row r="304" ht="15.75" customHeight="1" s="147"/>
    <row r="305" ht="15.75" customHeight="1" s="147"/>
    <row r="306" ht="15.75" customHeight="1" s="147"/>
    <row r="307" ht="15.75" customHeight="1" s="147"/>
    <row r="308" ht="15.75" customHeight="1" s="147"/>
    <row r="309" ht="15.75" customHeight="1" s="147"/>
    <row r="310" ht="15.75" customHeight="1" s="147"/>
    <row r="311" ht="15.75" customHeight="1" s="147"/>
    <row r="312" ht="15.75" customHeight="1" s="147"/>
    <row r="313" ht="15.75" customHeight="1" s="147"/>
    <row r="314" ht="15.75" customHeight="1" s="147"/>
    <row r="315" ht="15.75" customHeight="1" s="147"/>
    <row r="316" ht="15.75" customHeight="1" s="147"/>
    <row r="317" ht="15.75" customHeight="1" s="147"/>
    <row r="318" ht="15.75" customHeight="1" s="147"/>
    <row r="319" ht="15.75" customHeight="1" s="147"/>
    <row r="320" ht="15.75" customHeight="1" s="147"/>
    <row r="321" ht="15.75" customHeight="1" s="147"/>
    <row r="322" ht="15.75" customHeight="1" s="147"/>
    <row r="323" ht="15.75" customHeight="1" s="147"/>
    <row r="324" ht="15.75" customHeight="1" s="147"/>
    <row r="325" ht="15.75" customHeight="1" s="147"/>
    <row r="326" ht="15.75" customHeight="1" s="147"/>
    <row r="327" ht="15.75" customHeight="1" s="147"/>
    <row r="328" ht="15.75" customHeight="1" s="147"/>
    <row r="329" ht="15.75" customHeight="1" s="147"/>
    <row r="330" ht="15.75" customHeight="1" s="147"/>
    <row r="331" ht="15.75" customHeight="1" s="147"/>
    <row r="332" ht="15.75" customHeight="1" s="147"/>
    <row r="333" ht="15.75" customHeight="1" s="147"/>
    <row r="334" ht="15.75" customHeight="1" s="147"/>
    <row r="335" ht="15.75" customHeight="1" s="147"/>
    <row r="336" ht="15.75" customHeight="1" s="147"/>
    <row r="337" ht="15.75" customHeight="1" s="147"/>
    <row r="338" ht="15.75" customHeight="1" s="147"/>
    <row r="339" ht="15.75" customHeight="1" s="147"/>
    <row r="340" ht="15.75" customHeight="1" s="147"/>
    <row r="341" ht="15.75" customHeight="1" s="147"/>
    <row r="342" ht="15.75" customHeight="1" s="147"/>
    <row r="343" ht="15.75" customHeight="1" s="147"/>
    <row r="344" ht="15.75" customHeight="1" s="147"/>
    <row r="345" ht="15.75" customHeight="1" s="147"/>
    <row r="346" ht="15.75" customHeight="1" s="147"/>
    <row r="347" ht="15.75" customHeight="1" s="147"/>
    <row r="348" ht="15.75" customHeight="1" s="147"/>
    <row r="349" ht="15.75" customHeight="1" s="147"/>
    <row r="350" ht="15.75" customHeight="1" s="147"/>
    <row r="351" ht="15.75" customHeight="1" s="147"/>
    <row r="352" ht="15.75" customHeight="1" s="147"/>
    <row r="353" ht="15.75" customHeight="1" s="147"/>
    <row r="354" ht="15.75" customHeight="1" s="147"/>
    <row r="355" ht="15.75" customHeight="1" s="147"/>
    <row r="356" ht="15.75" customHeight="1" s="147"/>
    <row r="357" ht="15.75" customHeight="1" s="147"/>
    <row r="358" ht="15.75" customHeight="1" s="147"/>
    <row r="359" ht="15.75" customHeight="1" s="147"/>
    <row r="360" ht="15.75" customHeight="1" s="147"/>
    <row r="361" ht="15.75" customHeight="1" s="147"/>
    <row r="362" ht="15.75" customHeight="1" s="147"/>
    <row r="363" ht="15.75" customHeight="1" s="147"/>
    <row r="364" ht="15.75" customHeight="1" s="147"/>
    <row r="365" ht="15.75" customHeight="1" s="147"/>
    <row r="366" ht="15.75" customHeight="1" s="147"/>
    <row r="367" ht="15.75" customHeight="1" s="147"/>
    <row r="368" ht="15.75" customHeight="1" s="147"/>
    <row r="369" ht="15.75" customHeight="1" s="147"/>
    <row r="370" ht="15.75" customHeight="1" s="147"/>
    <row r="371" ht="15.75" customHeight="1" s="147"/>
    <row r="372" ht="15.75" customHeight="1" s="147"/>
    <row r="373" ht="15.75" customHeight="1" s="147"/>
    <row r="374" ht="15.75" customHeight="1" s="147"/>
    <row r="375" ht="15.75" customHeight="1" s="147"/>
    <row r="376" ht="15.75" customHeight="1" s="147"/>
    <row r="377" ht="15.75" customHeight="1" s="147"/>
    <row r="378" ht="15.75" customHeight="1" s="147"/>
    <row r="379" ht="15.75" customHeight="1" s="147"/>
    <row r="380" ht="15.75" customHeight="1" s="147"/>
    <row r="381" ht="15.75" customHeight="1" s="147"/>
    <row r="382" ht="15.75" customHeight="1" s="147"/>
    <row r="383" ht="15.75" customHeight="1" s="147"/>
    <row r="384" ht="15.75" customHeight="1" s="147"/>
    <row r="385" ht="15.75" customHeight="1" s="147"/>
    <row r="386" ht="15.75" customHeight="1" s="147"/>
    <row r="387" ht="15.75" customHeight="1" s="147"/>
    <row r="388" ht="15.75" customHeight="1" s="147"/>
    <row r="389" ht="15.75" customHeight="1" s="147"/>
    <row r="390" ht="15.75" customHeight="1" s="147"/>
    <row r="391" ht="15.75" customHeight="1" s="147"/>
    <row r="392" ht="15.75" customHeight="1" s="147"/>
    <row r="393" ht="15.75" customHeight="1" s="147"/>
    <row r="394" ht="15.75" customHeight="1" s="147"/>
    <row r="395" ht="15.75" customHeight="1" s="147"/>
    <row r="396" ht="15.75" customHeight="1" s="147"/>
    <row r="397" ht="15.75" customHeight="1" s="147"/>
    <row r="398" ht="15.75" customHeight="1" s="147"/>
    <row r="399" ht="15.75" customHeight="1" s="147"/>
    <row r="400" ht="15.75" customHeight="1" s="147"/>
    <row r="401" ht="15.75" customHeight="1" s="147"/>
    <row r="402" ht="15.75" customHeight="1" s="147"/>
    <row r="403" ht="15.75" customHeight="1" s="147"/>
    <row r="404" ht="15.75" customHeight="1" s="147"/>
    <row r="405" ht="15.75" customHeight="1" s="147"/>
    <row r="406" ht="15.75" customHeight="1" s="147"/>
    <row r="407" ht="15.75" customHeight="1" s="147"/>
    <row r="408" ht="15.75" customHeight="1" s="147"/>
    <row r="409" ht="15.75" customHeight="1" s="147"/>
    <row r="410" ht="15.75" customHeight="1" s="147"/>
    <row r="411" ht="15.75" customHeight="1" s="147"/>
    <row r="412" ht="15.75" customHeight="1" s="147"/>
    <row r="413" ht="15.75" customHeight="1" s="147"/>
    <row r="414" ht="15.75" customHeight="1" s="147"/>
    <row r="415" ht="15.75" customHeight="1" s="147"/>
    <row r="416" ht="15.75" customHeight="1" s="147"/>
    <row r="417" ht="15.75" customHeight="1" s="147"/>
    <row r="418" ht="15.75" customHeight="1" s="147"/>
    <row r="419" ht="15.75" customHeight="1" s="147"/>
    <row r="420" ht="15.75" customHeight="1" s="147"/>
    <row r="421" ht="15.75" customHeight="1" s="147"/>
    <row r="422" ht="15.75" customHeight="1" s="147"/>
    <row r="423" ht="15.75" customHeight="1" s="147"/>
    <row r="424" ht="15.75" customHeight="1" s="147"/>
    <row r="425" ht="15.75" customHeight="1" s="147"/>
    <row r="426" ht="15.75" customHeight="1" s="147"/>
    <row r="427" ht="15.75" customHeight="1" s="147"/>
    <row r="428" ht="15.75" customHeight="1" s="147"/>
    <row r="429" ht="15.75" customHeight="1" s="147"/>
    <row r="430" ht="15.75" customHeight="1" s="147"/>
    <row r="431" ht="15.75" customHeight="1" s="147"/>
    <row r="432" ht="15.75" customHeight="1" s="147"/>
    <row r="433" ht="15.75" customHeight="1" s="147"/>
    <row r="434" ht="15.75" customHeight="1" s="147"/>
    <row r="435" ht="15.75" customHeight="1" s="147"/>
    <row r="436" ht="15.75" customHeight="1" s="147"/>
    <row r="437" ht="15.75" customHeight="1" s="147"/>
    <row r="438" ht="15.75" customHeight="1" s="147"/>
    <row r="439" ht="15.75" customHeight="1" s="147"/>
    <row r="440" ht="15.75" customHeight="1" s="147"/>
    <row r="441" ht="15.75" customHeight="1" s="147"/>
    <row r="442" ht="15.75" customHeight="1" s="147"/>
    <row r="443" ht="15.75" customHeight="1" s="147"/>
    <row r="444" ht="15.75" customHeight="1" s="147"/>
    <row r="445" ht="15.75" customHeight="1" s="147"/>
    <row r="446" ht="15.75" customHeight="1" s="147"/>
    <row r="447" ht="15.75" customHeight="1" s="147"/>
    <row r="448" ht="15.75" customHeight="1" s="147"/>
    <row r="449" ht="15.75" customHeight="1" s="147"/>
    <row r="450" ht="15.75" customHeight="1" s="147"/>
    <row r="451" ht="15.75" customHeight="1" s="147"/>
    <row r="452" ht="15.75" customHeight="1" s="147"/>
    <row r="453" ht="15.75" customHeight="1" s="147"/>
    <row r="454" ht="15.75" customHeight="1" s="147"/>
    <row r="455" ht="15.75" customHeight="1" s="147"/>
    <row r="456" ht="15.75" customHeight="1" s="147"/>
    <row r="457" ht="15.75" customHeight="1" s="147"/>
    <row r="458" ht="15.75" customHeight="1" s="147"/>
    <row r="459" ht="15.75" customHeight="1" s="147"/>
    <row r="460" ht="15.75" customHeight="1" s="147"/>
    <row r="461" ht="15.75" customHeight="1" s="147"/>
    <row r="462" ht="15.75" customHeight="1" s="147"/>
    <row r="463" ht="15.75" customHeight="1" s="147"/>
    <row r="464" ht="15.75" customHeight="1" s="147"/>
    <row r="465" ht="15.75" customHeight="1" s="147"/>
    <row r="466" ht="15.75" customHeight="1" s="147"/>
    <row r="467" ht="15.75" customHeight="1" s="147"/>
    <row r="468" ht="15.75" customHeight="1" s="147"/>
    <row r="469" ht="15.75" customHeight="1" s="147"/>
    <row r="470" ht="15.75" customHeight="1" s="147"/>
    <row r="471" ht="15.75" customHeight="1" s="147"/>
    <row r="472" ht="15.75" customHeight="1" s="147"/>
    <row r="473" ht="15.75" customHeight="1" s="147"/>
    <row r="474" ht="15.75" customHeight="1" s="147"/>
    <row r="475" ht="15.75" customHeight="1" s="147"/>
    <row r="476" ht="15.75" customHeight="1" s="147"/>
    <row r="477" ht="15.75" customHeight="1" s="147"/>
    <row r="478" ht="15.75" customHeight="1" s="147"/>
    <row r="479" ht="15.75" customHeight="1" s="147"/>
    <row r="480" ht="15.75" customHeight="1" s="147"/>
    <row r="481" ht="15.75" customHeight="1" s="147"/>
    <row r="482" ht="15.75" customHeight="1" s="147"/>
    <row r="483" ht="15.75" customHeight="1" s="147"/>
    <row r="484" ht="15.75" customHeight="1" s="147"/>
    <row r="485" ht="15.75" customHeight="1" s="147"/>
    <row r="486" ht="15.75" customHeight="1" s="147"/>
    <row r="487" ht="15.75" customHeight="1" s="147"/>
    <row r="488" ht="15.75" customHeight="1" s="147"/>
    <row r="489" ht="15.75" customHeight="1" s="147"/>
    <row r="490" ht="15.75" customHeight="1" s="147"/>
    <row r="491" ht="15.75" customHeight="1" s="147"/>
    <row r="492" ht="15.75" customHeight="1" s="147"/>
    <row r="493" ht="15.75" customHeight="1" s="147"/>
    <row r="494" ht="15.75" customHeight="1" s="147"/>
    <row r="495" ht="15.75" customHeight="1" s="147"/>
    <row r="496" ht="15.75" customHeight="1" s="147"/>
    <row r="497" ht="15.75" customHeight="1" s="147"/>
    <row r="498" ht="15.75" customHeight="1" s="147"/>
    <row r="499" ht="15.75" customHeight="1" s="147"/>
    <row r="500" ht="15.75" customHeight="1" s="147"/>
    <row r="501" ht="15.75" customHeight="1" s="147"/>
    <row r="502" ht="15.75" customHeight="1" s="147"/>
    <row r="503" ht="15.75" customHeight="1" s="147"/>
    <row r="504" ht="15.75" customHeight="1" s="147"/>
    <row r="505" ht="15.75" customHeight="1" s="147"/>
    <row r="506" ht="15.75" customHeight="1" s="147"/>
    <row r="507" ht="15.75" customHeight="1" s="147"/>
    <row r="508" ht="15.75" customHeight="1" s="147"/>
    <row r="509" ht="15.75" customHeight="1" s="147"/>
    <row r="510" ht="15.75" customHeight="1" s="147"/>
    <row r="511" ht="15.75" customHeight="1" s="147"/>
    <row r="512" ht="15.75" customHeight="1" s="147"/>
    <row r="513" ht="15.75" customHeight="1" s="147"/>
    <row r="514" ht="15.75" customHeight="1" s="147"/>
    <row r="515" ht="15.75" customHeight="1" s="147"/>
    <row r="516" ht="15.75" customHeight="1" s="147"/>
    <row r="517" ht="15.75" customHeight="1" s="147"/>
    <row r="518" ht="15.75" customHeight="1" s="147"/>
    <row r="519" ht="15.75" customHeight="1" s="147"/>
    <row r="520" ht="15.75" customHeight="1" s="147"/>
    <row r="521" ht="15.75" customHeight="1" s="147"/>
    <row r="522" ht="15.75" customHeight="1" s="147"/>
    <row r="523" ht="15.75" customHeight="1" s="147"/>
    <row r="524" ht="15.75" customHeight="1" s="147"/>
    <row r="525" ht="15.75" customHeight="1" s="147"/>
    <row r="526" ht="15.75" customHeight="1" s="147"/>
    <row r="527" ht="15.75" customHeight="1" s="147"/>
    <row r="528" ht="15.75" customHeight="1" s="147"/>
    <row r="529" ht="15.75" customHeight="1" s="147"/>
    <row r="530" ht="15.75" customHeight="1" s="147"/>
    <row r="531" ht="15.75" customHeight="1" s="147"/>
    <row r="532" ht="15.75" customHeight="1" s="147"/>
    <row r="533" ht="15.75" customHeight="1" s="147"/>
    <row r="534" ht="15.75" customHeight="1" s="147"/>
    <row r="535" ht="15.75" customHeight="1" s="147"/>
    <row r="536" ht="15.75" customHeight="1" s="147"/>
    <row r="537" ht="15.75" customHeight="1" s="147"/>
    <row r="538" ht="15.75" customHeight="1" s="147"/>
    <row r="539" ht="15.75" customHeight="1" s="147"/>
    <row r="540" ht="15.75" customHeight="1" s="147"/>
    <row r="541" ht="15.75" customHeight="1" s="147"/>
    <row r="542" ht="15.75" customHeight="1" s="147"/>
    <row r="543" ht="15.75" customHeight="1" s="147"/>
    <row r="544" ht="15.75" customHeight="1" s="147"/>
    <row r="545" ht="15.75" customHeight="1" s="147"/>
    <row r="546" ht="15.75" customHeight="1" s="147"/>
    <row r="547" ht="15.75" customHeight="1" s="147"/>
    <row r="548" ht="15.75" customHeight="1" s="147"/>
    <row r="549" ht="15.75" customHeight="1" s="147"/>
    <row r="550" ht="15.75" customHeight="1" s="147"/>
    <row r="551" ht="15.75" customHeight="1" s="147"/>
    <row r="552" ht="15.75" customHeight="1" s="147"/>
    <row r="553" ht="15.75" customHeight="1" s="147"/>
    <row r="554" ht="15.75" customHeight="1" s="147"/>
    <row r="555" ht="15.75" customHeight="1" s="147"/>
    <row r="556" ht="15.75" customHeight="1" s="147"/>
    <row r="557" ht="15.75" customHeight="1" s="147"/>
    <row r="558" ht="15.75" customHeight="1" s="147"/>
    <row r="559" ht="15.75" customHeight="1" s="147"/>
    <row r="560" ht="15.75" customHeight="1" s="147"/>
    <row r="561" ht="15.75" customHeight="1" s="147"/>
    <row r="562" ht="15.75" customHeight="1" s="147"/>
    <row r="563" ht="15.75" customHeight="1" s="147"/>
    <row r="564" ht="15.75" customHeight="1" s="147"/>
    <row r="565" ht="15.75" customHeight="1" s="147"/>
    <row r="566" ht="15.75" customHeight="1" s="147"/>
    <row r="567" ht="15.75" customHeight="1" s="147"/>
    <row r="568" ht="15.75" customHeight="1" s="147"/>
    <row r="569" ht="15.75" customHeight="1" s="147"/>
    <row r="570" ht="15.75" customHeight="1" s="147"/>
    <row r="571" ht="15.75" customHeight="1" s="147"/>
    <row r="572" ht="15.75" customHeight="1" s="147"/>
    <row r="573" ht="15.75" customHeight="1" s="147"/>
    <row r="574" ht="15.75" customHeight="1" s="147"/>
    <row r="575" ht="15.75" customHeight="1" s="147"/>
    <row r="576" ht="15.75" customHeight="1" s="147"/>
    <row r="577" ht="15.75" customHeight="1" s="147"/>
    <row r="578" ht="15.75" customHeight="1" s="147"/>
    <row r="579" ht="15.75" customHeight="1" s="147"/>
    <row r="580" ht="15.75" customHeight="1" s="147"/>
    <row r="581" ht="15.75" customHeight="1" s="147"/>
    <row r="582" ht="15.75" customHeight="1" s="147"/>
    <row r="583" ht="15.75" customHeight="1" s="147"/>
    <row r="584" ht="15.75" customHeight="1" s="147"/>
    <row r="585" ht="15.75" customHeight="1" s="147"/>
    <row r="586" ht="15.75" customHeight="1" s="147"/>
    <row r="587" ht="15.75" customHeight="1" s="147"/>
    <row r="588" ht="15.75" customHeight="1" s="147"/>
    <row r="589" ht="15.75" customHeight="1" s="147"/>
    <row r="590" ht="15.75" customHeight="1" s="147"/>
    <row r="591" ht="15.75" customHeight="1" s="147"/>
    <row r="592" ht="15.75" customHeight="1" s="147"/>
    <row r="593" ht="15.75" customHeight="1" s="147"/>
    <row r="594" ht="15.75" customHeight="1" s="147"/>
    <row r="595" ht="15.75" customHeight="1" s="147"/>
    <row r="596" ht="15.75" customHeight="1" s="147"/>
    <row r="597" ht="15.75" customHeight="1" s="147"/>
    <row r="598" ht="15.75" customHeight="1" s="147"/>
    <row r="599" ht="15.75" customHeight="1" s="147"/>
    <row r="600" ht="15.75" customHeight="1" s="147"/>
    <row r="601" ht="15.75" customHeight="1" s="147"/>
    <row r="602" ht="15.75" customHeight="1" s="147"/>
    <row r="603" ht="15.75" customHeight="1" s="147"/>
    <row r="604" ht="15.75" customHeight="1" s="147"/>
    <row r="605" ht="15.75" customHeight="1" s="147"/>
    <row r="606" ht="15.75" customHeight="1" s="147"/>
    <row r="607" ht="15.75" customHeight="1" s="147"/>
    <row r="608" ht="15.75" customHeight="1" s="147"/>
    <row r="609" ht="15.75" customHeight="1" s="147"/>
    <row r="610" ht="15.75" customHeight="1" s="147"/>
    <row r="611" ht="15.75" customHeight="1" s="147"/>
    <row r="612" ht="15.75" customHeight="1" s="147"/>
    <row r="613" ht="15.75" customHeight="1" s="147"/>
    <row r="614" ht="15.75" customHeight="1" s="147"/>
    <row r="615" ht="15.75" customHeight="1" s="147"/>
    <row r="616" ht="15.75" customHeight="1" s="147"/>
    <row r="617" ht="15.75" customHeight="1" s="147"/>
    <row r="618" ht="15.75" customHeight="1" s="147"/>
    <row r="619" ht="15.75" customHeight="1" s="147"/>
    <row r="620" ht="15.75" customHeight="1" s="147"/>
    <row r="621" ht="15.75" customHeight="1" s="147"/>
    <row r="622" ht="15.75" customHeight="1" s="147"/>
    <row r="623" ht="15.75" customHeight="1" s="147"/>
    <row r="624" ht="15.75" customHeight="1" s="147"/>
    <row r="625" ht="15.75" customHeight="1" s="147"/>
    <row r="626" ht="15.75" customHeight="1" s="147"/>
    <row r="627" ht="15.75" customHeight="1" s="147"/>
    <row r="628" ht="15.75" customHeight="1" s="147"/>
    <row r="629" ht="15.75" customHeight="1" s="147"/>
    <row r="630" ht="15.75" customHeight="1" s="147"/>
    <row r="631" ht="15.75" customHeight="1" s="147"/>
    <row r="632" ht="15.75" customHeight="1" s="147"/>
    <row r="633" ht="15.75" customHeight="1" s="147"/>
    <row r="634" ht="15.75" customHeight="1" s="147"/>
    <row r="635" ht="15.75" customHeight="1" s="147"/>
    <row r="636" ht="15.75" customHeight="1" s="147"/>
    <row r="637" ht="15.75" customHeight="1" s="147"/>
    <row r="638" ht="15.75" customHeight="1" s="147"/>
    <row r="639" ht="15.75" customHeight="1" s="147"/>
    <row r="640" ht="15.75" customHeight="1" s="147"/>
    <row r="641" ht="15.75" customHeight="1" s="147"/>
    <row r="642" ht="15.75" customHeight="1" s="147"/>
    <row r="643" ht="15.75" customHeight="1" s="147"/>
    <row r="644" ht="15.75" customHeight="1" s="147"/>
    <row r="645" ht="15.75" customHeight="1" s="147"/>
    <row r="646" ht="15.75" customHeight="1" s="147"/>
    <row r="647" ht="15.75" customHeight="1" s="147"/>
    <row r="648" ht="15.75" customHeight="1" s="147"/>
    <row r="649" ht="15.75" customHeight="1" s="147"/>
    <row r="650" ht="15.75" customHeight="1" s="147"/>
    <row r="651" ht="15.75" customHeight="1" s="147"/>
    <row r="652" ht="15.75" customHeight="1" s="147"/>
    <row r="653" ht="15.75" customHeight="1" s="147"/>
    <row r="654" ht="15.75" customHeight="1" s="147"/>
    <row r="655" ht="15.75" customHeight="1" s="147"/>
    <row r="656" ht="15.75" customHeight="1" s="147"/>
    <row r="657" ht="15.75" customHeight="1" s="147"/>
    <row r="658" ht="15.75" customHeight="1" s="147"/>
    <row r="659" ht="15.75" customHeight="1" s="147"/>
    <row r="660" ht="15.75" customHeight="1" s="147"/>
    <row r="661" ht="15.75" customHeight="1" s="147"/>
    <row r="662" ht="15.75" customHeight="1" s="147"/>
    <row r="663" ht="15.75" customHeight="1" s="147"/>
    <row r="664" ht="15.75" customHeight="1" s="147"/>
    <row r="665" ht="15.75" customHeight="1" s="147"/>
    <row r="666" ht="15.75" customHeight="1" s="147"/>
    <row r="667" ht="15.75" customHeight="1" s="147"/>
    <row r="668" ht="15.75" customHeight="1" s="147"/>
    <row r="669" ht="15.75" customHeight="1" s="147"/>
    <row r="670" ht="15.75" customHeight="1" s="147"/>
    <row r="671" ht="15.75" customHeight="1" s="147"/>
    <row r="672" ht="15.75" customHeight="1" s="147"/>
    <row r="673" ht="15.75" customHeight="1" s="147"/>
    <row r="674" ht="15.75" customHeight="1" s="147"/>
    <row r="675" ht="15.75" customHeight="1" s="147"/>
    <row r="676" ht="15.75" customHeight="1" s="147"/>
    <row r="677" ht="15.75" customHeight="1" s="147"/>
    <row r="678" ht="15.75" customHeight="1" s="147"/>
    <row r="679" ht="15.75" customHeight="1" s="147"/>
    <row r="680" ht="15.75" customHeight="1" s="147"/>
    <row r="681" ht="15.75" customHeight="1" s="147"/>
    <row r="682" ht="15.75" customHeight="1" s="147"/>
    <row r="683" ht="15.75" customHeight="1" s="147"/>
    <row r="684" ht="15.75" customHeight="1" s="147"/>
    <row r="685" ht="15.75" customHeight="1" s="147"/>
    <row r="686" ht="15.75" customHeight="1" s="147"/>
    <row r="687" ht="15.75" customHeight="1" s="147"/>
    <row r="688" ht="15.75" customHeight="1" s="147"/>
    <row r="689" ht="15.75" customHeight="1" s="147"/>
    <row r="690" ht="15.75" customHeight="1" s="147"/>
    <row r="691" ht="15.75" customHeight="1" s="147"/>
    <row r="692" ht="15.75" customHeight="1" s="147"/>
    <row r="693" ht="15.75" customHeight="1" s="147"/>
    <row r="694" ht="15.75" customHeight="1" s="147"/>
    <row r="695" ht="15.75" customHeight="1" s="147"/>
    <row r="696" ht="15.75" customHeight="1" s="147"/>
    <row r="697" ht="15.75" customHeight="1" s="147"/>
    <row r="698" ht="15.75" customHeight="1" s="147"/>
    <row r="699" ht="15.75" customHeight="1" s="147"/>
    <row r="700" ht="15.75" customHeight="1" s="147"/>
    <row r="701" ht="15.75" customHeight="1" s="147"/>
    <row r="702" ht="15.75" customHeight="1" s="147"/>
    <row r="703" ht="15.75" customHeight="1" s="147"/>
    <row r="704" ht="15.75" customHeight="1" s="147"/>
    <row r="705" ht="15.75" customHeight="1" s="147"/>
    <row r="706" ht="15.75" customHeight="1" s="147"/>
    <row r="707" ht="15.75" customHeight="1" s="147"/>
    <row r="708" ht="15.75" customHeight="1" s="147"/>
    <row r="709" ht="15.75" customHeight="1" s="147"/>
    <row r="710" ht="15.75" customHeight="1" s="147"/>
    <row r="711" ht="15.75" customHeight="1" s="147"/>
    <row r="712" ht="15.75" customHeight="1" s="147"/>
    <row r="713" ht="15.75" customHeight="1" s="147"/>
    <row r="714" ht="15.75" customHeight="1" s="147"/>
    <row r="715" ht="15.75" customHeight="1" s="147"/>
    <row r="716" ht="15.75" customHeight="1" s="147"/>
    <row r="717" ht="15.75" customHeight="1" s="147"/>
    <row r="718" ht="15.75" customHeight="1" s="147"/>
    <row r="719" ht="15.75" customHeight="1" s="147"/>
    <row r="720" ht="15.75" customHeight="1" s="147"/>
    <row r="721" ht="15.75" customHeight="1" s="147"/>
    <row r="722" ht="15.75" customHeight="1" s="147"/>
    <row r="723" ht="15.75" customHeight="1" s="147"/>
    <row r="724" ht="15.75" customHeight="1" s="147"/>
    <row r="725" ht="15.75" customHeight="1" s="147"/>
    <row r="726" ht="15.75" customHeight="1" s="147"/>
    <row r="727" ht="15.75" customHeight="1" s="147"/>
    <row r="728" ht="15.75" customHeight="1" s="147"/>
    <row r="729" ht="15.75" customHeight="1" s="147"/>
    <row r="730" ht="15.75" customHeight="1" s="147"/>
    <row r="731" ht="15.75" customHeight="1" s="147"/>
    <row r="732" ht="15.75" customHeight="1" s="147"/>
    <row r="733" ht="15.75" customHeight="1" s="147"/>
    <row r="734" ht="15.75" customHeight="1" s="147"/>
    <row r="735" ht="15.75" customHeight="1" s="147"/>
    <row r="736" ht="15.75" customHeight="1" s="147"/>
    <row r="737" ht="15.75" customHeight="1" s="147"/>
    <row r="738" ht="15.75" customHeight="1" s="147"/>
    <row r="739" ht="15.75" customHeight="1" s="147"/>
    <row r="740" ht="15.75" customHeight="1" s="147"/>
    <row r="741" ht="15.75" customHeight="1" s="147"/>
    <row r="742" ht="15.75" customHeight="1" s="147"/>
    <row r="743" ht="15.75" customHeight="1" s="147"/>
    <row r="744" ht="15.75" customHeight="1" s="147"/>
    <row r="745" ht="15.75" customHeight="1" s="147"/>
    <row r="746" ht="15.75" customHeight="1" s="147"/>
    <row r="747" ht="15.75" customHeight="1" s="147"/>
    <row r="748" ht="15.75" customHeight="1" s="147"/>
    <row r="749" ht="15.75" customHeight="1" s="147"/>
    <row r="750" ht="15.75" customHeight="1" s="147"/>
    <row r="751" ht="15.75" customHeight="1" s="147"/>
    <row r="752" ht="15.75" customHeight="1" s="147"/>
    <row r="753" ht="15.75" customHeight="1" s="147"/>
    <row r="754" ht="15.75" customHeight="1" s="147"/>
    <row r="755" ht="15.75" customHeight="1" s="147"/>
    <row r="756" ht="15.75" customHeight="1" s="147"/>
    <row r="757" ht="15.75" customHeight="1" s="147"/>
    <row r="758" ht="15.75" customHeight="1" s="147"/>
    <row r="759" ht="15.75" customHeight="1" s="147"/>
    <row r="760" ht="15.75" customHeight="1" s="147"/>
    <row r="761" ht="15.75" customHeight="1" s="147"/>
    <row r="762" ht="15.75" customHeight="1" s="147"/>
    <row r="763" ht="15.75" customHeight="1" s="147"/>
    <row r="764" ht="15.75" customHeight="1" s="147"/>
    <row r="765" ht="15.75" customHeight="1" s="147"/>
    <row r="766" ht="15.75" customHeight="1" s="147"/>
    <row r="767" ht="15.75" customHeight="1" s="147"/>
    <row r="768" ht="15.75" customHeight="1" s="147"/>
    <row r="769" ht="15.75" customHeight="1" s="147"/>
    <row r="770" ht="15.75" customHeight="1" s="147"/>
    <row r="771" ht="15.75" customHeight="1" s="147"/>
    <row r="772" ht="15.75" customHeight="1" s="147"/>
    <row r="773" ht="15.75" customHeight="1" s="147"/>
    <row r="774" ht="15.75" customHeight="1" s="147"/>
    <row r="775" ht="15.75" customHeight="1" s="147"/>
    <row r="776" ht="15.75" customHeight="1" s="147"/>
    <row r="777" ht="15.75" customHeight="1" s="147"/>
    <row r="778" ht="15.75" customHeight="1" s="147"/>
    <row r="779" ht="15.75" customHeight="1" s="147"/>
    <row r="780" ht="15.75" customHeight="1" s="147"/>
    <row r="781" ht="15.75" customHeight="1" s="147"/>
    <row r="782" ht="15.75" customHeight="1" s="147"/>
    <row r="783" ht="15.75" customHeight="1" s="147"/>
    <row r="784" ht="15.75" customHeight="1" s="147"/>
    <row r="785" ht="15.75" customHeight="1" s="147"/>
    <row r="786" ht="15.75" customHeight="1" s="147"/>
    <row r="787" ht="15.75" customHeight="1" s="147"/>
    <row r="788" ht="15.75" customHeight="1" s="147"/>
    <row r="789" ht="15.75" customHeight="1" s="147"/>
    <row r="790" ht="15.75" customHeight="1" s="147"/>
    <row r="791" ht="15.75" customHeight="1" s="147"/>
    <row r="792" ht="15.75" customHeight="1" s="147"/>
    <row r="793" ht="15.75" customHeight="1" s="147"/>
    <row r="794" ht="15.75" customHeight="1" s="147"/>
    <row r="795" ht="15.75" customHeight="1" s="147"/>
    <row r="796" ht="15.75" customHeight="1" s="147"/>
    <row r="797" ht="15.75" customHeight="1" s="147"/>
    <row r="798" ht="15.75" customHeight="1" s="147"/>
    <row r="799" ht="15.75" customHeight="1" s="147"/>
    <row r="800" ht="15.75" customHeight="1" s="147"/>
    <row r="801" ht="15.75" customHeight="1" s="147"/>
    <row r="802" ht="15.75" customHeight="1" s="147"/>
    <row r="803" ht="15.75" customHeight="1" s="147"/>
    <row r="804" ht="15.75" customHeight="1" s="147"/>
    <row r="805" ht="15.75" customHeight="1" s="147"/>
    <row r="806" ht="15.75" customHeight="1" s="147"/>
    <row r="807" ht="15.75" customHeight="1" s="147"/>
    <row r="808" ht="15.75" customHeight="1" s="147"/>
    <row r="809" ht="15.75" customHeight="1" s="147"/>
    <row r="810" ht="15.75" customHeight="1" s="147"/>
    <row r="811" ht="15.75" customHeight="1" s="147"/>
    <row r="812" ht="15.75" customHeight="1" s="147"/>
    <row r="813" ht="15.75" customHeight="1" s="147"/>
    <row r="814" ht="15.75" customHeight="1" s="147"/>
    <row r="815" ht="15.75" customHeight="1" s="147"/>
    <row r="816" ht="15.75" customHeight="1" s="147"/>
    <row r="817" ht="15.75" customHeight="1" s="147"/>
    <row r="818" ht="15.75" customHeight="1" s="147"/>
    <row r="819" ht="15.75" customHeight="1" s="147"/>
    <row r="820" ht="15.75" customHeight="1" s="147"/>
    <row r="821" ht="15.75" customHeight="1" s="147"/>
    <row r="822" ht="15.75" customHeight="1" s="147"/>
    <row r="823" ht="15.75" customHeight="1" s="147"/>
    <row r="824" ht="15.75" customHeight="1" s="147"/>
    <row r="825" ht="15.75" customHeight="1" s="147"/>
    <row r="826" ht="15.75" customHeight="1" s="147"/>
    <row r="827" ht="15.75" customHeight="1" s="147"/>
    <row r="828" ht="15.75" customHeight="1" s="147"/>
    <row r="829" ht="15.75" customHeight="1" s="147"/>
    <row r="830" ht="15.75" customHeight="1" s="147"/>
    <row r="831" ht="15.75" customHeight="1" s="147"/>
    <row r="832" ht="15.75" customHeight="1" s="147"/>
    <row r="833" ht="15.75" customHeight="1" s="147"/>
    <row r="834" ht="15.75" customHeight="1" s="147"/>
    <row r="835" ht="15.75" customHeight="1" s="147"/>
    <row r="836" ht="15.75" customHeight="1" s="147"/>
    <row r="837" ht="15.75" customHeight="1" s="147"/>
    <row r="838" ht="15.75" customHeight="1" s="147"/>
    <row r="839" ht="15.75" customHeight="1" s="147"/>
    <row r="840" ht="15.75" customHeight="1" s="147"/>
    <row r="841" ht="15.75" customHeight="1" s="147"/>
    <row r="842" ht="15.75" customHeight="1" s="147"/>
    <row r="843" ht="15.75" customHeight="1" s="147"/>
    <row r="844" ht="15.75" customHeight="1" s="147"/>
    <row r="845" ht="15.75" customHeight="1" s="147"/>
    <row r="846" ht="15.75" customHeight="1" s="147"/>
    <row r="847" ht="15.75" customHeight="1" s="147"/>
    <row r="848" ht="15.75" customHeight="1" s="147"/>
    <row r="849" ht="15.75" customHeight="1" s="147"/>
    <row r="850" ht="15.75" customHeight="1" s="147"/>
    <row r="851" ht="15.75" customHeight="1" s="147"/>
    <row r="852" ht="15.75" customHeight="1" s="147"/>
    <row r="853" ht="15.75" customHeight="1" s="147"/>
    <row r="854" ht="15.75" customHeight="1" s="147"/>
    <row r="855" ht="15.75" customHeight="1" s="147"/>
    <row r="856" ht="15.75" customHeight="1" s="147"/>
    <row r="857" ht="15.75" customHeight="1" s="147"/>
    <row r="858" ht="15.75" customHeight="1" s="147"/>
    <row r="859" ht="15.75" customHeight="1" s="147"/>
    <row r="860" ht="15.75" customHeight="1" s="147"/>
    <row r="861" ht="15.75" customHeight="1" s="147"/>
    <row r="862" ht="15.75" customHeight="1" s="147"/>
    <row r="863" ht="15.75" customHeight="1" s="147"/>
    <row r="864" ht="15.75" customHeight="1" s="147"/>
    <row r="865" ht="15.75" customHeight="1" s="147"/>
    <row r="866" ht="15.75" customHeight="1" s="147"/>
    <row r="867" ht="15.75" customHeight="1" s="147"/>
    <row r="868" ht="15.75" customHeight="1" s="147"/>
    <row r="869" ht="15.75" customHeight="1" s="147"/>
    <row r="870" ht="15.75" customHeight="1" s="147"/>
    <row r="871" ht="15.75" customHeight="1" s="147"/>
    <row r="872" ht="15.75" customHeight="1" s="147"/>
    <row r="873" ht="15.75" customHeight="1" s="147"/>
    <row r="874" ht="15.75" customHeight="1" s="147"/>
    <row r="875" ht="15.75" customHeight="1" s="147"/>
    <row r="876" ht="15.75" customHeight="1" s="147"/>
    <row r="877" ht="15.75" customHeight="1" s="147"/>
    <row r="878" ht="15.75" customHeight="1" s="147"/>
    <row r="879" ht="15.75" customHeight="1" s="147"/>
    <row r="880" ht="15.75" customHeight="1" s="147"/>
    <row r="881" ht="15.75" customHeight="1" s="147"/>
    <row r="882" ht="15.75" customHeight="1" s="147"/>
    <row r="883" ht="15.75" customHeight="1" s="147"/>
    <row r="884" ht="15.75" customHeight="1" s="147"/>
    <row r="885" ht="15.75" customHeight="1" s="147"/>
    <row r="886" ht="15.75" customHeight="1" s="147"/>
    <row r="887" ht="15.75" customHeight="1" s="147"/>
    <row r="888" ht="15.75" customHeight="1" s="147"/>
    <row r="889" ht="15.75" customHeight="1" s="147"/>
    <row r="890" ht="15.75" customHeight="1" s="147"/>
    <row r="891" ht="15.75" customHeight="1" s="147"/>
    <row r="892" ht="15.75" customHeight="1" s="147"/>
    <row r="893" ht="15.75" customHeight="1" s="147"/>
    <row r="894" ht="15.75" customHeight="1" s="147"/>
    <row r="895" ht="15.75" customHeight="1" s="147"/>
    <row r="896" ht="15.75" customHeight="1" s="147"/>
    <row r="897" ht="15.75" customHeight="1" s="147"/>
    <row r="898" ht="15.75" customHeight="1" s="147"/>
    <row r="899" ht="15.75" customHeight="1" s="147"/>
    <row r="900" ht="15.75" customHeight="1" s="147"/>
    <row r="901" ht="15.75" customHeight="1" s="147"/>
    <row r="902" ht="15.75" customHeight="1" s="147"/>
    <row r="903" ht="15.75" customHeight="1" s="147"/>
    <row r="904" ht="15.75" customHeight="1" s="147"/>
    <row r="905" ht="15.75" customHeight="1" s="147"/>
    <row r="906" ht="15.75" customHeight="1" s="147"/>
    <row r="907" ht="15.75" customHeight="1" s="147"/>
    <row r="908" ht="15.75" customHeight="1" s="147"/>
    <row r="909" ht="15.75" customHeight="1" s="147"/>
    <row r="910" ht="15.75" customHeight="1" s="147"/>
    <row r="911" ht="15.75" customHeight="1" s="147"/>
    <row r="912" ht="15.75" customHeight="1" s="147"/>
    <row r="913" ht="15.75" customHeight="1" s="147"/>
    <row r="914" ht="15.75" customHeight="1" s="147"/>
    <row r="915" ht="15.75" customHeight="1" s="147"/>
    <row r="916" ht="15.75" customHeight="1" s="147"/>
    <row r="917" ht="15.75" customHeight="1" s="147"/>
    <row r="918" ht="15.75" customHeight="1" s="147"/>
    <row r="919" ht="15.75" customHeight="1" s="147"/>
    <row r="920" ht="15.75" customHeight="1" s="147"/>
    <row r="921" ht="15.75" customHeight="1" s="147"/>
    <row r="922" ht="15.75" customHeight="1" s="147"/>
    <row r="923" ht="15.75" customHeight="1" s="147"/>
    <row r="924" ht="15.75" customHeight="1" s="147"/>
    <row r="925" ht="15.75" customHeight="1" s="147"/>
    <row r="926" ht="15.75" customHeight="1" s="147"/>
    <row r="927" ht="15.75" customHeight="1" s="147"/>
    <row r="928" ht="15.75" customHeight="1" s="147"/>
    <row r="929" ht="15.75" customHeight="1" s="147"/>
    <row r="930" ht="15.75" customHeight="1" s="147"/>
    <row r="931" ht="15.75" customHeight="1" s="147"/>
    <row r="932" ht="15.75" customHeight="1" s="147"/>
    <row r="933" ht="15.75" customHeight="1" s="147"/>
    <row r="934" ht="15.75" customHeight="1" s="147"/>
    <row r="935" ht="15.75" customHeight="1" s="147"/>
    <row r="936" ht="15.75" customHeight="1" s="147"/>
    <row r="937" ht="15.75" customHeight="1" s="147"/>
    <row r="938" ht="15.75" customHeight="1" s="147"/>
    <row r="939" ht="15.75" customHeight="1" s="147"/>
    <row r="940" ht="15.75" customHeight="1" s="147"/>
    <row r="941" ht="15.75" customHeight="1" s="147"/>
    <row r="942" ht="15.75" customHeight="1" s="147"/>
    <row r="943" ht="15.75" customHeight="1" s="147"/>
    <row r="944" ht="15.75" customHeight="1" s="147"/>
    <row r="945" ht="15.75" customHeight="1" s="147"/>
    <row r="946" ht="15.75" customHeight="1" s="147"/>
    <row r="947" ht="15.75" customHeight="1" s="147"/>
    <row r="948" ht="15.75" customHeight="1" s="147"/>
    <row r="949" ht="15.75" customHeight="1" s="147"/>
    <row r="950" ht="15.75" customHeight="1" s="147"/>
    <row r="951" ht="15.75" customHeight="1" s="147"/>
    <row r="952" ht="15.75" customHeight="1" s="147"/>
    <row r="953" ht="15.75" customHeight="1" s="147"/>
    <row r="954" ht="15.75" customHeight="1" s="147"/>
    <row r="955" ht="15.75" customHeight="1" s="147"/>
    <row r="956" ht="15.75" customHeight="1" s="147"/>
    <row r="957" ht="15.75" customHeight="1" s="147"/>
    <row r="958" ht="15.75" customHeight="1" s="147"/>
    <row r="959" ht="15.75" customHeight="1" s="147"/>
    <row r="960" ht="15.75" customHeight="1" s="147"/>
    <row r="961" ht="15.75" customHeight="1" s="147"/>
    <row r="962" ht="15.75" customHeight="1" s="147"/>
    <row r="963" ht="15.75" customHeight="1" s="147"/>
    <row r="964" ht="15.75" customHeight="1" s="147"/>
    <row r="965" ht="15.75" customHeight="1" s="147"/>
    <row r="966" ht="15.75" customHeight="1" s="147"/>
    <row r="967" ht="15.75" customHeight="1" s="147"/>
    <row r="968" ht="15.75" customHeight="1" s="147"/>
    <row r="969" ht="15.75" customHeight="1" s="147"/>
    <row r="970" ht="15.75" customHeight="1" s="147"/>
    <row r="971" ht="15.75" customHeight="1" s="147"/>
    <row r="972" ht="15.75" customHeight="1" s="147"/>
    <row r="973" ht="15.75" customHeight="1" s="147"/>
    <row r="974" ht="15.75" customHeight="1" s="147"/>
    <row r="975" ht="15.75" customHeight="1" s="147"/>
    <row r="976" ht="15.75" customHeight="1" s="147"/>
    <row r="977" ht="15.75" customHeight="1" s="147"/>
    <row r="978" ht="15.75" customHeight="1" s="147"/>
    <row r="979" ht="15.75" customHeight="1" s="147"/>
    <row r="980" ht="15.75" customHeight="1" s="147"/>
    <row r="981" ht="15.75" customHeight="1" s="147"/>
    <row r="982" ht="15.75" customHeight="1" s="147"/>
    <row r="983" ht="15.75" customHeight="1" s="147"/>
    <row r="984" ht="15.75" customHeight="1" s="147"/>
    <row r="985" ht="15.75" customHeight="1" s="147"/>
    <row r="986" ht="15.75" customHeight="1" s="147"/>
    <row r="987" ht="15.75" customHeight="1" s="147"/>
    <row r="988" ht="15.75" customHeight="1" s="147"/>
    <row r="989" ht="15.75" customHeight="1" s="147"/>
    <row r="990" ht="15.75" customHeight="1" s="147"/>
    <row r="991" ht="15.75" customHeight="1" s="147"/>
    <row r="992" ht="15.75" customHeight="1" s="147"/>
    <row r="993" ht="15.75" customHeight="1" s="147"/>
    <row r="994" ht="15.75" customHeight="1" s="147"/>
    <row r="995" ht="15.75" customHeight="1" s="147"/>
    <row r="996" ht="15.75" customHeight="1" s="147"/>
    <row r="997" ht="15.75" customHeight="1" s="147"/>
    <row r="998" ht="15.75" customHeight="1" s="147"/>
    <row r="999" ht="15.75" customHeight="1" s="147"/>
    <row r="1000" ht="15.75" customHeight="1" s="147"/>
  </sheetData>
  <mergeCells count="2">
    <mergeCell ref="A4:C4"/>
    <mergeCell ref="A28:D28"/>
  </mergeCells>
  <conditionalFormatting sqref="E14:E25">
    <cfRule type="cellIs" rank="0" priority="2" equalAverage="0" operator="equal" aboveAverage="0" dxfId="0" text="" percent="0" bottom="0">
      <formula>"Yes"</formula>
    </cfRule>
    <cfRule type="cellIs" rank="0" priority="3" equalAverage="0" operator="equal" aboveAverage="0" dxfId="7" text="" percent="0" bottom="0">
      <formula>"No"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V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296875" defaultRowHeight="15" zeroHeight="0" outlineLevelRow="0"/>
  <cols>
    <col width="12" customWidth="1" style="146" min="1" max="1"/>
    <col width="28" customWidth="1" style="146" min="2" max="2"/>
    <col width="18" customWidth="1" style="146" min="3" max="3"/>
    <col width="11" customWidth="1" style="146" min="4" max="4"/>
    <col width="8" customWidth="1" style="146" min="5" max="5"/>
    <col width="26" customWidth="1" style="146" min="6" max="6"/>
    <col width="24" customWidth="1" style="146" min="7" max="7"/>
    <col width="11" customWidth="1" style="146" min="8" max="8"/>
    <col width="7" customWidth="1" style="146" min="9" max="9"/>
    <col width="11" customWidth="1" style="146" min="10" max="11"/>
    <col width="7" customWidth="1" style="146" min="12" max="12"/>
    <col width="11" customWidth="1" style="146" min="13" max="14"/>
    <col width="8" customWidth="1" style="146" min="15" max="16"/>
    <col width="9" customWidth="1" style="146" min="17" max="18"/>
    <col width="8" customWidth="1" style="146" min="19" max="19"/>
    <col width="7" customWidth="1" style="146" min="20" max="20"/>
    <col width="10" customWidth="1" style="146" min="21" max="22"/>
    <col width="8.57" customWidth="1" style="146" min="23" max="26"/>
  </cols>
  <sheetData>
    <row r="1" ht="17.35" customHeight="1" s="147">
      <c r="A1" s="250" t="inlineStr">
        <is>
          <t xml:space="preserve">COMPARABLE DEALS  </t>
        </is>
      </c>
    </row>
    <row r="2" ht="15" customHeight="1" s="147">
      <c r="A2" s="264" t="n"/>
    </row>
    <row r="4" ht="30" customHeight="1" s="147">
      <c r="A4" s="236" t="inlineStr">
        <is>
          <t>Contract ID</t>
        </is>
      </c>
      <c r="B4" s="236" t="inlineStr">
        <is>
          <t>DBA</t>
        </is>
      </c>
      <c r="C4" s="236" t="inlineStr">
        <is>
          <t>Status</t>
        </is>
      </c>
      <c r="D4" s="236" t="inlineStr">
        <is>
          <t>Funded</t>
        </is>
      </c>
      <c r="E4" s="236" t="inlineStr">
        <is>
          <t>Position</t>
        </is>
      </c>
      <c r="F4" s="236" t="inlineStr">
        <is>
          <t>Industry</t>
        </is>
      </c>
      <c r="G4" s="236" t="inlineStr">
        <is>
          <t>ISO</t>
        </is>
      </c>
      <c r="H4" s="236" t="inlineStr">
        <is>
          <t>New/renewal</t>
        </is>
      </c>
      <c r="I4" s="236" t="inlineStr">
        <is>
          <t>Factor</t>
        </is>
      </c>
      <c r="J4" s="236" t="inlineStr">
        <is>
          <t>Advance</t>
        </is>
      </c>
      <c r="K4" s="236" t="inlineStr">
        <is>
          <t>Collected</t>
        </is>
      </c>
      <c r="L4" s="236" t="inlineStr">
        <is>
          <t>% paid</t>
        </is>
      </c>
      <c r="M4" s="236" t="inlineStr">
        <is>
          <t>Net cash</t>
        </is>
      </c>
      <c r="N4" s="236" t="inlineStr">
        <is>
          <t>Principal lost</t>
        </is>
      </c>
      <c r="O4" s="236" t="inlineStr">
        <is>
          <t>Term (bd)</t>
        </is>
      </c>
      <c r="P4" s="236" t="inlineStr">
        <is>
          <t>Age (bd)</t>
        </is>
      </c>
      <c r="Q4" s="236" t="inlineStr">
        <is>
          <t>Days on book</t>
        </is>
      </c>
      <c r="R4" s="236" t="inlineStr">
        <is>
          <t>Seasoned</t>
        </is>
      </c>
      <c r="S4" s="236" t="inlineStr">
        <is>
          <t>Default</t>
        </is>
      </c>
      <c r="T4" s="236" t="inlineStr">
        <is>
          <t>Open</t>
        </is>
      </c>
      <c r="U4" s="236" t="inlineStr">
        <is>
          <t>Best match (1 = closest)</t>
        </is>
      </c>
      <c r="V4" s="236" t="inlineStr">
        <is>
          <t>In primary cohort</t>
        </is>
      </c>
    </row>
    <row r="5" ht="15" customHeight="1" s="147">
      <c r="A5" s="146">
        <f>'Historical Data'!A2</f>
        <v/>
      </c>
      <c r="B5" s="146">
        <f>'Historical Data'!B2</f>
        <v/>
      </c>
      <c r="C5" s="146">
        <f>'Historical Data'!D2</f>
        <v/>
      </c>
      <c r="D5" s="265">
        <f>'Historical Data'!E2</f>
        <v/>
      </c>
      <c r="E5" s="146">
        <f>'Historical Data'!G2</f>
        <v/>
      </c>
      <c r="F5" s="146">
        <f>'Historical Data'!Y2</f>
        <v/>
      </c>
      <c r="G5" s="146">
        <f>'Historical Data'!K2</f>
        <v/>
      </c>
      <c r="H5" s="146">
        <f>'Historical Data'!L2</f>
        <v/>
      </c>
      <c r="I5" s="266">
        <f>'Historical Data'!M2</f>
        <v/>
      </c>
      <c r="J5" s="267">
        <f>'Historical Data'!N2</f>
        <v/>
      </c>
      <c r="K5" s="267">
        <f>'Historical Data'!Q2</f>
        <v/>
      </c>
      <c r="L5" s="268">
        <f>'Historical Data'!S2</f>
        <v/>
      </c>
      <c r="M5" s="267">
        <f>'Historical Data'!AJ2</f>
        <v/>
      </c>
      <c r="N5" s="267">
        <f>'Historical Data'!AK2</f>
        <v/>
      </c>
      <c r="O5" s="146">
        <f>'Historical Data'!AA2</f>
        <v/>
      </c>
      <c r="P5" s="146">
        <f>'Historical Data'!AB2</f>
        <v/>
      </c>
      <c r="Q5" s="146">
        <f>'Historical Data'!AN2</f>
        <v/>
      </c>
      <c r="R5" s="146">
        <f>'Historical Data'!AC2</f>
        <v/>
      </c>
      <c r="S5" s="146">
        <f>'Historical Data'!AE2</f>
        <v/>
      </c>
      <c r="T5" s="146">
        <f>'Historical Data'!AH2</f>
        <v/>
      </c>
      <c r="U5" s="146">
        <f>'Historical Data'!BB2</f>
        <v/>
      </c>
      <c r="V5" s="146">
        <f>'Historical Data'!BC2</f>
        <v/>
      </c>
    </row>
    <row r="6" hidden="1" ht="15" customHeight="1" s="147">
      <c r="A6" s="146">
        <f>'Historical Data'!A3</f>
        <v/>
      </c>
      <c r="B6" s="146">
        <f>'Historical Data'!B3</f>
        <v/>
      </c>
      <c r="C6" s="146">
        <f>'Historical Data'!D3</f>
        <v/>
      </c>
      <c r="D6" s="265">
        <f>'Historical Data'!E3</f>
        <v/>
      </c>
      <c r="E6" s="146">
        <f>'Historical Data'!G3</f>
        <v/>
      </c>
      <c r="F6" s="146">
        <f>'Historical Data'!Y3</f>
        <v/>
      </c>
      <c r="G6" s="146">
        <f>'Historical Data'!K3</f>
        <v/>
      </c>
      <c r="H6" s="146">
        <f>'Historical Data'!L3</f>
        <v/>
      </c>
      <c r="I6" s="266">
        <f>'Historical Data'!M3</f>
        <v/>
      </c>
      <c r="J6" s="267">
        <f>'Historical Data'!N3</f>
        <v/>
      </c>
      <c r="K6" s="267">
        <f>'Historical Data'!Q3</f>
        <v/>
      </c>
      <c r="L6" s="268">
        <f>'Historical Data'!S3</f>
        <v/>
      </c>
      <c r="M6" s="267">
        <f>'Historical Data'!AJ3</f>
        <v/>
      </c>
      <c r="N6" s="267">
        <f>'Historical Data'!AK3</f>
        <v/>
      </c>
      <c r="O6" s="146">
        <f>'Historical Data'!AA3</f>
        <v/>
      </c>
      <c r="P6" s="146">
        <f>'Historical Data'!AB3</f>
        <v/>
      </c>
      <c r="Q6" s="146">
        <f>'Historical Data'!AN3</f>
        <v/>
      </c>
      <c r="R6" s="146">
        <f>'Historical Data'!AC3</f>
        <v/>
      </c>
      <c r="S6" s="146">
        <f>'Historical Data'!AE3</f>
        <v/>
      </c>
      <c r="T6" s="146">
        <f>'Historical Data'!AH3</f>
        <v/>
      </c>
      <c r="U6" s="146">
        <f>'Historical Data'!BB3</f>
        <v/>
      </c>
      <c r="V6" s="146">
        <f>'Historical Data'!BC3</f>
        <v/>
      </c>
    </row>
    <row r="7" ht="15" customHeight="1" s="147">
      <c r="A7" s="146">
        <f>'Historical Data'!A4</f>
        <v/>
      </c>
      <c r="B7" s="146">
        <f>'Historical Data'!B4</f>
        <v/>
      </c>
      <c r="C7" s="146">
        <f>'Historical Data'!D4</f>
        <v/>
      </c>
      <c r="D7" s="265">
        <f>'Historical Data'!E4</f>
        <v/>
      </c>
      <c r="E7" s="146">
        <f>'Historical Data'!G4</f>
        <v/>
      </c>
      <c r="F7" s="146">
        <f>'Historical Data'!Y4</f>
        <v/>
      </c>
      <c r="G7" s="146">
        <f>'Historical Data'!K4</f>
        <v/>
      </c>
      <c r="H7" s="146">
        <f>'Historical Data'!L4</f>
        <v/>
      </c>
      <c r="I7" s="266">
        <f>'Historical Data'!M4</f>
        <v/>
      </c>
      <c r="J7" s="267">
        <f>'Historical Data'!N4</f>
        <v/>
      </c>
      <c r="K7" s="267">
        <f>'Historical Data'!Q4</f>
        <v/>
      </c>
      <c r="L7" s="268">
        <f>'Historical Data'!S4</f>
        <v/>
      </c>
      <c r="M7" s="267">
        <f>'Historical Data'!AJ4</f>
        <v/>
      </c>
      <c r="N7" s="267">
        <f>'Historical Data'!AK4</f>
        <v/>
      </c>
      <c r="O7" s="146">
        <f>'Historical Data'!AA4</f>
        <v/>
      </c>
      <c r="P7" s="146">
        <f>'Historical Data'!AB4</f>
        <v/>
      </c>
      <c r="Q7" s="146">
        <f>'Historical Data'!AN4</f>
        <v/>
      </c>
      <c r="R7" s="146">
        <f>'Historical Data'!AC4</f>
        <v/>
      </c>
      <c r="S7" s="146">
        <f>'Historical Data'!AE4</f>
        <v/>
      </c>
      <c r="T7" s="146">
        <f>'Historical Data'!AH4</f>
        <v/>
      </c>
      <c r="U7" s="146">
        <f>'Historical Data'!BB4</f>
        <v/>
      </c>
      <c r="V7" s="146">
        <f>'Historical Data'!BC4</f>
        <v/>
      </c>
    </row>
    <row r="8" ht="15" customHeight="1" s="147">
      <c r="A8" s="146">
        <f>'Historical Data'!A5</f>
        <v/>
      </c>
      <c r="B8" s="146">
        <f>'Historical Data'!B5</f>
        <v/>
      </c>
      <c r="C8" s="146">
        <f>'Historical Data'!D5</f>
        <v/>
      </c>
      <c r="D8" s="265">
        <f>'Historical Data'!E5</f>
        <v/>
      </c>
      <c r="E8" s="146">
        <f>'Historical Data'!G5</f>
        <v/>
      </c>
      <c r="F8" s="146">
        <f>'Historical Data'!Y5</f>
        <v/>
      </c>
      <c r="G8" s="146">
        <f>'Historical Data'!K5</f>
        <v/>
      </c>
      <c r="H8" s="146">
        <f>'Historical Data'!L5</f>
        <v/>
      </c>
      <c r="I8" s="266">
        <f>'Historical Data'!M5</f>
        <v/>
      </c>
      <c r="J8" s="267">
        <f>'Historical Data'!N5</f>
        <v/>
      </c>
      <c r="K8" s="267">
        <f>'Historical Data'!Q5</f>
        <v/>
      </c>
      <c r="L8" s="268">
        <f>'Historical Data'!S5</f>
        <v/>
      </c>
      <c r="M8" s="267">
        <f>'Historical Data'!AJ5</f>
        <v/>
      </c>
      <c r="N8" s="267">
        <f>'Historical Data'!AK5</f>
        <v/>
      </c>
      <c r="O8" s="146">
        <f>'Historical Data'!AA5</f>
        <v/>
      </c>
      <c r="P8" s="146">
        <f>'Historical Data'!AB5</f>
        <v/>
      </c>
      <c r="Q8" s="146">
        <f>'Historical Data'!AN5</f>
        <v/>
      </c>
      <c r="R8" s="146">
        <f>'Historical Data'!AC5</f>
        <v/>
      </c>
      <c r="S8" s="146">
        <f>'Historical Data'!AE5</f>
        <v/>
      </c>
      <c r="T8" s="146">
        <f>'Historical Data'!AH5</f>
        <v/>
      </c>
      <c r="U8" s="146">
        <f>'Historical Data'!BB5</f>
        <v/>
      </c>
      <c r="V8" s="146">
        <f>'Historical Data'!BC5</f>
        <v/>
      </c>
    </row>
    <row r="9" hidden="1" ht="15" customHeight="1" s="147">
      <c r="A9" s="146">
        <f>'Historical Data'!A6</f>
        <v/>
      </c>
      <c r="B9" s="146">
        <f>'Historical Data'!B6</f>
        <v/>
      </c>
      <c r="C9" s="146">
        <f>'Historical Data'!D6</f>
        <v/>
      </c>
      <c r="D9" s="265">
        <f>'Historical Data'!E6</f>
        <v/>
      </c>
      <c r="E9" s="146">
        <f>'Historical Data'!G6</f>
        <v/>
      </c>
      <c r="F9" s="146">
        <f>'Historical Data'!Y6</f>
        <v/>
      </c>
      <c r="G9" s="146">
        <f>'Historical Data'!K6</f>
        <v/>
      </c>
      <c r="H9" s="146">
        <f>'Historical Data'!L6</f>
        <v/>
      </c>
      <c r="I9" s="266">
        <f>'Historical Data'!M6</f>
        <v/>
      </c>
      <c r="J9" s="267">
        <f>'Historical Data'!N6</f>
        <v/>
      </c>
      <c r="K9" s="267">
        <f>'Historical Data'!Q6</f>
        <v/>
      </c>
      <c r="L9" s="268">
        <f>'Historical Data'!S6</f>
        <v/>
      </c>
      <c r="M9" s="267">
        <f>'Historical Data'!AJ6</f>
        <v/>
      </c>
      <c r="N9" s="267">
        <f>'Historical Data'!AK6</f>
        <v/>
      </c>
      <c r="O9" s="146">
        <f>'Historical Data'!AA6</f>
        <v/>
      </c>
      <c r="P9" s="146">
        <f>'Historical Data'!AB6</f>
        <v/>
      </c>
      <c r="Q9" s="146">
        <f>'Historical Data'!AN6</f>
        <v/>
      </c>
      <c r="R9" s="146">
        <f>'Historical Data'!AC6</f>
        <v/>
      </c>
      <c r="S9" s="146">
        <f>'Historical Data'!AE6</f>
        <v/>
      </c>
      <c r="T9" s="146">
        <f>'Historical Data'!AH6</f>
        <v/>
      </c>
      <c r="U9" s="146">
        <f>'Historical Data'!BB6</f>
        <v/>
      </c>
      <c r="V9" s="146">
        <f>'Historical Data'!BC6</f>
        <v/>
      </c>
    </row>
    <row r="10" ht="15" customHeight="1" s="147">
      <c r="A10" s="146">
        <f>'Historical Data'!A7</f>
        <v/>
      </c>
      <c r="B10" s="146">
        <f>'Historical Data'!B7</f>
        <v/>
      </c>
      <c r="C10" s="146">
        <f>'Historical Data'!D7</f>
        <v/>
      </c>
      <c r="D10" s="265">
        <f>'Historical Data'!E7</f>
        <v/>
      </c>
      <c r="E10" s="146">
        <f>'Historical Data'!G7</f>
        <v/>
      </c>
      <c r="F10" s="146">
        <f>'Historical Data'!Y7</f>
        <v/>
      </c>
      <c r="G10" s="146">
        <f>'Historical Data'!K7</f>
        <v/>
      </c>
      <c r="H10" s="146">
        <f>'Historical Data'!L7</f>
        <v/>
      </c>
      <c r="I10" s="266">
        <f>'Historical Data'!M7</f>
        <v/>
      </c>
      <c r="J10" s="267">
        <f>'Historical Data'!N7</f>
        <v/>
      </c>
      <c r="K10" s="267">
        <f>'Historical Data'!Q7</f>
        <v/>
      </c>
      <c r="L10" s="268">
        <f>'Historical Data'!S7</f>
        <v/>
      </c>
      <c r="M10" s="267">
        <f>'Historical Data'!AJ7</f>
        <v/>
      </c>
      <c r="N10" s="267">
        <f>'Historical Data'!AK7</f>
        <v/>
      </c>
      <c r="O10" s="146">
        <f>'Historical Data'!AA7</f>
        <v/>
      </c>
      <c r="P10" s="146">
        <f>'Historical Data'!AB7</f>
        <v/>
      </c>
      <c r="Q10" s="146">
        <f>'Historical Data'!AN7</f>
        <v/>
      </c>
      <c r="R10" s="146">
        <f>'Historical Data'!AC7</f>
        <v/>
      </c>
      <c r="S10" s="146">
        <f>'Historical Data'!AE7</f>
        <v/>
      </c>
      <c r="T10" s="146">
        <f>'Historical Data'!AH7</f>
        <v/>
      </c>
      <c r="U10" s="146">
        <f>'Historical Data'!BB7</f>
        <v/>
      </c>
      <c r="V10" s="146">
        <f>'Historical Data'!BC7</f>
        <v/>
      </c>
    </row>
    <row r="11" ht="15" customHeight="1" s="147">
      <c r="A11" s="146">
        <f>'Historical Data'!A8</f>
        <v/>
      </c>
      <c r="B11" s="146">
        <f>'Historical Data'!B8</f>
        <v/>
      </c>
      <c r="C11" s="146">
        <f>'Historical Data'!D8</f>
        <v/>
      </c>
      <c r="D11" s="265">
        <f>'Historical Data'!E8</f>
        <v/>
      </c>
      <c r="E11" s="146">
        <f>'Historical Data'!G8</f>
        <v/>
      </c>
      <c r="F11" s="146">
        <f>'Historical Data'!Y8</f>
        <v/>
      </c>
      <c r="G11" s="146">
        <f>'Historical Data'!K8</f>
        <v/>
      </c>
      <c r="H11" s="146">
        <f>'Historical Data'!L8</f>
        <v/>
      </c>
      <c r="I11" s="266">
        <f>'Historical Data'!M8</f>
        <v/>
      </c>
      <c r="J11" s="267">
        <f>'Historical Data'!N8</f>
        <v/>
      </c>
      <c r="K11" s="267">
        <f>'Historical Data'!Q8</f>
        <v/>
      </c>
      <c r="L11" s="268">
        <f>'Historical Data'!S8</f>
        <v/>
      </c>
      <c r="M11" s="267">
        <f>'Historical Data'!AJ8</f>
        <v/>
      </c>
      <c r="N11" s="267">
        <f>'Historical Data'!AK8</f>
        <v/>
      </c>
      <c r="O11" s="146">
        <f>'Historical Data'!AA8</f>
        <v/>
      </c>
      <c r="P11" s="146">
        <f>'Historical Data'!AB8</f>
        <v/>
      </c>
      <c r="Q11" s="146">
        <f>'Historical Data'!AN8</f>
        <v/>
      </c>
      <c r="R11" s="146">
        <f>'Historical Data'!AC8</f>
        <v/>
      </c>
      <c r="S11" s="146">
        <f>'Historical Data'!AE8</f>
        <v/>
      </c>
      <c r="T11" s="146">
        <f>'Historical Data'!AH8</f>
        <v/>
      </c>
      <c r="U11" s="146">
        <f>'Historical Data'!BB8</f>
        <v/>
      </c>
      <c r="V11" s="146">
        <f>'Historical Data'!BC8</f>
        <v/>
      </c>
    </row>
    <row r="12" ht="15" customHeight="1" s="147">
      <c r="A12" s="146">
        <f>'Historical Data'!A9</f>
        <v/>
      </c>
      <c r="B12" s="146">
        <f>'Historical Data'!B9</f>
        <v/>
      </c>
      <c r="C12" s="146">
        <f>'Historical Data'!D9</f>
        <v/>
      </c>
      <c r="D12" s="265">
        <f>'Historical Data'!E9</f>
        <v/>
      </c>
      <c r="E12" s="146">
        <f>'Historical Data'!G9</f>
        <v/>
      </c>
      <c r="F12" s="146">
        <f>'Historical Data'!Y9</f>
        <v/>
      </c>
      <c r="G12" s="146">
        <f>'Historical Data'!K9</f>
        <v/>
      </c>
      <c r="H12" s="146">
        <f>'Historical Data'!L9</f>
        <v/>
      </c>
      <c r="I12" s="266">
        <f>'Historical Data'!M9</f>
        <v/>
      </c>
      <c r="J12" s="267">
        <f>'Historical Data'!N9</f>
        <v/>
      </c>
      <c r="K12" s="267">
        <f>'Historical Data'!Q9</f>
        <v/>
      </c>
      <c r="L12" s="268">
        <f>'Historical Data'!S9</f>
        <v/>
      </c>
      <c r="M12" s="267">
        <f>'Historical Data'!AJ9</f>
        <v/>
      </c>
      <c r="N12" s="267">
        <f>'Historical Data'!AK9</f>
        <v/>
      </c>
      <c r="O12" s="146">
        <f>'Historical Data'!AA9</f>
        <v/>
      </c>
      <c r="P12" s="146">
        <f>'Historical Data'!AB9</f>
        <v/>
      </c>
      <c r="Q12" s="146">
        <f>'Historical Data'!AN9</f>
        <v/>
      </c>
      <c r="R12" s="146">
        <f>'Historical Data'!AC9</f>
        <v/>
      </c>
      <c r="S12" s="146">
        <f>'Historical Data'!AE9</f>
        <v/>
      </c>
      <c r="T12" s="146">
        <f>'Historical Data'!AH9</f>
        <v/>
      </c>
      <c r="U12" s="146">
        <f>'Historical Data'!BB9</f>
        <v/>
      </c>
      <c r="V12" s="146">
        <f>'Historical Data'!BC9</f>
        <v/>
      </c>
    </row>
    <row r="21" ht="15.75" customHeight="1" s="147"/>
    <row r="22" ht="15.75" customHeight="1" s="147"/>
    <row r="23" ht="15.75" customHeight="1" s="147"/>
    <row r="24" ht="15.75" customHeight="1" s="147"/>
    <row r="25" ht="15.75" customHeight="1" s="147"/>
    <row r="26" ht="15.75" customHeight="1" s="147"/>
    <row r="27" ht="15.75" customHeight="1" s="147"/>
    <row r="28" ht="15.75" customHeight="1" s="147"/>
    <row r="29" ht="15.75" customHeight="1" s="147"/>
    <row r="30" ht="15.75" customHeight="1" s="147"/>
    <row r="31" ht="15.75" customHeight="1" s="147"/>
    <row r="32" ht="15.75" customHeight="1" s="147"/>
    <row r="33" ht="15.75" customHeight="1" s="147"/>
    <row r="34" ht="15.75" customHeight="1" s="147"/>
    <row r="35" ht="15.75" customHeight="1" s="147"/>
    <row r="36" ht="15.75" customHeight="1" s="147"/>
    <row r="37" ht="15.75" customHeight="1" s="147"/>
    <row r="38" ht="15.75" customHeight="1" s="147"/>
    <row r="39" ht="15.75" customHeight="1" s="147"/>
    <row r="40" ht="15.75" customHeight="1" s="147"/>
    <row r="41" ht="15.75" customHeight="1" s="147"/>
    <row r="42" ht="15.75" customHeight="1" s="147"/>
    <row r="43" ht="15.75" customHeight="1" s="147"/>
    <row r="44" ht="15.75" customHeight="1" s="147"/>
    <row r="45" ht="15.75" customHeight="1" s="147"/>
    <row r="46" ht="15.75" customHeight="1" s="147"/>
    <row r="47" ht="15.75" customHeight="1" s="147"/>
    <row r="48" ht="15.75" customHeight="1" s="147"/>
    <row r="49" ht="15.75" customHeight="1" s="147"/>
    <row r="50" ht="15.75" customHeight="1" s="147"/>
    <row r="51" ht="15.75" customHeight="1" s="147"/>
    <row r="52" ht="15.75" customHeight="1" s="147"/>
    <row r="53" ht="15.75" customHeight="1" s="147"/>
    <row r="54" ht="15.75" customHeight="1" s="147"/>
    <row r="55" ht="15.75" customHeight="1" s="147"/>
    <row r="56" ht="15.75" customHeight="1" s="147"/>
    <row r="57" ht="15.75" customHeight="1" s="147"/>
    <row r="58" ht="15.75" customHeight="1" s="147"/>
    <row r="59" ht="15.75" customHeight="1" s="147"/>
    <row r="60" ht="15.75" customHeight="1" s="147"/>
    <row r="61" ht="15.75" customHeight="1" s="147"/>
    <row r="62" ht="15.75" customHeight="1" s="147"/>
    <row r="63" ht="15.75" customHeight="1" s="147"/>
    <row r="64" ht="15.75" customHeight="1" s="147"/>
    <row r="65" ht="15.75" customHeight="1" s="147"/>
    <row r="66" ht="15.75" customHeight="1" s="147"/>
    <row r="67" ht="15.75" customHeight="1" s="147"/>
    <row r="68" ht="15.75" customHeight="1" s="147"/>
    <row r="69" ht="15.75" customHeight="1" s="147"/>
    <row r="70" ht="15.75" customHeight="1" s="147"/>
    <row r="71" ht="15.75" customHeight="1" s="147"/>
    <row r="72" ht="15.75" customHeight="1" s="147"/>
    <row r="73" ht="15.75" customHeight="1" s="147"/>
    <row r="74" ht="15.75" customHeight="1" s="147"/>
    <row r="75" ht="15.75" customHeight="1" s="147"/>
    <row r="76" ht="15.75" customHeight="1" s="147"/>
    <row r="77" ht="15.75" customHeight="1" s="147"/>
    <row r="78" ht="15.75" customHeight="1" s="147"/>
    <row r="79" ht="15.75" customHeight="1" s="147"/>
    <row r="80" ht="15.75" customHeight="1" s="147"/>
    <row r="81" ht="15.75" customHeight="1" s="147"/>
    <row r="82" ht="15.75" customHeight="1" s="147"/>
    <row r="83" ht="15.75" customHeight="1" s="147"/>
    <row r="84" ht="15.75" customHeight="1" s="147"/>
    <row r="85" ht="15.75" customHeight="1" s="147"/>
    <row r="86" ht="15.75" customHeight="1" s="147"/>
    <row r="87" ht="15.75" customHeight="1" s="147"/>
    <row r="88" ht="15.75" customHeight="1" s="147"/>
    <row r="89" ht="15.75" customHeight="1" s="147"/>
    <row r="90" ht="15.75" customHeight="1" s="147"/>
    <row r="91" ht="15.75" customHeight="1" s="147"/>
    <row r="92" ht="15.75" customHeight="1" s="147"/>
    <row r="93" ht="15.75" customHeight="1" s="147"/>
    <row r="94" ht="15.75" customHeight="1" s="147"/>
    <row r="95" ht="15.75" customHeight="1" s="147"/>
    <row r="96" ht="15.75" customHeight="1" s="147"/>
    <row r="97" ht="15.75" customHeight="1" s="147"/>
    <row r="98" ht="15.75" customHeight="1" s="147"/>
    <row r="99" ht="15.75" customHeight="1" s="147"/>
    <row r="100" ht="15.75" customHeight="1" s="147"/>
    <row r="101" ht="15.75" customHeight="1" s="147"/>
    <row r="102" ht="15.75" customHeight="1" s="147"/>
    <row r="103" ht="15.75" customHeight="1" s="147"/>
    <row r="104" ht="15.75" customHeight="1" s="147"/>
    <row r="105" ht="15.75" customHeight="1" s="147"/>
    <row r="106" ht="15.75" customHeight="1" s="147"/>
    <row r="107" ht="15.75" customHeight="1" s="147"/>
    <row r="108" ht="15.75" customHeight="1" s="147"/>
    <row r="109" ht="15.75" customHeight="1" s="147"/>
    <row r="110" ht="15.75" customHeight="1" s="147"/>
    <row r="111" ht="15.75" customHeight="1" s="147"/>
    <row r="112" ht="15.75" customHeight="1" s="147"/>
    <row r="113" ht="15.75" customHeight="1" s="147"/>
    <row r="114" ht="15.75" customHeight="1" s="147"/>
    <row r="115" ht="15.75" customHeight="1" s="147"/>
    <row r="116" ht="15.75" customHeight="1" s="147"/>
    <row r="117" ht="15.75" customHeight="1" s="147"/>
    <row r="118" ht="15.75" customHeight="1" s="147"/>
    <row r="119" ht="15.75" customHeight="1" s="147"/>
    <row r="120" ht="15.75" customHeight="1" s="147"/>
    <row r="121" ht="15.75" customHeight="1" s="147"/>
    <row r="122" ht="15.75" customHeight="1" s="147"/>
    <row r="123" ht="15.75" customHeight="1" s="147"/>
    <row r="124" ht="15.75" customHeight="1" s="147"/>
    <row r="125" ht="15.75" customHeight="1" s="147"/>
    <row r="126" ht="15.75" customHeight="1" s="147"/>
    <row r="127" ht="15.75" customHeight="1" s="147"/>
    <row r="128" ht="15.75" customHeight="1" s="147"/>
    <row r="129" ht="15.75" customHeight="1" s="147"/>
    <row r="130" ht="15.75" customHeight="1" s="147"/>
    <row r="131" ht="15.75" customHeight="1" s="147"/>
    <row r="132" ht="15.75" customHeight="1" s="147"/>
    <row r="133" ht="15.75" customHeight="1" s="147"/>
    <row r="134" ht="15.75" customHeight="1" s="147"/>
    <row r="135" ht="15.75" customHeight="1" s="147"/>
    <row r="136" ht="15.75" customHeight="1" s="147"/>
    <row r="137" ht="15.75" customHeight="1" s="147"/>
    <row r="138" ht="15.75" customHeight="1" s="147"/>
    <row r="139" ht="15.75" customHeight="1" s="147"/>
    <row r="140" ht="15.75" customHeight="1" s="147"/>
    <row r="141" ht="15.75" customHeight="1" s="147"/>
    <row r="142" ht="15.75" customHeight="1" s="147"/>
    <row r="143" ht="15.75" customHeight="1" s="147"/>
    <row r="144" ht="15.75" customHeight="1" s="147"/>
    <row r="145" ht="15.75" customHeight="1" s="147"/>
    <row r="146" ht="15.75" customHeight="1" s="147"/>
    <row r="147" ht="15.75" customHeight="1" s="147"/>
    <row r="148" ht="15.75" customHeight="1" s="147"/>
    <row r="149" ht="15.75" customHeight="1" s="147"/>
    <row r="150" ht="15.75" customHeight="1" s="147"/>
    <row r="151" ht="15.75" customHeight="1" s="147"/>
    <row r="152" ht="15.75" customHeight="1" s="147"/>
    <row r="153" ht="15.75" customHeight="1" s="147"/>
    <row r="154" ht="15.75" customHeight="1" s="147"/>
    <row r="155" ht="15.75" customHeight="1" s="147"/>
    <row r="156" ht="15.75" customHeight="1" s="147"/>
    <row r="157" ht="15.75" customHeight="1" s="147"/>
    <row r="158" ht="15.75" customHeight="1" s="147"/>
    <row r="159" ht="15.75" customHeight="1" s="147"/>
    <row r="160" ht="15.75" customHeight="1" s="147"/>
    <row r="161" ht="15.75" customHeight="1" s="147"/>
    <row r="162" ht="15.75" customHeight="1" s="147"/>
    <row r="163" ht="15.75" customHeight="1" s="147"/>
    <row r="164" ht="15.75" customHeight="1" s="147"/>
    <row r="165" ht="15.75" customHeight="1" s="147"/>
    <row r="166" ht="15.75" customHeight="1" s="147"/>
    <row r="167" ht="15.75" customHeight="1" s="147"/>
    <row r="168" ht="15.75" customHeight="1" s="147"/>
    <row r="169" ht="15.75" customHeight="1" s="147"/>
    <row r="170" ht="15.75" customHeight="1" s="147"/>
    <row r="171" ht="15.75" customHeight="1" s="147"/>
    <row r="172" ht="15.75" customHeight="1" s="147"/>
    <row r="173" ht="15.75" customHeight="1" s="147"/>
    <row r="174" ht="15.75" customHeight="1" s="147"/>
    <row r="175" ht="15.75" customHeight="1" s="147"/>
    <row r="176" ht="15.75" customHeight="1" s="147"/>
    <row r="177" ht="15.75" customHeight="1" s="147"/>
    <row r="178" ht="15.75" customHeight="1" s="147"/>
    <row r="179" ht="15.75" customHeight="1" s="147"/>
    <row r="180" ht="15.75" customHeight="1" s="147"/>
    <row r="181" ht="15.75" customHeight="1" s="147"/>
    <row r="182" ht="15.75" customHeight="1" s="147"/>
    <row r="183" ht="15.75" customHeight="1" s="147"/>
    <row r="184" ht="15.75" customHeight="1" s="147"/>
    <row r="185" ht="15.75" customHeight="1" s="147"/>
    <row r="186" ht="15.75" customHeight="1" s="147"/>
    <row r="187" ht="15.75" customHeight="1" s="147"/>
    <row r="188" ht="15.75" customHeight="1" s="147"/>
    <row r="189" ht="15.75" customHeight="1" s="147"/>
    <row r="190" ht="15.75" customHeight="1" s="147"/>
    <row r="191" ht="15.75" customHeight="1" s="147"/>
    <row r="192" ht="15.75" customHeight="1" s="147"/>
    <row r="193" ht="15.75" customHeight="1" s="147"/>
    <row r="194" ht="15.75" customHeight="1" s="147"/>
    <row r="195" ht="15.75" customHeight="1" s="147"/>
    <row r="196" ht="15.75" customHeight="1" s="147"/>
    <row r="197" ht="15.75" customHeight="1" s="147"/>
    <row r="198" ht="15.75" customHeight="1" s="147"/>
    <row r="199" ht="15.75" customHeight="1" s="147"/>
    <row r="200" ht="15.75" customHeight="1" s="147"/>
    <row r="201" ht="15.75" customHeight="1" s="147"/>
    <row r="202" ht="15.75" customHeight="1" s="147"/>
    <row r="203" ht="15.75" customHeight="1" s="147"/>
    <row r="204" ht="15.75" customHeight="1" s="147"/>
    <row r="205" ht="15.75" customHeight="1" s="147"/>
    <row r="206" ht="15.75" customHeight="1" s="147"/>
    <row r="207" ht="15.75" customHeight="1" s="147"/>
    <row r="208" ht="15.75" customHeight="1" s="147"/>
    <row r="209" ht="15.75" customHeight="1" s="147"/>
    <row r="210" ht="15.75" customHeight="1" s="147"/>
    <row r="211" ht="15.75" customHeight="1" s="147"/>
    <row r="212" ht="15.75" customHeight="1" s="147"/>
    <row r="213" ht="15.75" customHeight="1" s="147"/>
    <row r="214" ht="15.75" customHeight="1" s="147"/>
    <row r="215" ht="15.75" customHeight="1" s="147"/>
    <row r="216" ht="15.75" customHeight="1" s="147"/>
    <row r="217" ht="15.75" customHeight="1" s="147"/>
    <row r="218" ht="15.75" customHeight="1" s="147"/>
    <row r="219" ht="15.75" customHeight="1" s="147"/>
    <row r="220" ht="15.75" customHeight="1" s="147"/>
    <row r="221" ht="15.75" customHeight="1" s="147"/>
    <row r="222" ht="15.75" customHeight="1" s="147"/>
    <row r="223" ht="15.75" customHeight="1" s="147"/>
    <row r="224" ht="15.75" customHeight="1" s="147"/>
    <row r="225" ht="15.75" customHeight="1" s="147"/>
    <row r="226" ht="15.75" customHeight="1" s="147"/>
    <row r="227" ht="15.75" customHeight="1" s="147"/>
    <row r="228" ht="15.75" customHeight="1" s="147"/>
    <row r="229" ht="15.75" customHeight="1" s="147"/>
    <row r="230" ht="15.75" customHeight="1" s="147"/>
    <row r="231" ht="15.75" customHeight="1" s="147"/>
    <row r="232" ht="15.75" customHeight="1" s="147"/>
    <row r="233" ht="15.75" customHeight="1" s="147"/>
    <row r="234" ht="15.75" customHeight="1" s="147"/>
    <row r="235" ht="15.75" customHeight="1" s="147"/>
    <row r="236" ht="15.75" customHeight="1" s="147"/>
    <row r="237" ht="15.75" customHeight="1" s="147"/>
    <row r="238" ht="15.75" customHeight="1" s="147"/>
    <row r="239" ht="15.75" customHeight="1" s="147"/>
    <row r="240" ht="15.75" customHeight="1" s="147"/>
    <row r="241" ht="15.75" customHeight="1" s="147"/>
    <row r="242" ht="15.75" customHeight="1" s="147"/>
    <row r="243" ht="15.75" customHeight="1" s="147"/>
    <row r="244" ht="15.75" customHeight="1" s="147"/>
    <row r="245" ht="15.75" customHeight="1" s="147"/>
    <row r="246" ht="15.75" customHeight="1" s="147"/>
    <row r="247" ht="15.75" customHeight="1" s="147"/>
    <row r="248" ht="15.75" customHeight="1" s="147"/>
    <row r="249" ht="15.75" customHeight="1" s="147"/>
    <row r="250" ht="15.75" customHeight="1" s="147"/>
    <row r="251" ht="15.75" customHeight="1" s="147"/>
    <row r="252" ht="15.75" customHeight="1" s="147"/>
    <row r="253" ht="15.75" customHeight="1" s="147"/>
    <row r="254" ht="15.75" customHeight="1" s="147"/>
    <row r="255" ht="15.75" customHeight="1" s="147"/>
    <row r="256" ht="15.75" customHeight="1" s="147"/>
    <row r="257" ht="15.75" customHeight="1" s="147"/>
    <row r="258" ht="15.75" customHeight="1" s="147"/>
    <row r="259" ht="15.75" customHeight="1" s="147"/>
    <row r="260" ht="15.75" customHeight="1" s="147"/>
    <row r="261" ht="15.75" customHeight="1" s="147"/>
    <row r="262" ht="15.75" customHeight="1" s="147"/>
    <row r="263" ht="15.75" customHeight="1" s="147"/>
    <row r="264" ht="15.75" customHeight="1" s="147"/>
    <row r="265" ht="15.75" customHeight="1" s="147"/>
    <row r="266" ht="15.75" customHeight="1" s="147"/>
    <row r="267" ht="15.75" customHeight="1" s="147"/>
    <row r="268" ht="15.75" customHeight="1" s="147"/>
    <row r="269" ht="15.75" customHeight="1" s="147"/>
    <row r="270" ht="15.75" customHeight="1" s="147"/>
    <row r="271" ht="15.75" customHeight="1" s="147"/>
    <row r="272" ht="15.75" customHeight="1" s="147"/>
    <row r="273" ht="15.75" customHeight="1" s="147"/>
    <row r="274" ht="15.75" customHeight="1" s="147"/>
    <row r="275" ht="15.75" customHeight="1" s="147"/>
    <row r="276" ht="15.75" customHeight="1" s="147"/>
    <row r="277" ht="15.75" customHeight="1" s="147"/>
    <row r="278" ht="15.75" customHeight="1" s="147"/>
    <row r="279" ht="15.75" customHeight="1" s="147"/>
    <row r="280" ht="15.75" customHeight="1" s="147"/>
    <row r="281" ht="15.75" customHeight="1" s="147"/>
    <row r="282" ht="15.75" customHeight="1" s="147"/>
    <row r="283" ht="15.75" customHeight="1" s="147"/>
    <row r="284" ht="15.75" customHeight="1" s="147"/>
    <row r="285" ht="15.75" customHeight="1" s="147"/>
    <row r="286" ht="15.75" customHeight="1" s="147"/>
    <row r="287" ht="15.75" customHeight="1" s="147"/>
    <row r="288" ht="15.75" customHeight="1" s="147"/>
    <row r="289" ht="15.75" customHeight="1" s="147"/>
    <row r="290" ht="15.75" customHeight="1" s="147"/>
    <row r="291" ht="15.75" customHeight="1" s="147"/>
    <row r="292" ht="15.75" customHeight="1" s="147"/>
    <row r="293" ht="15.75" customHeight="1" s="147"/>
    <row r="294" ht="15.75" customHeight="1" s="147"/>
    <row r="295" ht="15.75" customHeight="1" s="147"/>
    <row r="296" ht="15.75" customHeight="1" s="147"/>
    <row r="297" ht="15.75" customHeight="1" s="147"/>
    <row r="298" ht="15.75" customHeight="1" s="147"/>
    <row r="299" ht="15.75" customHeight="1" s="147"/>
    <row r="300" ht="15.75" customHeight="1" s="147"/>
    <row r="301" ht="15.75" customHeight="1" s="147"/>
    <row r="302" ht="15.75" customHeight="1" s="147"/>
    <row r="303" ht="15.75" customHeight="1" s="147"/>
    <row r="304" ht="15.75" customHeight="1" s="147"/>
    <row r="305" ht="15.75" customHeight="1" s="147"/>
    <row r="306" ht="15.75" customHeight="1" s="147"/>
    <row r="307" ht="15.75" customHeight="1" s="147"/>
    <row r="308" ht="15.75" customHeight="1" s="147"/>
    <row r="309" ht="15.75" customHeight="1" s="147"/>
    <row r="310" ht="15.75" customHeight="1" s="147"/>
    <row r="311" ht="15.75" customHeight="1" s="147"/>
    <row r="312" ht="15.75" customHeight="1" s="147"/>
    <row r="313" ht="15.75" customHeight="1" s="147"/>
    <row r="314" ht="15.75" customHeight="1" s="147"/>
    <row r="315" ht="15.75" customHeight="1" s="147"/>
    <row r="316" ht="15.75" customHeight="1" s="147"/>
    <row r="317" ht="15.75" customHeight="1" s="147"/>
    <row r="318" ht="15.75" customHeight="1" s="147"/>
    <row r="319" ht="15.75" customHeight="1" s="147"/>
    <row r="320" ht="15.75" customHeight="1" s="147"/>
    <row r="321" ht="15.75" customHeight="1" s="147"/>
    <row r="322" ht="15.75" customHeight="1" s="147"/>
    <row r="323" ht="15.75" customHeight="1" s="147"/>
    <row r="324" ht="15.75" customHeight="1" s="147"/>
    <row r="325" ht="15.75" customHeight="1" s="147"/>
    <row r="326" ht="15.75" customHeight="1" s="147"/>
    <row r="327" ht="15.75" customHeight="1" s="147"/>
    <row r="328" ht="15.75" customHeight="1" s="147"/>
    <row r="329" ht="15.75" customHeight="1" s="147"/>
    <row r="330" ht="15.75" customHeight="1" s="147"/>
    <row r="331" ht="15.75" customHeight="1" s="147"/>
    <row r="332" ht="15.75" customHeight="1" s="147"/>
    <row r="333" ht="15.75" customHeight="1" s="147"/>
    <row r="334" ht="15.75" customHeight="1" s="147"/>
    <row r="335" ht="15.75" customHeight="1" s="147"/>
    <row r="336" ht="15.75" customHeight="1" s="147"/>
    <row r="337" ht="15.75" customHeight="1" s="147"/>
    <row r="338" ht="15.75" customHeight="1" s="147"/>
    <row r="339" ht="15.75" customHeight="1" s="147"/>
    <row r="340" ht="15.75" customHeight="1" s="147"/>
    <row r="341" ht="15.75" customHeight="1" s="147"/>
    <row r="342" ht="15.75" customHeight="1" s="147"/>
    <row r="343" ht="15.75" customHeight="1" s="147"/>
    <row r="344" ht="15.75" customHeight="1" s="147"/>
    <row r="345" ht="15.75" customHeight="1" s="147"/>
    <row r="346" ht="15.75" customHeight="1" s="147"/>
    <row r="347" ht="15.75" customHeight="1" s="147"/>
    <row r="348" ht="15.75" customHeight="1" s="147"/>
    <row r="349" ht="15.75" customHeight="1" s="147"/>
    <row r="350" ht="15.75" customHeight="1" s="147"/>
    <row r="351" ht="15.75" customHeight="1" s="147"/>
    <row r="352" ht="15.75" customHeight="1" s="147"/>
    <row r="353" ht="15.75" customHeight="1" s="147"/>
    <row r="354" ht="15.75" customHeight="1" s="147"/>
    <row r="355" ht="15.75" customHeight="1" s="147"/>
    <row r="356" ht="15.75" customHeight="1" s="147"/>
    <row r="357" ht="15.75" customHeight="1" s="147"/>
    <row r="358" ht="15.75" customHeight="1" s="147"/>
    <row r="359" ht="15.75" customHeight="1" s="147"/>
    <row r="360" ht="15.75" customHeight="1" s="147"/>
    <row r="361" ht="15.75" customHeight="1" s="147"/>
    <row r="362" ht="15.75" customHeight="1" s="147"/>
    <row r="363" ht="15.75" customHeight="1" s="147"/>
    <row r="364" ht="15.75" customHeight="1" s="147"/>
    <row r="365" ht="15.75" customHeight="1" s="147"/>
    <row r="366" ht="15.75" customHeight="1" s="147"/>
    <row r="367" ht="15.75" customHeight="1" s="147"/>
    <row r="368" ht="15.75" customHeight="1" s="147"/>
    <row r="369" ht="15.75" customHeight="1" s="147"/>
    <row r="370" ht="15.75" customHeight="1" s="147"/>
    <row r="371" ht="15.75" customHeight="1" s="147"/>
    <row r="372" ht="15.75" customHeight="1" s="147"/>
    <row r="373" ht="15.75" customHeight="1" s="147"/>
    <row r="374" ht="15.75" customHeight="1" s="147"/>
    <row r="375" ht="15.75" customHeight="1" s="147"/>
    <row r="376" ht="15.75" customHeight="1" s="147"/>
    <row r="377" ht="15.75" customHeight="1" s="147"/>
    <row r="378" ht="15.75" customHeight="1" s="147"/>
    <row r="379" ht="15.75" customHeight="1" s="147"/>
    <row r="380" ht="15.75" customHeight="1" s="147"/>
    <row r="381" ht="15.75" customHeight="1" s="147"/>
    <row r="382" ht="15.75" customHeight="1" s="147"/>
    <row r="383" ht="15.75" customHeight="1" s="147"/>
    <row r="384" ht="15.75" customHeight="1" s="147"/>
    <row r="385" ht="15.75" customHeight="1" s="147"/>
    <row r="386" ht="15.75" customHeight="1" s="147"/>
    <row r="387" ht="15.75" customHeight="1" s="147"/>
    <row r="388" ht="15.75" customHeight="1" s="147"/>
    <row r="389" ht="15.75" customHeight="1" s="147"/>
    <row r="390" ht="15.75" customHeight="1" s="147"/>
    <row r="391" ht="15.75" customHeight="1" s="147"/>
    <row r="392" ht="15.75" customHeight="1" s="147"/>
    <row r="393" ht="15.75" customHeight="1" s="147"/>
    <row r="394" ht="15.75" customHeight="1" s="147"/>
    <row r="395" ht="15.75" customHeight="1" s="147"/>
    <row r="396" ht="15.75" customHeight="1" s="147"/>
    <row r="397" ht="15.75" customHeight="1" s="147"/>
    <row r="398" ht="15.75" customHeight="1" s="147"/>
    <row r="399" ht="15.75" customHeight="1" s="147"/>
    <row r="400" ht="15.75" customHeight="1" s="147"/>
    <row r="401" ht="15.75" customHeight="1" s="147"/>
    <row r="402" ht="15.75" customHeight="1" s="147"/>
    <row r="403" ht="15.75" customHeight="1" s="147"/>
    <row r="404" ht="15.75" customHeight="1" s="147"/>
    <row r="405" ht="15.75" customHeight="1" s="147"/>
    <row r="406" ht="15.75" customHeight="1" s="147"/>
    <row r="407" ht="15.75" customHeight="1" s="147"/>
    <row r="408" ht="15.75" customHeight="1" s="147"/>
    <row r="409" ht="15.75" customHeight="1" s="147"/>
    <row r="410" ht="15.75" customHeight="1" s="147"/>
    <row r="411" ht="15.75" customHeight="1" s="147"/>
    <row r="412" ht="15.75" customHeight="1" s="147"/>
    <row r="413" ht="15.75" customHeight="1" s="147"/>
    <row r="414" ht="15.75" customHeight="1" s="147"/>
    <row r="415" ht="15.75" customHeight="1" s="147"/>
    <row r="416" ht="15.75" customHeight="1" s="147"/>
    <row r="417" ht="15.75" customHeight="1" s="147"/>
    <row r="418" ht="15.75" customHeight="1" s="147"/>
    <row r="419" ht="15.75" customHeight="1" s="147"/>
    <row r="420" ht="15.75" customHeight="1" s="147"/>
    <row r="421" ht="15.75" customHeight="1" s="147"/>
    <row r="422" ht="15.75" customHeight="1" s="147"/>
    <row r="423" ht="15.75" customHeight="1" s="147"/>
    <row r="424" ht="15.75" customHeight="1" s="147"/>
    <row r="425" ht="15.75" customHeight="1" s="147"/>
    <row r="426" ht="15.75" customHeight="1" s="147"/>
    <row r="427" ht="15.75" customHeight="1" s="147"/>
    <row r="428" ht="15.75" customHeight="1" s="147"/>
    <row r="429" ht="15.75" customHeight="1" s="147"/>
    <row r="430" ht="15.75" customHeight="1" s="147"/>
    <row r="431" ht="15.75" customHeight="1" s="147"/>
    <row r="432" ht="15.75" customHeight="1" s="147"/>
    <row r="433" ht="15.75" customHeight="1" s="147"/>
    <row r="434" ht="15.75" customHeight="1" s="147"/>
    <row r="435" ht="15.75" customHeight="1" s="147"/>
    <row r="436" ht="15.75" customHeight="1" s="147"/>
    <row r="437" ht="15.75" customHeight="1" s="147"/>
    <row r="438" ht="15.75" customHeight="1" s="147"/>
    <row r="439" ht="15.75" customHeight="1" s="147"/>
    <row r="440" ht="15.75" customHeight="1" s="147"/>
    <row r="441" ht="15.75" customHeight="1" s="147"/>
    <row r="442" ht="15.75" customHeight="1" s="147"/>
    <row r="443" ht="15.75" customHeight="1" s="147"/>
    <row r="444" ht="15.75" customHeight="1" s="147"/>
    <row r="445" ht="15.75" customHeight="1" s="147"/>
    <row r="446" ht="15.75" customHeight="1" s="147"/>
    <row r="447" ht="15.75" customHeight="1" s="147"/>
    <row r="448" ht="15.75" customHeight="1" s="147"/>
    <row r="449" ht="15.75" customHeight="1" s="147"/>
    <row r="450" ht="15.75" customHeight="1" s="147"/>
    <row r="451" ht="15.75" customHeight="1" s="147"/>
    <row r="452" ht="15.75" customHeight="1" s="147"/>
    <row r="453" ht="15.75" customHeight="1" s="147"/>
    <row r="454" ht="15.75" customHeight="1" s="147"/>
    <row r="455" ht="15.75" customHeight="1" s="147"/>
    <row r="456" ht="15.75" customHeight="1" s="147"/>
    <row r="457" ht="15.75" customHeight="1" s="147"/>
    <row r="458" ht="15.75" customHeight="1" s="147"/>
    <row r="459" ht="15.75" customHeight="1" s="147"/>
    <row r="460" ht="15.75" customHeight="1" s="147"/>
    <row r="461" ht="15.75" customHeight="1" s="147"/>
    <row r="462" ht="15.75" customHeight="1" s="147"/>
    <row r="463" ht="15.75" customHeight="1" s="147"/>
    <row r="464" ht="15.75" customHeight="1" s="147"/>
    <row r="465" ht="15.75" customHeight="1" s="147"/>
    <row r="466" ht="15.75" customHeight="1" s="147"/>
    <row r="467" ht="15.75" customHeight="1" s="147"/>
    <row r="468" ht="15.75" customHeight="1" s="147"/>
    <row r="469" ht="15.75" customHeight="1" s="147"/>
    <row r="470" ht="15.75" customHeight="1" s="147"/>
    <row r="471" ht="15.75" customHeight="1" s="147"/>
    <row r="472" ht="15.75" customHeight="1" s="147"/>
    <row r="473" ht="15.75" customHeight="1" s="147"/>
    <row r="474" ht="15.75" customHeight="1" s="147"/>
    <row r="475" ht="15.75" customHeight="1" s="147"/>
    <row r="476" ht="15.75" customHeight="1" s="147"/>
    <row r="477" ht="15.75" customHeight="1" s="147"/>
    <row r="478" ht="15.75" customHeight="1" s="147"/>
    <row r="479" ht="15.75" customHeight="1" s="147"/>
    <row r="480" ht="15.75" customHeight="1" s="147"/>
    <row r="481" ht="15.75" customHeight="1" s="147"/>
    <row r="482" ht="15.75" customHeight="1" s="147"/>
    <row r="483" ht="15.75" customHeight="1" s="147"/>
    <row r="484" ht="15.75" customHeight="1" s="147"/>
    <row r="485" ht="15.75" customHeight="1" s="147"/>
    <row r="486" ht="15.75" customHeight="1" s="147"/>
    <row r="487" ht="15.75" customHeight="1" s="147"/>
    <row r="488" ht="15.75" customHeight="1" s="147"/>
    <row r="489" ht="15.75" customHeight="1" s="147"/>
    <row r="490" ht="15.75" customHeight="1" s="147"/>
    <row r="491" ht="15.75" customHeight="1" s="147"/>
    <row r="492" ht="15.75" customHeight="1" s="147"/>
    <row r="493" ht="15.75" customHeight="1" s="147"/>
    <row r="494" ht="15.75" customHeight="1" s="147"/>
    <row r="495" ht="15.75" customHeight="1" s="147"/>
    <row r="496" ht="15.75" customHeight="1" s="147"/>
    <row r="497" ht="15.75" customHeight="1" s="147"/>
    <row r="498" ht="15.75" customHeight="1" s="147"/>
    <row r="499" ht="15.75" customHeight="1" s="147"/>
    <row r="500" ht="15.75" customHeight="1" s="147"/>
    <row r="501" ht="15.75" customHeight="1" s="147"/>
    <row r="502" ht="15.75" customHeight="1" s="147"/>
    <row r="503" ht="15.75" customHeight="1" s="147"/>
    <row r="504" ht="15.75" customHeight="1" s="147"/>
    <row r="505" ht="15.75" customHeight="1" s="147"/>
    <row r="506" ht="15.75" customHeight="1" s="147"/>
    <row r="507" ht="15.75" customHeight="1" s="147"/>
    <row r="508" ht="15.75" customHeight="1" s="147"/>
    <row r="509" ht="15.75" customHeight="1" s="147"/>
    <row r="510" ht="15.75" customHeight="1" s="147"/>
    <row r="511" ht="15.75" customHeight="1" s="147"/>
    <row r="512" ht="15.75" customHeight="1" s="147"/>
    <row r="513" ht="15.75" customHeight="1" s="147"/>
    <row r="514" ht="15.75" customHeight="1" s="147"/>
    <row r="515" ht="15.75" customHeight="1" s="147"/>
    <row r="516" ht="15.75" customHeight="1" s="147"/>
    <row r="517" ht="15.75" customHeight="1" s="147"/>
    <row r="518" ht="15.75" customHeight="1" s="147"/>
    <row r="519" ht="15.75" customHeight="1" s="147"/>
    <row r="520" ht="15.75" customHeight="1" s="147"/>
    <row r="521" ht="15.75" customHeight="1" s="147"/>
    <row r="522" ht="15.75" customHeight="1" s="147"/>
    <row r="523" ht="15.75" customHeight="1" s="147"/>
    <row r="524" ht="15.75" customHeight="1" s="147"/>
    <row r="525" ht="15.75" customHeight="1" s="147"/>
    <row r="526" ht="15.75" customHeight="1" s="147"/>
    <row r="527" ht="15.75" customHeight="1" s="147"/>
    <row r="528" ht="15.75" customHeight="1" s="147"/>
    <row r="529" ht="15.75" customHeight="1" s="147"/>
    <row r="530" ht="15.75" customHeight="1" s="147"/>
    <row r="531" ht="15.75" customHeight="1" s="147"/>
    <row r="532" ht="15.75" customHeight="1" s="147"/>
    <row r="533" ht="15.75" customHeight="1" s="147"/>
    <row r="534" ht="15.75" customHeight="1" s="147"/>
    <row r="535" ht="15.75" customHeight="1" s="147"/>
    <row r="536" ht="15.75" customHeight="1" s="147"/>
    <row r="537" ht="15.75" customHeight="1" s="147"/>
    <row r="538" ht="15.75" customHeight="1" s="147"/>
    <row r="539" ht="15.75" customHeight="1" s="147"/>
    <row r="540" ht="15.75" customHeight="1" s="147"/>
    <row r="541" ht="15.75" customHeight="1" s="147"/>
    <row r="542" ht="15.75" customHeight="1" s="147"/>
    <row r="543" ht="15.75" customHeight="1" s="147"/>
    <row r="544" ht="15.75" customHeight="1" s="147"/>
    <row r="545" ht="15.75" customHeight="1" s="147"/>
    <row r="546" ht="15.75" customHeight="1" s="147"/>
    <row r="547" ht="15.75" customHeight="1" s="147"/>
    <row r="548" ht="15.75" customHeight="1" s="147"/>
    <row r="549" ht="15.75" customHeight="1" s="147"/>
    <row r="550" ht="15.75" customHeight="1" s="147"/>
    <row r="551" ht="15.75" customHeight="1" s="147"/>
    <row r="552" ht="15.75" customHeight="1" s="147"/>
    <row r="553" ht="15.75" customHeight="1" s="147"/>
    <row r="554" ht="15.75" customHeight="1" s="147"/>
    <row r="555" ht="15.75" customHeight="1" s="147"/>
    <row r="556" ht="15.75" customHeight="1" s="147"/>
    <row r="557" ht="15.75" customHeight="1" s="147"/>
    <row r="558" ht="15.75" customHeight="1" s="147"/>
    <row r="559" ht="15.75" customHeight="1" s="147"/>
    <row r="560" ht="15.75" customHeight="1" s="147"/>
    <row r="561" ht="15.75" customHeight="1" s="147"/>
    <row r="562" ht="15.75" customHeight="1" s="147"/>
    <row r="563" ht="15.75" customHeight="1" s="147"/>
    <row r="564" ht="15.75" customHeight="1" s="147"/>
    <row r="565" ht="15.75" customHeight="1" s="147"/>
    <row r="566" ht="15.75" customHeight="1" s="147"/>
    <row r="567" ht="15.75" customHeight="1" s="147"/>
    <row r="568" ht="15.75" customHeight="1" s="147"/>
    <row r="569" ht="15.75" customHeight="1" s="147"/>
    <row r="570" ht="15.75" customHeight="1" s="147"/>
    <row r="571" ht="15.75" customHeight="1" s="147"/>
    <row r="572" ht="15.75" customHeight="1" s="147"/>
    <row r="573" ht="15.75" customHeight="1" s="147"/>
    <row r="574" ht="15.75" customHeight="1" s="147"/>
    <row r="575" ht="15.75" customHeight="1" s="147"/>
    <row r="576" ht="15.75" customHeight="1" s="147"/>
    <row r="577" ht="15.75" customHeight="1" s="147"/>
    <row r="578" ht="15.75" customHeight="1" s="147"/>
    <row r="579" ht="15.75" customHeight="1" s="147"/>
    <row r="580" ht="15.75" customHeight="1" s="147"/>
    <row r="581" ht="15.75" customHeight="1" s="147"/>
    <row r="582" ht="15.75" customHeight="1" s="147"/>
    <row r="583" ht="15.75" customHeight="1" s="147"/>
    <row r="584" ht="15.75" customHeight="1" s="147"/>
    <row r="585" ht="15.75" customHeight="1" s="147"/>
    <row r="586" ht="15.75" customHeight="1" s="147"/>
    <row r="587" ht="15.75" customHeight="1" s="147"/>
    <row r="588" ht="15.75" customHeight="1" s="147"/>
    <row r="589" ht="15.75" customHeight="1" s="147"/>
    <row r="590" ht="15.75" customHeight="1" s="147"/>
    <row r="591" ht="15.75" customHeight="1" s="147"/>
    <row r="592" ht="15.75" customHeight="1" s="147"/>
    <row r="593" ht="15.75" customHeight="1" s="147"/>
    <row r="594" ht="15.75" customHeight="1" s="147"/>
    <row r="595" ht="15.75" customHeight="1" s="147"/>
    <row r="596" ht="15.75" customHeight="1" s="147"/>
    <row r="597" ht="15.75" customHeight="1" s="147"/>
    <row r="598" ht="15.75" customHeight="1" s="147"/>
    <row r="599" ht="15.75" customHeight="1" s="147"/>
    <row r="600" ht="15.75" customHeight="1" s="147"/>
    <row r="601" ht="15.75" customHeight="1" s="147"/>
    <row r="602" ht="15.75" customHeight="1" s="147"/>
    <row r="603" ht="15.75" customHeight="1" s="147"/>
    <row r="604" ht="15.75" customHeight="1" s="147"/>
    <row r="605" ht="15.75" customHeight="1" s="147"/>
    <row r="606" ht="15.75" customHeight="1" s="147"/>
    <row r="607" ht="15.75" customHeight="1" s="147"/>
    <row r="608" ht="15.75" customHeight="1" s="147"/>
    <row r="609" ht="15.75" customHeight="1" s="147"/>
    <row r="610" ht="15.75" customHeight="1" s="147"/>
    <row r="611" ht="15.75" customHeight="1" s="147"/>
    <row r="612" ht="15.75" customHeight="1" s="147"/>
    <row r="613" ht="15.75" customHeight="1" s="147"/>
    <row r="614" ht="15.75" customHeight="1" s="147"/>
    <row r="615" ht="15.75" customHeight="1" s="147"/>
    <row r="616" ht="15.75" customHeight="1" s="147"/>
    <row r="617" ht="15.75" customHeight="1" s="147"/>
    <row r="618" ht="15.75" customHeight="1" s="147"/>
    <row r="619" ht="15.75" customHeight="1" s="147"/>
    <row r="620" ht="15.75" customHeight="1" s="147"/>
    <row r="621" ht="15.75" customHeight="1" s="147"/>
    <row r="622" ht="15.75" customHeight="1" s="147"/>
    <row r="623" ht="15.75" customHeight="1" s="147"/>
    <row r="624" ht="15.75" customHeight="1" s="147"/>
    <row r="625" ht="15.75" customHeight="1" s="147"/>
    <row r="626" ht="15.75" customHeight="1" s="147"/>
    <row r="627" ht="15.75" customHeight="1" s="147"/>
    <row r="628" ht="15.75" customHeight="1" s="147"/>
    <row r="629" ht="15.75" customHeight="1" s="147"/>
    <row r="630" ht="15.75" customHeight="1" s="147"/>
    <row r="631" ht="15.75" customHeight="1" s="147"/>
    <row r="632" ht="15.75" customHeight="1" s="147"/>
    <row r="633" ht="15.75" customHeight="1" s="147"/>
    <row r="634" ht="15.75" customHeight="1" s="147"/>
    <row r="635" ht="15.75" customHeight="1" s="147"/>
    <row r="636" ht="15.75" customHeight="1" s="147"/>
    <row r="637" ht="15.75" customHeight="1" s="147"/>
    <row r="638" ht="15.75" customHeight="1" s="147"/>
    <row r="639" ht="15.75" customHeight="1" s="147"/>
    <row r="640" ht="15.75" customHeight="1" s="147"/>
    <row r="641" ht="15.75" customHeight="1" s="147"/>
    <row r="642" ht="15.75" customHeight="1" s="147"/>
    <row r="643" ht="15.75" customHeight="1" s="147"/>
    <row r="644" ht="15.75" customHeight="1" s="147"/>
    <row r="645" ht="15.75" customHeight="1" s="147"/>
    <row r="646" ht="15.75" customHeight="1" s="147"/>
    <row r="647" ht="15.75" customHeight="1" s="147"/>
    <row r="648" ht="15.75" customHeight="1" s="147"/>
    <row r="649" ht="15.75" customHeight="1" s="147"/>
    <row r="650" ht="15.75" customHeight="1" s="147"/>
    <row r="651" ht="15.75" customHeight="1" s="147"/>
    <row r="652" ht="15.75" customHeight="1" s="147"/>
    <row r="653" ht="15.75" customHeight="1" s="147"/>
    <row r="654" ht="15.75" customHeight="1" s="147"/>
    <row r="655" ht="15.75" customHeight="1" s="147"/>
    <row r="656" ht="15.75" customHeight="1" s="147"/>
    <row r="657" ht="15.75" customHeight="1" s="147"/>
    <row r="658" ht="15.75" customHeight="1" s="147"/>
    <row r="659" ht="15.75" customHeight="1" s="147"/>
    <row r="660" ht="15.75" customHeight="1" s="147"/>
    <row r="661" ht="15.75" customHeight="1" s="147"/>
    <row r="662" ht="15.75" customHeight="1" s="147"/>
    <row r="663" ht="15.75" customHeight="1" s="147"/>
    <row r="664" ht="15.75" customHeight="1" s="147"/>
    <row r="665" ht="15.75" customHeight="1" s="147"/>
    <row r="666" ht="15.75" customHeight="1" s="147"/>
    <row r="667" ht="15.75" customHeight="1" s="147"/>
    <row r="668" ht="15.75" customHeight="1" s="147"/>
    <row r="669" ht="15.75" customHeight="1" s="147"/>
    <row r="670" ht="15.75" customHeight="1" s="147"/>
    <row r="671" ht="15.75" customHeight="1" s="147"/>
    <row r="672" ht="15.75" customHeight="1" s="147"/>
    <row r="673" ht="15.75" customHeight="1" s="147"/>
    <row r="674" ht="15.75" customHeight="1" s="147"/>
    <row r="675" ht="15.75" customHeight="1" s="147"/>
    <row r="676" ht="15.75" customHeight="1" s="147"/>
    <row r="677" ht="15.75" customHeight="1" s="147"/>
    <row r="678" ht="15.75" customHeight="1" s="147"/>
    <row r="679" ht="15.75" customHeight="1" s="147"/>
    <row r="680" ht="15.75" customHeight="1" s="147"/>
    <row r="681" ht="15.75" customHeight="1" s="147"/>
    <row r="682" ht="15.75" customHeight="1" s="147"/>
    <row r="683" ht="15.75" customHeight="1" s="147"/>
    <row r="684" ht="15.75" customHeight="1" s="147"/>
    <row r="685" ht="15.75" customHeight="1" s="147"/>
    <row r="686" ht="15.75" customHeight="1" s="147"/>
    <row r="687" ht="15.75" customHeight="1" s="147"/>
    <row r="688" ht="15.75" customHeight="1" s="147"/>
    <row r="689" ht="15.75" customHeight="1" s="147"/>
    <row r="690" ht="15.75" customHeight="1" s="147"/>
    <row r="691" ht="15.75" customHeight="1" s="147"/>
    <row r="692" ht="15.75" customHeight="1" s="147"/>
    <row r="693" ht="15.75" customHeight="1" s="147"/>
    <row r="694" ht="15.75" customHeight="1" s="147"/>
    <row r="695" ht="15.75" customHeight="1" s="147"/>
    <row r="696" ht="15.75" customHeight="1" s="147"/>
    <row r="697" ht="15.75" customHeight="1" s="147"/>
    <row r="698" ht="15.75" customHeight="1" s="147"/>
    <row r="699" ht="15.75" customHeight="1" s="147"/>
    <row r="700" ht="15.75" customHeight="1" s="147"/>
    <row r="701" ht="15.75" customHeight="1" s="147"/>
    <row r="702" ht="15.75" customHeight="1" s="147"/>
    <row r="703" ht="15.75" customHeight="1" s="147"/>
    <row r="704" ht="15.75" customHeight="1" s="147"/>
    <row r="705" ht="15.75" customHeight="1" s="147"/>
    <row r="706" ht="15.75" customHeight="1" s="147"/>
    <row r="707" ht="15.75" customHeight="1" s="147"/>
    <row r="708" ht="15.75" customHeight="1" s="147"/>
    <row r="709" ht="15.75" customHeight="1" s="147"/>
    <row r="710" ht="15.75" customHeight="1" s="147"/>
    <row r="711" ht="15.75" customHeight="1" s="147"/>
    <row r="712" ht="15.75" customHeight="1" s="147"/>
    <row r="713" ht="15.75" customHeight="1" s="147"/>
    <row r="714" ht="15.75" customHeight="1" s="147"/>
    <row r="715" ht="15.75" customHeight="1" s="147"/>
    <row r="716" ht="15.75" customHeight="1" s="147"/>
    <row r="717" ht="15.75" customHeight="1" s="147"/>
    <row r="718" ht="15.75" customHeight="1" s="147"/>
    <row r="719" ht="15.75" customHeight="1" s="147"/>
    <row r="720" ht="15.75" customHeight="1" s="147"/>
    <row r="721" ht="15.75" customHeight="1" s="147"/>
    <row r="722" ht="15.75" customHeight="1" s="147"/>
    <row r="723" ht="15.75" customHeight="1" s="147"/>
    <row r="724" ht="15.75" customHeight="1" s="147"/>
    <row r="725" ht="15.75" customHeight="1" s="147"/>
    <row r="726" ht="15.75" customHeight="1" s="147"/>
    <row r="727" ht="15.75" customHeight="1" s="147"/>
    <row r="728" ht="15.75" customHeight="1" s="147"/>
    <row r="729" ht="15.75" customHeight="1" s="147"/>
    <row r="730" ht="15.75" customHeight="1" s="147"/>
    <row r="731" ht="15.75" customHeight="1" s="147"/>
    <row r="732" ht="15.75" customHeight="1" s="147"/>
    <row r="733" ht="15.75" customHeight="1" s="147"/>
    <row r="734" ht="15.75" customHeight="1" s="147"/>
    <row r="735" ht="15.75" customHeight="1" s="147"/>
    <row r="736" ht="15.75" customHeight="1" s="147"/>
    <row r="737" ht="15.75" customHeight="1" s="147"/>
    <row r="738" ht="15.75" customHeight="1" s="147"/>
    <row r="739" ht="15.75" customHeight="1" s="147"/>
    <row r="740" ht="15.75" customHeight="1" s="147"/>
    <row r="741" ht="15.75" customHeight="1" s="147"/>
    <row r="742" ht="15.75" customHeight="1" s="147"/>
    <row r="743" ht="15.75" customHeight="1" s="147"/>
    <row r="744" ht="15.75" customHeight="1" s="147"/>
    <row r="745" ht="15.75" customHeight="1" s="147"/>
    <row r="746" ht="15.75" customHeight="1" s="147"/>
    <row r="747" ht="15.75" customHeight="1" s="147"/>
    <row r="748" ht="15.75" customHeight="1" s="147"/>
    <row r="749" ht="15.75" customHeight="1" s="147"/>
    <row r="750" ht="15.75" customHeight="1" s="147"/>
    <row r="751" ht="15.75" customHeight="1" s="147"/>
    <row r="752" ht="15.75" customHeight="1" s="147"/>
    <row r="753" ht="15.75" customHeight="1" s="147"/>
    <row r="754" ht="15.75" customHeight="1" s="147"/>
    <row r="755" ht="15.75" customHeight="1" s="147"/>
    <row r="756" ht="15.75" customHeight="1" s="147"/>
    <row r="757" ht="15.75" customHeight="1" s="147"/>
    <row r="758" ht="15.75" customHeight="1" s="147"/>
    <row r="759" ht="15.75" customHeight="1" s="147"/>
    <row r="760" ht="15.75" customHeight="1" s="147"/>
    <row r="761" ht="15.75" customHeight="1" s="147"/>
    <row r="762" ht="15.75" customHeight="1" s="147"/>
    <row r="763" ht="15.75" customHeight="1" s="147"/>
    <row r="764" ht="15.75" customHeight="1" s="147"/>
    <row r="765" ht="15.75" customHeight="1" s="147"/>
    <row r="766" ht="15.75" customHeight="1" s="147"/>
    <row r="767" ht="15.75" customHeight="1" s="147"/>
    <row r="768" ht="15.75" customHeight="1" s="147"/>
    <row r="769" ht="15.75" customHeight="1" s="147"/>
    <row r="770" ht="15.75" customHeight="1" s="147"/>
    <row r="771" ht="15.75" customHeight="1" s="147"/>
    <row r="772" ht="15.75" customHeight="1" s="147"/>
    <row r="773" ht="15.75" customHeight="1" s="147"/>
    <row r="774" ht="15.75" customHeight="1" s="147"/>
    <row r="775" ht="15.75" customHeight="1" s="147"/>
    <row r="776" ht="15.75" customHeight="1" s="147"/>
    <row r="777" ht="15.75" customHeight="1" s="147"/>
    <row r="778" ht="15.75" customHeight="1" s="147"/>
    <row r="779" ht="15.75" customHeight="1" s="147"/>
    <row r="780" ht="15.75" customHeight="1" s="147"/>
    <row r="781" ht="15.75" customHeight="1" s="147"/>
    <row r="782" ht="15.75" customHeight="1" s="147"/>
    <row r="783" ht="15.75" customHeight="1" s="147"/>
    <row r="784" ht="15.75" customHeight="1" s="147"/>
    <row r="785" ht="15.75" customHeight="1" s="147"/>
    <row r="786" ht="15.75" customHeight="1" s="147"/>
    <row r="787" ht="15.75" customHeight="1" s="147"/>
    <row r="788" ht="15.75" customHeight="1" s="147"/>
    <row r="789" ht="15.75" customHeight="1" s="147"/>
    <row r="790" ht="15.75" customHeight="1" s="147"/>
    <row r="791" ht="15.75" customHeight="1" s="147"/>
    <row r="792" ht="15.75" customHeight="1" s="147"/>
    <row r="793" ht="15.75" customHeight="1" s="147"/>
    <row r="794" ht="15.75" customHeight="1" s="147"/>
    <row r="795" ht="15.75" customHeight="1" s="147"/>
    <row r="796" ht="15.75" customHeight="1" s="147"/>
    <row r="797" ht="15.75" customHeight="1" s="147"/>
    <row r="798" ht="15.75" customHeight="1" s="147"/>
    <row r="799" ht="15.75" customHeight="1" s="147"/>
    <row r="800" ht="15.75" customHeight="1" s="147"/>
    <row r="801" ht="15.75" customHeight="1" s="147"/>
    <row r="802" ht="15.75" customHeight="1" s="147"/>
    <row r="803" ht="15.75" customHeight="1" s="147"/>
    <row r="804" ht="15.75" customHeight="1" s="147"/>
    <row r="805" ht="15.75" customHeight="1" s="147"/>
    <row r="806" ht="15.75" customHeight="1" s="147"/>
    <row r="807" ht="15.75" customHeight="1" s="147"/>
    <row r="808" ht="15.75" customHeight="1" s="147"/>
    <row r="809" ht="15.75" customHeight="1" s="147"/>
    <row r="810" ht="15.75" customHeight="1" s="147"/>
    <row r="811" ht="15.75" customHeight="1" s="147"/>
    <row r="812" ht="15.75" customHeight="1" s="147"/>
    <row r="813" ht="15.75" customHeight="1" s="147"/>
    <row r="814" ht="15.75" customHeight="1" s="147"/>
    <row r="815" ht="15.75" customHeight="1" s="147"/>
    <row r="816" ht="15.75" customHeight="1" s="147"/>
    <row r="817" ht="15.75" customHeight="1" s="147"/>
    <row r="818" ht="15.75" customHeight="1" s="147"/>
    <row r="819" ht="15.75" customHeight="1" s="147"/>
    <row r="820" ht="15.75" customHeight="1" s="147"/>
    <row r="821" ht="15.75" customHeight="1" s="147"/>
    <row r="822" ht="15.75" customHeight="1" s="147"/>
    <row r="823" ht="15.75" customHeight="1" s="147"/>
    <row r="824" ht="15.75" customHeight="1" s="147"/>
    <row r="825" ht="15.75" customHeight="1" s="147"/>
    <row r="826" ht="15.75" customHeight="1" s="147"/>
    <row r="827" ht="15.75" customHeight="1" s="147"/>
    <row r="828" ht="15.75" customHeight="1" s="147"/>
    <row r="829" ht="15.75" customHeight="1" s="147"/>
    <row r="830" ht="15.75" customHeight="1" s="147"/>
    <row r="831" ht="15.75" customHeight="1" s="147"/>
    <row r="832" ht="15.75" customHeight="1" s="147"/>
    <row r="833" ht="15.75" customHeight="1" s="147"/>
    <row r="834" ht="15.75" customHeight="1" s="147"/>
    <row r="835" ht="15.75" customHeight="1" s="147"/>
    <row r="836" ht="15.75" customHeight="1" s="147"/>
    <row r="837" ht="15.75" customHeight="1" s="147"/>
    <row r="838" ht="15.75" customHeight="1" s="147"/>
    <row r="839" ht="15.75" customHeight="1" s="147"/>
    <row r="840" ht="15.75" customHeight="1" s="147"/>
    <row r="841" ht="15.75" customHeight="1" s="147"/>
    <row r="842" ht="15.75" customHeight="1" s="147"/>
    <row r="843" ht="15.75" customHeight="1" s="147"/>
    <row r="844" ht="15.75" customHeight="1" s="147"/>
    <row r="845" ht="15.75" customHeight="1" s="147"/>
    <row r="846" ht="15.75" customHeight="1" s="147"/>
    <row r="847" ht="15.75" customHeight="1" s="147"/>
    <row r="848" ht="15.75" customHeight="1" s="147"/>
    <row r="849" ht="15.75" customHeight="1" s="147"/>
    <row r="850" ht="15.75" customHeight="1" s="147"/>
    <row r="851" ht="15.75" customHeight="1" s="147"/>
    <row r="852" ht="15.75" customHeight="1" s="147"/>
    <row r="853" ht="15.75" customHeight="1" s="147"/>
    <row r="854" ht="15.75" customHeight="1" s="147"/>
    <row r="855" ht="15.75" customHeight="1" s="147"/>
    <row r="856" ht="15.75" customHeight="1" s="147"/>
    <row r="857" ht="15.75" customHeight="1" s="147"/>
    <row r="858" ht="15.75" customHeight="1" s="147"/>
    <row r="859" ht="15.75" customHeight="1" s="147"/>
    <row r="860" ht="15.75" customHeight="1" s="147"/>
    <row r="861" ht="15.75" customHeight="1" s="147"/>
    <row r="862" ht="15.75" customHeight="1" s="147"/>
    <row r="863" ht="15.75" customHeight="1" s="147"/>
    <row r="864" ht="15.75" customHeight="1" s="147"/>
    <row r="865" ht="15.75" customHeight="1" s="147"/>
    <row r="866" ht="15.75" customHeight="1" s="147"/>
    <row r="867" ht="15.75" customHeight="1" s="147"/>
    <row r="868" ht="15.75" customHeight="1" s="147"/>
    <row r="869" ht="15.75" customHeight="1" s="147"/>
    <row r="870" ht="15.75" customHeight="1" s="147"/>
    <row r="871" ht="15.75" customHeight="1" s="147"/>
    <row r="872" ht="15.75" customHeight="1" s="147"/>
    <row r="873" ht="15.75" customHeight="1" s="147"/>
    <row r="874" ht="15.75" customHeight="1" s="147"/>
    <row r="875" ht="15.75" customHeight="1" s="147"/>
    <row r="876" ht="15.75" customHeight="1" s="147"/>
    <row r="877" ht="15.75" customHeight="1" s="147"/>
    <row r="878" ht="15.75" customHeight="1" s="147"/>
    <row r="879" ht="15.75" customHeight="1" s="147"/>
    <row r="880" ht="15.75" customHeight="1" s="147"/>
    <row r="881" ht="15.75" customHeight="1" s="147"/>
    <row r="882" ht="15.75" customHeight="1" s="147"/>
    <row r="883" ht="15.75" customHeight="1" s="147"/>
    <row r="884" ht="15.75" customHeight="1" s="147"/>
    <row r="885" ht="15.75" customHeight="1" s="147"/>
    <row r="886" ht="15.75" customHeight="1" s="147"/>
    <row r="887" ht="15.75" customHeight="1" s="147"/>
    <row r="888" ht="15.75" customHeight="1" s="147"/>
    <row r="889" ht="15.75" customHeight="1" s="147"/>
    <row r="890" ht="15.75" customHeight="1" s="147"/>
    <row r="891" ht="15.75" customHeight="1" s="147"/>
    <row r="892" ht="15.75" customHeight="1" s="147"/>
    <row r="893" ht="15.75" customHeight="1" s="147"/>
    <row r="894" ht="15.75" customHeight="1" s="147"/>
    <row r="895" ht="15.75" customHeight="1" s="147"/>
    <row r="896" ht="15.75" customHeight="1" s="147"/>
    <row r="897" ht="15.75" customHeight="1" s="147"/>
    <row r="898" ht="15.75" customHeight="1" s="147"/>
    <row r="899" ht="15.75" customHeight="1" s="147"/>
    <row r="900" ht="15.75" customHeight="1" s="147"/>
    <row r="901" ht="15.75" customHeight="1" s="147"/>
    <row r="902" ht="15.75" customHeight="1" s="147"/>
    <row r="903" ht="15.75" customHeight="1" s="147"/>
    <row r="904" ht="15.75" customHeight="1" s="147"/>
    <row r="905" ht="15.75" customHeight="1" s="147"/>
    <row r="906" ht="15.75" customHeight="1" s="147"/>
    <row r="907" ht="15.75" customHeight="1" s="147"/>
    <row r="908" ht="15.75" customHeight="1" s="147"/>
    <row r="909" ht="15.75" customHeight="1" s="147"/>
    <row r="910" ht="15.75" customHeight="1" s="147"/>
    <row r="911" ht="15.75" customHeight="1" s="147"/>
    <row r="912" ht="15.75" customHeight="1" s="147"/>
    <row r="913" ht="15.75" customHeight="1" s="147"/>
    <row r="914" ht="15.75" customHeight="1" s="147"/>
    <row r="915" ht="15.75" customHeight="1" s="147"/>
    <row r="916" ht="15.75" customHeight="1" s="147"/>
    <row r="917" ht="15.75" customHeight="1" s="147"/>
    <row r="918" ht="15.75" customHeight="1" s="147"/>
    <row r="919" ht="15.75" customHeight="1" s="147"/>
    <row r="920" ht="15.75" customHeight="1" s="147"/>
    <row r="921" ht="15.75" customHeight="1" s="147"/>
    <row r="922" ht="15.75" customHeight="1" s="147"/>
    <row r="923" ht="15.75" customHeight="1" s="147"/>
    <row r="924" ht="15.75" customHeight="1" s="147"/>
    <row r="925" ht="15.75" customHeight="1" s="147"/>
    <row r="926" ht="15.75" customHeight="1" s="147"/>
    <row r="927" ht="15.75" customHeight="1" s="147"/>
    <row r="928" ht="15.75" customHeight="1" s="147"/>
    <row r="929" ht="15.75" customHeight="1" s="147"/>
    <row r="930" ht="15.75" customHeight="1" s="147"/>
    <row r="931" ht="15.75" customHeight="1" s="147"/>
    <row r="932" ht="15.75" customHeight="1" s="147"/>
    <row r="933" ht="15.75" customHeight="1" s="147"/>
    <row r="934" ht="15.75" customHeight="1" s="147"/>
    <row r="935" ht="15.75" customHeight="1" s="147"/>
    <row r="936" ht="15.75" customHeight="1" s="147"/>
    <row r="937" ht="15.75" customHeight="1" s="147"/>
    <row r="938" ht="15.75" customHeight="1" s="147"/>
    <row r="939" ht="15.75" customHeight="1" s="147"/>
    <row r="940" ht="15.75" customHeight="1" s="147"/>
    <row r="941" ht="15.75" customHeight="1" s="147"/>
    <row r="942" ht="15.75" customHeight="1" s="147"/>
    <row r="943" ht="15.75" customHeight="1" s="147"/>
    <row r="944" ht="15.75" customHeight="1" s="147"/>
    <row r="945" ht="15.75" customHeight="1" s="147"/>
    <row r="946" ht="15.75" customHeight="1" s="147"/>
    <row r="947" ht="15.75" customHeight="1" s="147"/>
    <row r="948" ht="15.75" customHeight="1" s="147"/>
    <row r="949" ht="15.75" customHeight="1" s="147"/>
    <row r="950" ht="15.75" customHeight="1" s="147"/>
    <row r="951" ht="15.75" customHeight="1" s="147"/>
    <row r="952" ht="15.75" customHeight="1" s="147"/>
    <row r="953" ht="15.75" customHeight="1" s="147"/>
    <row r="954" ht="15.75" customHeight="1" s="147"/>
    <row r="955" ht="15.75" customHeight="1" s="147"/>
    <row r="956" ht="15.75" customHeight="1" s="147"/>
    <row r="957" ht="15.75" customHeight="1" s="147"/>
    <row r="958" ht="15.75" customHeight="1" s="147"/>
    <row r="959" ht="15.75" customHeight="1" s="147"/>
    <row r="960" ht="15.75" customHeight="1" s="147"/>
    <row r="961" ht="15.75" customHeight="1" s="147"/>
    <row r="962" ht="15.75" customHeight="1" s="147"/>
    <row r="963" ht="15.75" customHeight="1" s="147"/>
    <row r="964" ht="15.75" customHeight="1" s="147"/>
    <row r="965" ht="15.75" customHeight="1" s="147"/>
    <row r="966" ht="15.75" customHeight="1" s="147"/>
    <row r="967" ht="15.75" customHeight="1" s="147"/>
    <row r="968" ht="15.75" customHeight="1" s="147"/>
    <row r="969" ht="15.75" customHeight="1" s="147"/>
    <row r="970" ht="15.75" customHeight="1" s="147"/>
    <row r="971" ht="15.75" customHeight="1" s="147"/>
    <row r="972" ht="15.75" customHeight="1" s="147"/>
    <row r="973" ht="15.75" customHeight="1" s="147"/>
    <row r="974" ht="15.75" customHeight="1" s="147"/>
    <row r="975" ht="15.75" customHeight="1" s="147"/>
    <row r="976" ht="15.75" customHeight="1" s="147"/>
    <row r="977" ht="15.75" customHeight="1" s="147"/>
    <row r="978" ht="15.75" customHeight="1" s="147"/>
    <row r="979" ht="15.75" customHeight="1" s="147"/>
    <row r="980" ht="15.75" customHeight="1" s="147"/>
    <row r="981" ht="15.75" customHeight="1" s="147"/>
    <row r="982" ht="15.75" customHeight="1" s="147"/>
    <row r="983" ht="15.75" customHeight="1" s="147"/>
    <row r="984" ht="15.75" customHeight="1" s="147"/>
    <row r="985" ht="15.75" customHeight="1" s="147"/>
    <row r="986" ht="15.75" customHeight="1" s="147"/>
    <row r="987" ht="15.75" customHeight="1" s="147"/>
    <row r="988" ht="15.75" customHeight="1" s="147"/>
    <row r="989" ht="15.75" customHeight="1" s="147"/>
    <row r="990" ht="15.75" customHeight="1" s="147"/>
    <row r="991" ht="15.75" customHeight="1" s="147"/>
    <row r="992" ht="15.75" customHeight="1" s="147"/>
    <row r="993" ht="15.75" customHeight="1" s="147"/>
    <row r="994" ht="15.75" customHeight="1" s="147"/>
    <row r="995" ht="15.75" customHeight="1" s="147"/>
    <row r="996" ht="15.75" customHeight="1" s="147"/>
    <row r="997" ht="15.75" customHeight="1" s="147"/>
    <row r="998" ht="15.75" customHeight="1" s="147"/>
    <row r="999" ht="15.75" customHeight="1" s="147"/>
    <row r="1000" ht="15.75" customHeight="1" s="147"/>
  </sheetData>
  <autoFilter ref="A4:V12">
    <filterColumn colId="21" hiddenButton="0" showButton="1">
      <filters>
        <filter val="1"/>
      </filters>
    </filterColumn>
  </autoFilter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B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E2" activeCellId="0" sqref="E2"/>
    </sheetView>
  </sheetViews>
  <sheetFormatPr baseColWidth="8" defaultColWidth="14.4296875" defaultRowHeight="15" zeroHeight="0" outlineLevelRow="0"/>
  <cols>
    <col width="12" customWidth="1" style="146" min="1" max="1"/>
    <col width="26" customWidth="1" style="146" min="2" max="3"/>
    <col width="18" customWidth="1" style="146" min="4" max="4"/>
    <col width="8.57" customWidth="1" style="146" min="5" max="10"/>
    <col width="24" customWidth="1" style="146" min="11" max="11"/>
    <col width="8.57" customWidth="1" style="146" min="12" max="24"/>
    <col width="26" customWidth="1" style="146" min="25" max="25"/>
    <col width="8.57" customWidth="1" style="146" min="26" max="55"/>
  </cols>
  <sheetData>
    <row r="1" ht="42" customHeight="1" s="147">
      <c r="A1" s="236" t="inlineStr">
        <is>
          <t>Contract ID</t>
        </is>
      </c>
      <c r="B1" s="236" t="inlineStr">
        <is>
          <t>DBA</t>
        </is>
      </c>
      <c r="C1" s="236" t="inlineStr">
        <is>
          <t>Legal name</t>
        </is>
      </c>
      <c r="D1" s="236" t="inlineStr">
        <is>
          <t>Status</t>
        </is>
      </c>
      <c r="E1" s="236" t="inlineStr">
        <is>
          <t>Start date</t>
        </is>
      </c>
      <c r="F1" s="236" t="inlineStr">
        <is>
          <t>Last active</t>
        </is>
      </c>
      <c r="G1" s="236" t="inlineStr">
        <is>
          <t>Position</t>
        </is>
      </c>
      <c r="H1" s="236" t="inlineStr">
        <is>
          <t>SIC</t>
        </is>
      </c>
      <c r="I1" s="236" t="inlineStr">
        <is>
          <t>SIC2</t>
        </is>
      </c>
      <c r="J1" s="236" t="inlineStr">
        <is>
          <t>State</t>
        </is>
      </c>
      <c r="K1" s="236" t="inlineStr">
        <is>
          <t>ISO</t>
        </is>
      </c>
      <c r="L1" s="236" t="inlineStr">
        <is>
          <t>New or renewal</t>
        </is>
      </c>
      <c r="M1" s="236" t="inlineStr">
        <is>
          <t>Factor</t>
        </is>
      </c>
      <c r="N1" s="236" t="inlineStr">
        <is>
          <t>Advance</t>
        </is>
      </c>
      <c r="O1" s="236" t="inlineStr">
        <is>
          <t>Commission</t>
        </is>
      </c>
      <c r="P1" s="236" t="inlineStr">
        <is>
          <t>Payback</t>
        </is>
      </c>
      <c r="Q1" s="236" t="inlineStr">
        <is>
          <t>Collected</t>
        </is>
      </c>
      <c r="R1" s="236" t="inlineStr">
        <is>
          <t>Balance</t>
        </is>
      </c>
      <c r="S1" s="236" t="inlineStr">
        <is>
          <t>% paid</t>
        </is>
      </c>
      <c r="T1" s="236" t="inlineStr">
        <is>
          <t>Exp dur (raw)</t>
        </is>
      </c>
      <c r="U1" s="236" t="inlineStr">
        <is>
          <t>NSF count</t>
        </is>
      </c>
      <c r="V1" s="236" t="inlineStr">
        <is>
          <t>Avg rev/mo</t>
        </is>
      </c>
      <c r="W1" s="236" t="inlineStr">
        <is>
          <t>Holdback %</t>
        </is>
      </c>
      <c r="X1" s="236" t="inlineStr">
        <is>
          <t>Biz start</t>
        </is>
      </c>
      <c r="Y1" s="269" t="inlineStr">
        <is>
          <t>Industry</t>
        </is>
      </c>
      <c r="Z1" s="269" t="inlineStr">
        <is>
          <t>Pay frequency</t>
        </is>
      </c>
      <c r="AA1" s="269" t="inlineStr">
        <is>
          <t>Term (bus. days)</t>
        </is>
      </c>
      <c r="AB1" s="269" t="inlineStr">
        <is>
          <t>Age at as-of (bus. days)</t>
        </is>
      </c>
      <c r="AC1" s="269" t="inlineStr">
        <is>
          <t>Seasoned</t>
        </is>
      </c>
      <c r="AD1" s="269" t="inlineStr">
        <is>
          <t>In window</t>
        </is>
      </c>
      <c r="AE1" s="269" t="inlineStr">
        <is>
          <t>Default</t>
        </is>
      </c>
      <c r="AF1" s="269" t="inlineStr">
        <is>
          <t>Resolved</t>
        </is>
      </c>
      <c r="AG1" s="269" t="inlineStr">
        <is>
          <t>Closed family</t>
        </is>
      </c>
      <c r="AH1" s="269" t="inlineStr">
        <is>
          <t>Open</t>
        </is>
      </c>
      <c r="AI1" s="269" t="inlineStr">
        <is>
          <t>Status valid</t>
        </is>
      </c>
      <c r="AJ1" s="269" t="inlineStr">
        <is>
          <t>Net cash</t>
        </is>
      </c>
      <c r="AK1" s="269" t="inlineStr">
        <is>
          <t>Principal lost</t>
        </is>
      </c>
      <c r="AL1" s="269" t="inlineStr">
        <is>
          <t>Adv / revenue</t>
        </is>
      </c>
      <c r="AM1" s="269" t="inlineStr">
        <is>
          <t>Has revenue</t>
        </is>
      </c>
      <c r="AN1" s="269" t="inlineStr">
        <is>
          <t>Days on book (bus.)</t>
        </is>
      </c>
      <c r="AO1" s="269" t="inlineStr">
        <is>
          <t>Renewal</t>
        </is>
      </c>
      <c r="AP1" s="269" t="inlineStr">
        <is>
          <t>Eligible (seasoned &amp; in window)</t>
        </is>
      </c>
      <c r="AQ1" s="269" t="inlineStr">
        <is>
          <t>m: position</t>
        </is>
      </c>
      <c r="AR1" s="269" t="inlineStr">
        <is>
          <t>m: new/renewal</t>
        </is>
      </c>
      <c r="AS1" s="269" t="inlineStr">
        <is>
          <t>m: industry</t>
        </is>
      </c>
      <c r="AT1" s="269" t="inlineStr">
        <is>
          <t>m: ISO</t>
        </is>
      </c>
      <c r="AU1" s="269" t="inlineStr">
        <is>
          <t>NR+Ind+Pos</t>
        </is>
      </c>
      <c r="AV1" s="269" t="inlineStr">
        <is>
          <t>NR+ISO+Pos</t>
        </is>
      </c>
      <c r="AW1" s="269" t="inlineStr">
        <is>
          <t>NR+Ind</t>
        </is>
      </c>
      <c r="AX1" s="269" t="inlineStr">
        <is>
          <t>NR+ISO</t>
        </is>
      </c>
      <c r="AY1" s="269" t="inlineStr">
        <is>
          <t>NR+Pos</t>
        </is>
      </c>
      <c r="AZ1" s="269" t="inlineStr">
        <is>
          <t>NR only</t>
        </is>
      </c>
      <c r="BA1" s="269" t="inlineStr">
        <is>
          <t>Book</t>
        </is>
      </c>
      <c r="BB1" s="269" t="inlineStr">
        <is>
          <t>Best tier</t>
        </is>
      </c>
      <c r="BC1" s="269" t="inlineStr">
        <is>
          <t>In primary cohort</t>
        </is>
      </c>
    </row>
    <row r="2" ht="15" customHeight="1" s="147">
      <c r="A2" s="146" t="inlineStr">
        <is>
          <t>A-001</t>
        </is>
      </c>
      <c r="B2" s="146" t="inlineStr">
        <is>
          <t>Ridgeline Cafe</t>
        </is>
      </c>
      <c r="C2" s="146" t="inlineStr">
        <is>
          <t>Ridgeline Cafe LLC</t>
        </is>
      </c>
      <c r="D2" s="146" t="inlineStr">
        <is>
          <t>Closed</t>
        </is>
      </c>
      <c r="E2" s="265" t="n">
        <v>45672</v>
      </c>
      <c r="F2" s="265" t="n">
        <v>45821</v>
      </c>
      <c r="G2" s="146" t="n">
        <v>1</v>
      </c>
      <c r="H2" s="146" t="inlineStr">
        <is>
          <t>5812</t>
        </is>
      </c>
      <c r="I2" s="146" t="inlineStr">
        <is>
          <t>58</t>
        </is>
      </c>
      <c r="J2" s="146" t="inlineStr">
        <is>
          <t>NJ</t>
        </is>
      </c>
      <c r="K2" s="146" t="inlineStr">
        <is>
          <t>Fundwell</t>
        </is>
      </c>
      <c r="L2" s="146" t="inlineStr">
        <is>
          <t>New Deal</t>
        </is>
      </c>
      <c r="M2" s="146" t="n">
        <v>1.5</v>
      </c>
      <c r="N2" s="267" t="n">
        <v>10000</v>
      </c>
      <c r="O2" s="267" t="n">
        <v>1000</v>
      </c>
      <c r="P2" s="267" t="n">
        <v>15000</v>
      </c>
      <c r="Q2" s="267" t="n">
        <v>15000</v>
      </c>
      <c r="R2" s="267" t="n">
        <v>0</v>
      </c>
      <c r="S2" s="270" t="n">
        <v>1</v>
      </c>
      <c r="T2" s="146" t="n">
        <v>5</v>
      </c>
      <c r="U2" s="146" t="n">
        <v>0</v>
      </c>
      <c r="V2" s="146" t="n">
        <v>50000</v>
      </c>
      <c r="W2" s="270" t="n">
        <v>0.12</v>
      </c>
      <c r="X2" s="265" t="n">
        <v>43160</v>
      </c>
      <c r="Y2" s="146">
        <f>IF(I2="","No SIC",IFERROR(VLOOKUP(I2,Ref!$A$2:$B$65,2,FALSE()),"Unclassified"))</f>
        <v/>
      </c>
      <c r="Z2" s="146">
        <f>IF(T2="","",IF(T2&lt;12,"Daily","Weekly"))</f>
        <v/>
      </c>
      <c r="AA2" s="146">
        <f>IF(T2="",0,IF(T2&lt;12,T2*Controls!$B$13,T2*5))</f>
        <v/>
      </c>
      <c r="AB2" s="146">
        <f>IF(E2="",0,NETWORKDAYS(E2,Controls!$B$20,Ref!$K$2:$K$42))</f>
        <v/>
      </c>
      <c r="AC2" s="146">
        <f>IF(AND(AA2&gt;0,AB2&gt;=Controls!$B$23*AA2),1,0)</f>
        <v/>
      </c>
      <c r="AD2" s="146">
        <f>IF(AND(E2&lt;&gt;"",E2&gt;=Controls!$B$21,E2&lt;=Controls!$B$22),1,0)</f>
        <v/>
      </c>
      <c r="AE2" s="146">
        <f>IF(IFERROR(VLOOKUP(D2,Controls!$A$36:$E$46,2,FALSE()),"No")="Yes",1,0)</f>
        <v/>
      </c>
      <c r="AF2" s="146">
        <f>IF(IFERROR(VLOOKUP(D2,Controls!$A$36:$E$46,3,FALSE()),"No")="Yes",1,0)</f>
        <v/>
      </c>
      <c r="AG2" s="146">
        <f>IF(IFERROR(VLOOKUP(D2,Controls!$A$36:$E$46,4,FALSE()),"No")="Yes",1,0)</f>
        <v/>
      </c>
      <c r="AH2" s="146">
        <f>IF(IFERROR(VLOOKUP(D2,Controls!$A$36:$E$46,5,FALSE()),"No")="Yes",1,0)</f>
        <v/>
      </c>
      <c r="AI2" s="146">
        <f>IF(ISNUMBER(MATCH(D2,Controls!$A$36:$A$46,0)),1,0)</f>
        <v/>
      </c>
      <c r="AJ2" s="267">
        <f>Q2-N2</f>
        <v/>
      </c>
      <c r="AK2" s="146">
        <f>IF(AE2=1,MAX(0,N2-Q2),0)</f>
        <v/>
      </c>
      <c r="AL2" s="146">
        <f>IF(OR(V2="",V2=0),0,N2/V2)</f>
        <v/>
      </c>
      <c r="AM2" s="146">
        <f>IF(OR(V2="",V2=0),0,1)</f>
        <v/>
      </c>
      <c r="AN2" s="146">
        <f>IF(OR(E2="",F2=""),0,NETWORKDAYS(E2,F2,Ref!$K$2:$K$42))</f>
        <v/>
      </c>
      <c r="AO2" s="146">
        <f>IF(L2="Renewal",1,0)</f>
        <v/>
      </c>
      <c r="AP2" s="146">
        <f>AC2*AD2</f>
        <v/>
      </c>
      <c r="AQ2" s="146">
        <f>IF(AND(G2&lt;&gt;"",'Historical Score'!$C$6&lt;&gt;""),IF(G2='Historical Score'!$C$6,1,0),0)</f>
        <v/>
      </c>
      <c r="AR2" s="146">
        <f>IF(AND(L2&lt;&gt;"",'Historical Score'!$C$5&lt;&gt;""),IF(L2='Historical Score'!$C$5,1,0),0)</f>
        <v/>
      </c>
      <c r="AS2" s="146">
        <f>IF(AND(Y2&lt;&gt;"",'Historical Score'!$C$7&lt;&gt;""),IF(Y2='Historical Score'!$C$7,1,0),0)</f>
        <v/>
      </c>
      <c r="AT2" s="146">
        <f>IF(AND(K2&lt;&gt;"",'Historical Score'!$C$8&lt;&gt;""),IF(K2='Historical Score'!$C$8,1,0),0)</f>
        <v/>
      </c>
      <c r="AU2" s="146">
        <f>AR2*AS2*AQ2</f>
        <v/>
      </c>
      <c r="AV2" s="146">
        <f>AR2*AT2*AQ2</f>
        <v/>
      </c>
      <c r="AW2" s="146">
        <f>AR2*AS2</f>
        <v/>
      </c>
      <c r="AX2" s="146">
        <f>AR2*AT2</f>
        <v/>
      </c>
      <c r="AY2" s="146">
        <f>AR2*AQ2</f>
        <v/>
      </c>
      <c r="AZ2" s="146">
        <f>AR2</f>
        <v/>
      </c>
      <c r="BA2" s="146">
        <f>1</f>
        <v/>
      </c>
      <c r="BB2" s="146">
        <f>IF(AU2=1,1,IF(AV2=1,2,IF(AW2=1,3,IF(AX2=1,4,IF(AY2=1,5,IF(AZ2=1,6,7))))))</f>
        <v/>
      </c>
      <c r="BC2" s="146">
        <f>IF(AD2=1,CHOOSE('Historical Score'!$D$29,AU2,AV2,AW2,AX2,AY2,AZ2,BA2),0)</f>
        <v/>
      </c>
    </row>
    <row r="3" ht="15" customHeight="1" s="147">
      <c r="A3" s="146" t="inlineStr">
        <is>
          <t>A-002</t>
        </is>
      </c>
      <c r="B3" s="146" t="inlineStr">
        <is>
          <t>Delta Freight</t>
        </is>
      </c>
      <c r="C3" s="146" t="inlineStr">
        <is>
          <t>Delta Freight Group LLC</t>
        </is>
      </c>
      <c r="D3" s="146" t="inlineStr">
        <is>
          <t>Closed</t>
        </is>
      </c>
      <c r="E3" s="265" t="n">
        <v>45698</v>
      </c>
      <c r="F3" s="265" t="n">
        <v>45848</v>
      </c>
      <c r="G3" s="146" t="n">
        <v>2</v>
      </c>
      <c r="H3" s="146" t="inlineStr">
        <is>
          <t>4213</t>
        </is>
      </c>
      <c r="I3" s="146" t="inlineStr">
        <is>
          <t>42</t>
        </is>
      </c>
      <c r="J3" s="146" t="inlineStr">
        <is>
          <t>TX</t>
        </is>
      </c>
      <c r="K3" s="146" t="inlineStr">
        <is>
          <t>Westwood</t>
        </is>
      </c>
      <c r="L3" s="146" t="inlineStr">
        <is>
          <t>Renewal</t>
        </is>
      </c>
      <c r="M3" s="146" t="n">
        <v>1.5</v>
      </c>
      <c r="N3" s="267" t="n">
        <v>20000</v>
      </c>
      <c r="O3" s="267" t="n">
        <v>2000</v>
      </c>
      <c r="P3" s="267" t="n">
        <v>30000</v>
      </c>
      <c r="Q3" s="267" t="n">
        <v>30000</v>
      </c>
      <c r="R3" s="267" t="n">
        <v>0</v>
      </c>
      <c r="S3" s="270" t="n">
        <v>1</v>
      </c>
      <c r="T3" s="146" t="n">
        <v>20</v>
      </c>
      <c r="U3" s="146" t="n">
        <v>0</v>
      </c>
      <c r="V3" s="146" t="n">
        <v>100000</v>
      </c>
      <c r="W3" s="270" t="n">
        <v>0.09</v>
      </c>
      <c r="X3" s="265" t="n">
        <v>42170</v>
      </c>
      <c r="Y3" s="146">
        <f>IF(I3="","No SIC",IFERROR(VLOOKUP(I3,Ref!$A$2:$B$65,2,FALSE()),"Unclassified"))</f>
        <v/>
      </c>
      <c r="Z3" s="146">
        <f>IF(T3="","",IF(T3&lt;12,"Daily","Weekly"))</f>
        <v/>
      </c>
      <c r="AA3" s="146">
        <f>IF(T3="",0,IF(T3&lt;12,T3*Controls!$B$13,T3*5))</f>
        <v/>
      </c>
      <c r="AB3" s="146">
        <f>IF(E3="",0,NETWORKDAYS(E3,Controls!$B$20,Ref!$K$2:$K$42))</f>
        <v/>
      </c>
      <c r="AC3" s="146">
        <f>IF(AND(AA3&gt;0,AB3&gt;=Controls!$B$23*AA3),1,0)</f>
        <v/>
      </c>
      <c r="AD3" s="146">
        <f>IF(AND(E3&lt;&gt;"",E3&gt;=Controls!$B$21,E3&lt;=Controls!$B$22),1,0)</f>
        <v/>
      </c>
      <c r="AE3" s="146">
        <f>IF(IFERROR(VLOOKUP(D3,Controls!$A$36:$E$46,2,FALSE()),"No")="Yes",1,0)</f>
        <v/>
      </c>
      <c r="AF3" s="146">
        <f>IF(IFERROR(VLOOKUP(D3,Controls!$A$36:$E$46,3,FALSE()),"No")="Yes",1,0)</f>
        <v/>
      </c>
      <c r="AG3" s="146">
        <f>IF(IFERROR(VLOOKUP(D3,Controls!$A$36:$E$46,4,FALSE()),"No")="Yes",1,0)</f>
        <v/>
      </c>
      <c r="AH3" s="146">
        <f>IF(IFERROR(VLOOKUP(D3,Controls!$A$36:$E$46,5,FALSE()),"No")="Yes",1,0)</f>
        <v/>
      </c>
      <c r="AI3" s="146">
        <f>IF(ISNUMBER(MATCH(D3,Controls!$A$36:$A$46,0)),1,0)</f>
        <v/>
      </c>
      <c r="AJ3" s="267">
        <f>Q3-N3</f>
        <v/>
      </c>
      <c r="AK3" s="146">
        <f>IF(AE3=1,MAX(0,N3-Q3),0)</f>
        <v/>
      </c>
      <c r="AL3" s="146">
        <f>IF(OR(V3="",V3=0),0,N3/V3)</f>
        <v/>
      </c>
      <c r="AM3" s="146">
        <f>IF(OR(V3="",V3=0),0,1)</f>
        <v/>
      </c>
      <c r="AN3" s="146">
        <f>IF(OR(E3="",F3=""),0,NETWORKDAYS(E3,F3,Ref!$K$2:$K$42))</f>
        <v/>
      </c>
      <c r="AO3" s="146">
        <f>IF(L3="Renewal",1,0)</f>
        <v/>
      </c>
      <c r="AP3" s="146">
        <f>AC3*AD3</f>
        <v/>
      </c>
      <c r="AQ3" s="146">
        <f>IF(AND(G3&lt;&gt;"",'Historical Score'!$C$6&lt;&gt;""),IF(G3='Historical Score'!$C$6,1,0),0)</f>
        <v/>
      </c>
      <c r="AR3" s="146">
        <f>IF(AND(L3&lt;&gt;"",'Historical Score'!$C$5&lt;&gt;""),IF(L3='Historical Score'!$C$5,1,0),0)</f>
        <v/>
      </c>
      <c r="AS3" s="146">
        <f>IF(AND(Y3&lt;&gt;"",'Historical Score'!$C$7&lt;&gt;""),IF(Y3='Historical Score'!$C$7,1,0),0)</f>
        <v/>
      </c>
      <c r="AT3" s="146">
        <f>IF(AND(K3&lt;&gt;"",'Historical Score'!$C$8&lt;&gt;""),IF(K3='Historical Score'!$C$8,1,0),0)</f>
        <v/>
      </c>
      <c r="AU3" s="146">
        <f>AR3*AS3*AQ3</f>
        <v/>
      </c>
      <c r="AV3" s="146">
        <f>AR3*AT3*AQ3</f>
        <v/>
      </c>
      <c r="AW3" s="146">
        <f>AR3*AS3</f>
        <v/>
      </c>
      <c r="AX3" s="146">
        <f>AR3*AT3</f>
        <v/>
      </c>
      <c r="AY3" s="146">
        <f>AR3*AQ3</f>
        <v/>
      </c>
      <c r="AZ3" s="146">
        <f>AR3</f>
        <v/>
      </c>
      <c r="BA3" s="146">
        <f>1</f>
        <v/>
      </c>
      <c r="BB3" s="146">
        <f>IF(AU3=1,1,IF(AV3=1,2,IF(AW3=1,3,IF(AX3=1,4,IF(AY3=1,5,IF(AZ3=1,6,7))))))</f>
        <v/>
      </c>
      <c r="BC3" s="146">
        <f>IF(AD3=1,CHOOSE('Historical Score'!$D$29,AU3,AV3,AW3,AX3,AY3,AZ3,BA3),0)</f>
        <v/>
      </c>
    </row>
    <row r="4" ht="15" customHeight="1" s="147">
      <c r="A4" s="146" t="inlineStr">
        <is>
          <t>A-003</t>
        </is>
      </c>
      <c r="B4" s="146" t="inlineStr">
        <is>
          <t>Kane Construction</t>
        </is>
      </c>
      <c r="C4" s="146" t="inlineStr">
        <is>
          <t>Kane Construction Inc</t>
        </is>
      </c>
      <c r="D4" s="146" t="inlineStr">
        <is>
          <t>Legal</t>
        </is>
      </c>
      <c r="E4" s="265" t="n">
        <v>45721</v>
      </c>
      <c r="F4" s="265" t="n">
        <v>45813</v>
      </c>
      <c r="G4" s="146" t="n">
        <v>3</v>
      </c>
      <c r="H4" s="146" t="inlineStr">
        <is>
          <t>1542</t>
        </is>
      </c>
      <c r="I4" s="146" t="inlineStr">
        <is>
          <t>15</t>
        </is>
      </c>
      <c r="J4" s="146" t="inlineStr">
        <is>
          <t>NJ</t>
        </is>
      </c>
      <c r="K4" s="146" t="inlineStr">
        <is>
          <t>Fundwell</t>
        </is>
      </c>
      <c r="L4" s="146" t="inlineStr">
        <is>
          <t>New Deal</t>
        </is>
      </c>
      <c r="M4" s="146" t="n">
        <v>1.5</v>
      </c>
      <c r="N4" s="267" t="n">
        <v>30000</v>
      </c>
      <c r="O4" s="267" t="n">
        <v>3000</v>
      </c>
      <c r="P4" s="267" t="n">
        <v>45000</v>
      </c>
      <c r="Q4" s="267" t="n">
        <v>9000</v>
      </c>
      <c r="R4" s="267" t="n">
        <v>36000</v>
      </c>
      <c r="S4" s="270" t="n">
        <v>0.2</v>
      </c>
      <c r="T4" s="146" t="n">
        <v>6</v>
      </c>
      <c r="U4" s="146" t="n">
        <v>4</v>
      </c>
      <c r="V4" s="146" t="n">
        <v>60000</v>
      </c>
      <c r="W4" s="270" t="n">
        <v>0.15</v>
      </c>
      <c r="X4" s="265" t="n">
        <v>43840</v>
      </c>
      <c r="Y4" s="146">
        <f>IF(I4="","No SIC",IFERROR(VLOOKUP(I4,Ref!$A$2:$B$65,2,FALSE()),"Unclassified"))</f>
        <v/>
      </c>
      <c r="Z4" s="146">
        <f>IF(T4="","",IF(T4&lt;12,"Daily","Weekly"))</f>
        <v/>
      </c>
      <c r="AA4" s="146">
        <f>IF(T4="",0,IF(T4&lt;12,T4*Controls!$B$13,T4*5))</f>
        <v/>
      </c>
      <c r="AB4" s="146">
        <f>IF(E4="",0,NETWORKDAYS(E4,Controls!$B$20,Ref!$K$2:$K$42))</f>
        <v/>
      </c>
      <c r="AC4" s="146">
        <f>IF(AND(AA4&gt;0,AB4&gt;=Controls!$B$23*AA4),1,0)</f>
        <v/>
      </c>
      <c r="AD4" s="146">
        <f>IF(AND(E4&lt;&gt;"",E4&gt;=Controls!$B$21,E4&lt;=Controls!$B$22),1,0)</f>
        <v/>
      </c>
      <c r="AE4" s="146">
        <f>IF(IFERROR(VLOOKUP(D4,Controls!$A$36:$E$46,2,FALSE()),"No")="Yes",1,0)</f>
        <v/>
      </c>
      <c r="AF4" s="146">
        <f>IF(IFERROR(VLOOKUP(D4,Controls!$A$36:$E$46,3,FALSE()),"No")="Yes",1,0)</f>
        <v/>
      </c>
      <c r="AG4" s="146">
        <f>IF(IFERROR(VLOOKUP(D4,Controls!$A$36:$E$46,4,FALSE()),"No")="Yes",1,0)</f>
        <v/>
      </c>
      <c r="AH4" s="146">
        <f>IF(IFERROR(VLOOKUP(D4,Controls!$A$36:$E$46,5,FALSE()),"No")="Yes",1,0)</f>
        <v/>
      </c>
      <c r="AI4" s="146">
        <f>IF(ISNUMBER(MATCH(D4,Controls!$A$36:$A$46,0)),1,0)</f>
        <v/>
      </c>
      <c r="AJ4" s="267">
        <f>Q4-N4</f>
        <v/>
      </c>
      <c r="AK4" s="146">
        <f>IF(AE4=1,MAX(0,N4-Q4),0)</f>
        <v/>
      </c>
      <c r="AL4" s="146">
        <f>IF(OR(V4="",V4=0),0,N4/V4)</f>
        <v/>
      </c>
      <c r="AM4" s="146">
        <f>IF(OR(V4="",V4=0),0,1)</f>
        <v/>
      </c>
      <c r="AN4" s="146">
        <f>IF(OR(E4="",F4=""),0,NETWORKDAYS(E4,F4,Ref!$K$2:$K$42))</f>
        <v/>
      </c>
      <c r="AO4" s="146">
        <f>IF(L4="Renewal",1,0)</f>
        <v/>
      </c>
      <c r="AP4" s="146">
        <f>AC4*AD4</f>
        <v/>
      </c>
      <c r="AQ4" s="146">
        <f>IF(AND(G4&lt;&gt;"",'Historical Score'!$C$6&lt;&gt;""),IF(G4='Historical Score'!$C$6,1,0),0)</f>
        <v/>
      </c>
      <c r="AR4" s="146">
        <f>IF(AND(L4&lt;&gt;"",'Historical Score'!$C$5&lt;&gt;""),IF(L4='Historical Score'!$C$5,1,0),0)</f>
        <v/>
      </c>
      <c r="AS4" s="146">
        <f>IF(AND(Y4&lt;&gt;"",'Historical Score'!$C$7&lt;&gt;""),IF(Y4='Historical Score'!$C$7,1,0),0)</f>
        <v/>
      </c>
      <c r="AT4" s="146">
        <f>IF(AND(K4&lt;&gt;"",'Historical Score'!$C$8&lt;&gt;""),IF(K4='Historical Score'!$C$8,1,0),0)</f>
        <v/>
      </c>
      <c r="AU4" s="146">
        <f>AR4*AS4*AQ4</f>
        <v/>
      </c>
      <c r="AV4" s="146">
        <f>AR4*AT4*AQ4</f>
        <v/>
      </c>
      <c r="AW4" s="146">
        <f>AR4*AS4</f>
        <v/>
      </c>
      <c r="AX4" s="146">
        <f>AR4*AT4</f>
        <v/>
      </c>
      <c r="AY4" s="146">
        <f>AR4*AQ4</f>
        <v/>
      </c>
      <c r="AZ4" s="146">
        <f>AR4</f>
        <v/>
      </c>
      <c r="BA4" s="146">
        <f>1</f>
        <v/>
      </c>
      <c r="BB4" s="146">
        <f>IF(AU4=1,1,IF(AV4=1,2,IF(AW4=1,3,IF(AX4=1,4,IF(AY4=1,5,IF(AZ4=1,6,7))))))</f>
        <v/>
      </c>
      <c r="BC4" s="146">
        <f>IF(AD4=1,CHOOSE('Historical Score'!$D$29,AU4,AV4,AW4,AX4,AY4,AZ4,BA4),0)</f>
        <v/>
      </c>
    </row>
    <row r="5" ht="15" customHeight="1" s="147">
      <c r="A5" s="146" t="inlineStr">
        <is>
          <t>A-004</t>
        </is>
      </c>
      <c r="B5" s="146" t="inlineStr">
        <is>
          <t>Baymont Auto Body</t>
        </is>
      </c>
      <c r="C5" s="146" t="inlineStr">
        <is>
          <t>Baymont Auto Body LLC</t>
        </is>
      </c>
      <c r="D5" s="146" t="inlineStr">
        <is>
          <t>In House Collection</t>
        </is>
      </c>
      <c r="E5" s="265" t="n">
        <v>45768</v>
      </c>
      <c r="F5" s="265" t="n">
        <v>45889</v>
      </c>
      <c r="G5" s="146" t="n">
        <v>3</v>
      </c>
      <c r="H5" s="146" t="inlineStr">
        <is>
          <t>7538</t>
        </is>
      </c>
      <c r="I5" s="146" t="inlineStr">
        <is>
          <t>75</t>
        </is>
      </c>
      <c r="J5" s="146" t="inlineStr">
        <is>
          <t>TX</t>
        </is>
      </c>
      <c r="K5" s="146" t="inlineStr">
        <is>
          <t>Westwood</t>
        </is>
      </c>
      <c r="L5" s="146" t="inlineStr">
        <is>
          <t>New Deal</t>
        </is>
      </c>
      <c r="M5" s="146" t="n">
        <v>1.5</v>
      </c>
      <c r="N5" s="267" t="n">
        <v>40000</v>
      </c>
      <c r="O5" s="267" t="n">
        <v>4000</v>
      </c>
      <c r="P5" s="267" t="n">
        <v>60000</v>
      </c>
      <c r="Q5" s="267" t="n">
        <v>20000</v>
      </c>
      <c r="R5" s="267" t="n">
        <v>40000</v>
      </c>
      <c r="S5" s="270" t="n">
        <v>0.333333333333333</v>
      </c>
      <c r="T5" s="146" t="n">
        <v>24</v>
      </c>
      <c r="U5" s="146" t="n">
        <v>7</v>
      </c>
      <c r="V5" s="146" t="n">
        <v>80000</v>
      </c>
      <c r="W5" s="270" t="n">
        <v>0.11</v>
      </c>
      <c r="X5" s="265" t="n">
        <v>41182</v>
      </c>
      <c r="Y5" s="146">
        <f>IF(I5="","No SIC",IFERROR(VLOOKUP(I5,Ref!$A$2:$B$65,2,FALSE()),"Unclassified"))</f>
        <v/>
      </c>
      <c r="Z5" s="146">
        <f>IF(T5="","",IF(T5&lt;12,"Daily","Weekly"))</f>
        <v/>
      </c>
      <c r="AA5" s="146">
        <f>IF(T5="",0,IF(T5&lt;12,T5*Controls!$B$13,T5*5))</f>
        <v/>
      </c>
      <c r="AB5" s="146">
        <f>IF(E5="",0,NETWORKDAYS(E5,Controls!$B$20,Ref!$K$2:$K$42))</f>
        <v/>
      </c>
      <c r="AC5" s="146">
        <f>IF(AND(AA5&gt;0,AB5&gt;=Controls!$B$23*AA5),1,0)</f>
        <v/>
      </c>
      <c r="AD5" s="146">
        <f>IF(AND(E5&lt;&gt;"",E5&gt;=Controls!$B$21,E5&lt;=Controls!$B$22),1,0)</f>
        <v/>
      </c>
      <c r="AE5" s="146">
        <f>IF(IFERROR(VLOOKUP(D5,Controls!$A$36:$E$46,2,FALSE()),"No")="Yes",1,0)</f>
        <v/>
      </c>
      <c r="AF5" s="146">
        <f>IF(IFERROR(VLOOKUP(D5,Controls!$A$36:$E$46,3,FALSE()),"No")="Yes",1,0)</f>
        <v/>
      </c>
      <c r="AG5" s="146">
        <f>IF(IFERROR(VLOOKUP(D5,Controls!$A$36:$E$46,4,FALSE()),"No")="Yes",1,0)</f>
        <v/>
      </c>
      <c r="AH5" s="146">
        <f>IF(IFERROR(VLOOKUP(D5,Controls!$A$36:$E$46,5,FALSE()),"No")="Yes",1,0)</f>
        <v/>
      </c>
      <c r="AI5" s="146">
        <f>IF(ISNUMBER(MATCH(D5,Controls!$A$36:$A$46,0)),1,0)</f>
        <v/>
      </c>
      <c r="AJ5" s="267">
        <f>Q5-N5</f>
        <v/>
      </c>
      <c r="AK5" s="146">
        <f>IF(AE5=1,MAX(0,N5-Q5),0)</f>
        <v/>
      </c>
      <c r="AL5" s="146">
        <f>IF(OR(V5="",V5=0),0,N5/V5)</f>
        <v/>
      </c>
      <c r="AM5" s="146">
        <f>IF(OR(V5="",V5=0),0,1)</f>
        <v/>
      </c>
      <c r="AN5" s="146">
        <f>IF(OR(E5="",F5=""),0,NETWORKDAYS(E5,F5,Ref!$K$2:$K$42))</f>
        <v/>
      </c>
      <c r="AO5" s="146">
        <f>IF(L5="Renewal",1,0)</f>
        <v/>
      </c>
      <c r="AP5" s="146">
        <f>AC5*AD5</f>
        <v/>
      </c>
      <c r="AQ5" s="146">
        <f>IF(AND(G5&lt;&gt;"",'Historical Score'!$C$6&lt;&gt;""),IF(G5='Historical Score'!$C$6,1,0),0)</f>
        <v/>
      </c>
      <c r="AR5" s="146">
        <f>IF(AND(L5&lt;&gt;"",'Historical Score'!$C$5&lt;&gt;""),IF(L5='Historical Score'!$C$5,1,0),0)</f>
        <v/>
      </c>
      <c r="AS5" s="146">
        <f>IF(AND(Y5&lt;&gt;"",'Historical Score'!$C$7&lt;&gt;""),IF(Y5='Historical Score'!$C$7,1,0),0)</f>
        <v/>
      </c>
      <c r="AT5" s="146">
        <f>IF(AND(K5&lt;&gt;"",'Historical Score'!$C$8&lt;&gt;""),IF(K5='Historical Score'!$C$8,1,0),0)</f>
        <v/>
      </c>
      <c r="AU5" s="146">
        <f>AR5*AS5*AQ5</f>
        <v/>
      </c>
      <c r="AV5" s="146">
        <f>AR5*AT5*AQ5</f>
        <v/>
      </c>
      <c r="AW5" s="146">
        <f>AR5*AS5</f>
        <v/>
      </c>
      <c r="AX5" s="146">
        <f>AR5*AT5</f>
        <v/>
      </c>
      <c r="AY5" s="146">
        <f>AR5*AQ5</f>
        <v/>
      </c>
      <c r="AZ5" s="146">
        <f>AR5</f>
        <v/>
      </c>
      <c r="BA5" s="146">
        <f>1</f>
        <v/>
      </c>
      <c r="BB5" s="146">
        <f>IF(AU5=1,1,IF(AV5=1,2,IF(AW5=1,3,IF(AX5=1,4,IF(AY5=1,5,IF(AZ5=1,6,7))))))</f>
        <v/>
      </c>
      <c r="BC5" s="146">
        <f>IF(AD5=1,CHOOSE('Historical Score'!$D$29,AU5,AV5,AW5,AX5,AY5,AZ5,BA5),0)</f>
        <v/>
      </c>
    </row>
    <row r="6" ht="15" customHeight="1" s="147">
      <c r="A6" s="146" t="inlineStr">
        <is>
          <t>A-005</t>
        </is>
      </c>
      <c r="B6" s="146" t="inlineStr">
        <is>
          <t>Sunset Nails</t>
        </is>
      </c>
      <c r="C6" s="146" t="inlineStr">
        <is>
          <t>Sunset Nails Corp</t>
        </is>
      </c>
      <c r="D6" s="146" t="inlineStr">
        <is>
          <t>Written-Off</t>
        </is>
      </c>
      <c r="E6" s="265" t="n">
        <v>45789</v>
      </c>
      <c r="F6" s="265" t="n">
        <v>45973</v>
      </c>
      <c r="G6" s="146" t="n">
        <v>2</v>
      </c>
      <c r="H6" s="146" t="inlineStr">
        <is>
          <t>7231</t>
        </is>
      </c>
      <c r="I6" s="146" t="inlineStr">
        <is>
          <t>72</t>
        </is>
      </c>
      <c r="J6" s="146" t="inlineStr">
        <is>
          <t>NJ</t>
        </is>
      </c>
      <c r="K6" s="146" t="inlineStr">
        <is>
          <t>Fundwell</t>
        </is>
      </c>
      <c r="L6" s="146" t="inlineStr">
        <is>
          <t>Renewal</t>
        </is>
      </c>
      <c r="M6" s="146" t="n">
        <v>1.5</v>
      </c>
      <c r="N6" s="267" t="n">
        <v>10000</v>
      </c>
      <c r="O6" s="267" t="n">
        <v>1000</v>
      </c>
      <c r="P6" s="267" t="n">
        <v>15000</v>
      </c>
      <c r="Q6" s="267" t="n">
        <v>9500</v>
      </c>
      <c r="R6" s="267" t="n">
        <v>5500</v>
      </c>
      <c r="S6" s="270" t="n">
        <v>0.633333333333333</v>
      </c>
      <c r="T6" s="146" t="n">
        <v>4</v>
      </c>
      <c r="U6" s="146" t="n">
        <v>2</v>
      </c>
      <c r="V6" s="146" t="n">
        <v>20000</v>
      </c>
      <c r="W6" s="270" t="n">
        <v>0.14</v>
      </c>
      <c r="X6" s="265" t="n">
        <v>43774</v>
      </c>
      <c r="Y6" s="146">
        <f>IF(I6="","No SIC",IFERROR(VLOOKUP(I6,Ref!$A$2:$B$65,2,FALSE()),"Unclassified"))</f>
        <v/>
      </c>
      <c r="Z6" s="146">
        <f>IF(T6="","",IF(T6&lt;12,"Daily","Weekly"))</f>
        <v/>
      </c>
      <c r="AA6" s="146">
        <f>IF(T6="",0,IF(T6&lt;12,T6*Controls!$B$13,T6*5))</f>
        <v/>
      </c>
      <c r="AB6" s="146">
        <f>IF(E6="",0,NETWORKDAYS(E6,Controls!$B$20,Ref!$K$2:$K$42))</f>
        <v/>
      </c>
      <c r="AC6" s="146">
        <f>IF(AND(AA6&gt;0,AB6&gt;=Controls!$B$23*AA6),1,0)</f>
        <v/>
      </c>
      <c r="AD6" s="146">
        <f>IF(AND(E6&lt;&gt;"",E6&gt;=Controls!$B$21,E6&lt;=Controls!$B$22),1,0)</f>
        <v/>
      </c>
      <c r="AE6" s="146">
        <f>IF(IFERROR(VLOOKUP(D6,Controls!$A$36:$E$46,2,FALSE()),"No")="Yes",1,0)</f>
        <v/>
      </c>
      <c r="AF6" s="146">
        <f>IF(IFERROR(VLOOKUP(D6,Controls!$A$36:$E$46,3,FALSE()),"No")="Yes",1,0)</f>
        <v/>
      </c>
      <c r="AG6" s="146">
        <f>IF(IFERROR(VLOOKUP(D6,Controls!$A$36:$E$46,4,FALSE()),"No")="Yes",1,0)</f>
        <v/>
      </c>
      <c r="AH6" s="146">
        <f>IF(IFERROR(VLOOKUP(D6,Controls!$A$36:$E$46,5,FALSE()),"No")="Yes",1,0)</f>
        <v/>
      </c>
      <c r="AI6" s="146">
        <f>IF(ISNUMBER(MATCH(D6,Controls!$A$36:$A$46,0)),1,0)</f>
        <v/>
      </c>
      <c r="AJ6" s="267">
        <f>Q6-N6</f>
        <v/>
      </c>
      <c r="AK6" s="146">
        <f>IF(AE6=1,MAX(0,N6-Q6),0)</f>
        <v/>
      </c>
      <c r="AL6" s="146">
        <f>IF(OR(V6="",V6=0),0,N6/V6)</f>
        <v/>
      </c>
      <c r="AM6" s="146">
        <f>IF(OR(V6="",V6=0),0,1)</f>
        <v/>
      </c>
      <c r="AN6" s="146">
        <f>IF(OR(E6="",F6=""),0,NETWORKDAYS(E6,F6,Ref!$K$2:$K$42))</f>
        <v/>
      </c>
      <c r="AO6" s="146">
        <f>IF(L6="Renewal",1,0)</f>
        <v/>
      </c>
      <c r="AP6" s="146">
        <f>AC6*AD6</f>
        <v/>
      </c>
      <c r="AQ6" s="146">
        <f>IF(AND(G6&lt;&gt;"",'Historical Score'!$C$6&lt;&gt;""),IF(G6='Historical Score'!$C$6,1,0),0)</f>
        <v/>
      </c>
      <c r="AR6" s="146">
        <f>IF(AND(L6&lt;&gt;"",'Historical Score'!$C$5&lt;&gt;""),IF(L6='Historical Score'!$C$5,1,0),0)</f>
        <v/>
      </c>
      <c r="AS6" s="146">
        <f>IF(AND(Y6&lt;&gt;"",'Historical Score'!$C$7&lt;&gt;""),IF(Y6='Historical Score'!$C$7,1,0),0)</f>
        <v/>
      </c>
      <c r="AT6" s="146">
        <f>IF(AND(K6&lt;&gt;"",'Historical Score'!$C$8&lt;&gt;""),IF(K6='Historical Score'!$C$8,1,0),0)</f>
        <v/>
      </c>
      <c r="AU6" s="146">
        <f>AR6*AS6*AQ6</f>
        <v/>
      </c>
      <c r="AV6" s="146">
        <f>AR6*AT6*AQ6</f>
        <v/>
      </c>
      <c r="AW6" s="146">
        <f>AR6*AS6</f>
        <v/>
      </c>
      <c r="AX6" s="146">
        <f>AR6*AT6</f>
        <v/>
      </c>
      <c r="AY6" s="146">
        <f>AR6*AQ6</f>
        <v/>
      </c>
      <c r="AZ6" s="146">
        <f>AR6</f>
        <v/>
      </c>
      <c r="BA6" s="146">
        <f>1</f>
        <v/>
      </c>
      <c r="BB6" s="146">
        <f>IF(AU6=1,1,IF(AV6=1,2,IF(AW6=1,3,IF(AX6=1,4,IF(AY6=1,5,IF(AZ6=1,6,7))))))</f>
        <v/>
      </c>
      <c r="BC6" s="146">
        <f>IF(AD6=1,CHOOSE('Historical Score'!$D$29,AU6,AV6,AW6,AX6,AY6,AZ6,BA6),0)</f>
        <v/>
      </c>
    </row>
    <row r="7" ht="15" customHeight="1" s="147">
      <c r="A7" s="146" t="inlineStr">
        <is>
          <t>A-006</t>
        </is>
      </c>
      <c r="B7" s="146" t="inlineStr">
        <is>
          <t>Orchard Supply</t>
        </is>
      </c>
      <c r="C7" s="146" t="inlineStr">
        <is>
          <t>Orchard Supply Co LLC</t>
        </is>
      </c>
      <c r="D7" s="146" t="inlineStr">
        <is>
          <t>Bankruptcy</t>
        </is>
      </c>
      <c r="E7" s="265" t="n">
        <v>45826</v>
      </c>
      <c r="F7" s="265" t="n">
        <v>45918</v>
      </c>
      <c r="G7" s="146" t="n">
        <v>4</v>
      </c>
      <c r="J7" s="146" t="inlineStr">
        <is>
          <t>TX</t>
        </is>
      </c>
      <c r="K7" s="146" t="inlineStr">
        <is>
          <t>Westwood</t>
        </is>
      </c>
      <c r="L7" s="146" t="inlineStr">
        <is>
          <t>New Deal</t>
        </is>
      </c>
      <c r="M7" s="146" t="n">
        <v>1.5</v>
      </c>
      <c r="N7" s="267" t="n">
        <v>20000</v>
      </c>
      <c r="O7" s="267" t="n">
        <v>2000</v>
      </c>
      <c r="P7" s="267" t="n">
        <v>30000</v>
      </c>
      <c r="Q7" s="267" t="n">
        <v>0</v>
      </c>
      <c r="R7" s="267" t="n">
        <v>30000</v>
      </c>
      <c r="S7" s="270" t="n">
        <v>0</v>
      </c>
      <c r="T7" s="146" t="n">
        <v>16</v>
      </c>
      <c r="U7" s="146" t="n">
        <v>9</v>
      </c>
      <c r="V7" s="146" t="n">
        <v>100000</v>
      </c>
      <c r="W7" s="270" t="n">
        <v>0.1</v>
      </c>
      <c r="X7" s="265" t="n">
        <v>44305</v>
      </c>
      <c r="Y7" s="146">
        <f>IF(I7="","No SIC",IFERROR(VLOOKUP(I7,Ref!$A$2:$B$65,2,FALSE()),"Unclassified"))</f>
        <v/>
      </c>
      <c r="Z7" s="146">
        <f>IF(T7="","",IF(T7&lt;12,"Daily","Weekly"))</f>
        <v/>
      </c>
      <c r="AA7" s="146">
        <f>IF(T7="",0,IF(T7&lt;12,T7*Controls!$B$13,T7*5))</f>
        <v/>
      </c>
      <c r="AB7" s="146">
        <f>IF(E7="",0,NETWORKDAYS(E7,Controls!$B$20,Ref!$K$2:$K$42))</f>
        <v/>
      </c>
      <c r="AC7" s="146">
        <f>IF(AND(AA7&gt;0,AB7&gt;=Controls!$B$23*AA7),1,0)</f>
        <v/>
      </c>
      <c r="AD7" s="146">
        <f>IF(AND(E7&lt;&gt;"",E7&gt;=Controls!$B$21,E7&lt;=Controls!$B$22),1,0)</f>
        <v/>
      </c>
      <c r="AE7" s="146">
        <f>IF(IFERROR(VLOOKUP(D7,Controls!$A$36:$E$46,2,FALSE()),"No")="Yes",1,0)</f>
        <v/>
      </c>
      <c r="AF7" s="146">
        <f>IF(IFERROR(VLOOKUP(D7,Controls!$A$36:$E$46,3,FALSE()),"No")="Yes",1,0)</f>
        <v/>
      </c>
      <c r="AG7" s="146">
        <f>IF(IFERROR(VLOOKUP(D7,Controls!$A$36:$E$46,4,FALSE()),"No")="Yes",1,0)</f>
        <v/>
      </c>
      <c r="AH7" s="146">
        <f>IF(IFERROR(VLOOKUP(D7,Controls!$A$36:$E$46,5,FALSE()),"No")="Yes",1,0)</f>
        <v/>
      </c>
      <c r="AI7" s="146">
        <f>IF(ISNUMBER(MATCH(D7,Controls!$A$36:$A$46,0)),1,0)</f>
        <v/>
      </c>
      <c r="AJ7" s="267">
        <f>Q7-N7</f>
        <v/>
      </c>
      <c r="AK7" s="146">
        <f>IF(AE7=1,MAX(0,N7-Q7),0)</f>
        <v/>
      </c>
      <c r="AL7" s="146">
        <f>IF(OR(V7="",V7=0),0,N7/V7)</f>
        <v/>
      </c>
      <c r="AM7" s="146">
        <f>IF(OR(V7="",V7=0),0,1)</f>
        <v/>
      </c>
      <c r="AN7" s="146">
        <f>IF(OR(E7="",F7=""),0,NETWORKDAYS(E7,F7,Ref!$K$2:$K$42))</f>
        <v/>
      </c>
      <c r="AO7" s="146">
        <f>IF(L7="Renewal",1,0)</f>
        <v/>
      </c>
      <c r="AP7" s="146">
        <f>AC7*AD7</f>
        <v/>
      </c>
      <c r="AQ7" s="146">
        <f>IF(AND(G7&lt;&gt;"",'Historical Score'!$C$6&lt;&gt;""),IF(G7='Historical Score'!$C$6,1,0),0)</f>
        <v/>
      </c>
      <c r="AR7" s="146">
        <f>IF(AND(L7&lt;&gt;"",'Historical Score'!$C$5&lt;&gt;""),IF(L7='Historical Score'!$C$5,1,0),0)</f>
        <v/>
      </c>
      <c r="AS7" s="146">
        <f>IF(AND(Y7&lt;&gt;"",'Historical Score'!$C$7&lt;&gt;""),IF(Y7='Historical Score'!$C$7,1,0),0)</f>
        <v/>
      </c>
      <c r="AT7" s="146">
        <f>IF(AND(K7&lt;&gt;"",'Historical Score'!$C$8&lt;&gt;""),IF(K7='Historical Score'!$C$8,1,0),0)</f>
        <v/>
      </c>
      <c r="AU7" s="146">
        <f>AR7*AS7*AQ7</f>
        <v/>
      </c>
      <c r="AV7" s="146">
        <f>AR7*AT7*AQ7</f>
        <v/>
      </c>
      <c r="AW7" s="146">
        <f>AR7*AS7</f>
        <v/>
      </c>
      <c r="AX7" s="146">
        <f>AR7*AT7</f>
        <v/>
      </c>
      <c r="AY7" s="146">
        <f>AR7*AQ7</f>
        <v/>
      </c>
      <c r="AZ7" s="146">
        <f>AR7</f>
        <v/>
      </c>
      <c r="BA7" s="146">
        <f>1</f>
        <v/>
      </c>
      <c r="BB7" s="146">
        <f>IF(AU7=1,1,IF(AV7=1,2,IF(AW7=1,3,IF(AX7=1,4,IF(AY7=1,5,IF(AZ7=1,6,7))))))</f>
        <v/>
      </c>
      <c r="BC7" s="146">
        <f>IF(AD7=1,CHOOSE('Historical Score'!$D$29,AU7,AV7,AW7,AX7,AY7,AZ7,BA7),0)</f>
        <v/>
      </c>
    </row>
    <row r="8" ht="15" customHeight="1" s="147">
      <c r="A8" s="146" t="inlineStr">
        <is>
          <t>A-007</t>
        </is>
      </c>
      <c r="B8" s="146" t="inlineStr">
        <is>
          <t>Pinewood Dental</t>
        </is>
      </c>
      <c r="C8" s="146" t="inlineStr">
        <is>
          <t>Pinewood Dental PC</t>
        </is>
      </c>
      <c r="D8" s="146" t="inlineStr">
        <is>
          <t>Open</t>
        </is>
      </c>
      <c r="E8" s="265" t="n">
        <v>46030</v>
      </c>
      <c r="F8" s="265" t="n">
        <v>46237</v>
      </c>
      <c r="G8" s="146" t="n">
        <v>1</v>
      </c>
      <c r="H8" s="146" t="inlineStr">
        <is>
          <t>8021</t>
        </is>
      </c>
      <c r="I8" s="146" t="inlineStr">
        <is>
          <t>80</t>
        </is>
      </c>
      <c r="J8" s="146" t="inlineStr">
        <is>
          <t>NJ</t>
        </is>
      </c>
      <c r="K8" s="146" t="inlineStr">
        <is>
          <t>Fundwell</t>
        </is>
      </c>
      <c r="L8" s="146" t="inlineStr">
        <is>
          <t>New Deal</t>
        </is>
      </c>
      <c r="M8" s="146" t="n">
        <v>1.5</v>
      </c>
      <c r="N8" s="267" t="n">
        <v>50000</v>
      </c>
      <c r="O8" s="267" t="n">
        <v>5000</v>
      </c>
      <c r="P8" s="267" t="n">
        <v>75000</v>
      </c>
      <c r="Q8" s="267" t="n">
        <v>30000</v>
      </c>
      <c r="R8" s="267" t="n">
        <v>45000</v>
      </c>
      <c r="S8" s="270" t="n">
        <v>0.4</v>
      </c>
      <c r="T8" s="146" t="n">
        <v>6</v>
      </c>
      <c r="U8" s="146" t="n">
        <v>0</v>
      </c>
      <c r="V8" s="146" t="n">
        <v>250000</v>
      </c>
      <c r="W8" s="270" t="n">
        <v>0.08</v>
      </c>
      <c r="X8" s="265" t="n">
        <v>40211</v>
      </c>
      <c r="Y8" s="146">
        <f>IF(I8="","No SIC",IFERROR(VLOOKUP(I8,Ref!$A$2:$B$65,2,FALSE()),"Unclassified"))</f>
        <v/>
      </c>
      <c r="Z8" s="146">
        <f>IF(T8="","",IF(T8&lt;12,"Daily","Weekly"))</f>
        <v/>
      </c>
      <c r="AA8" s="146">
        <f>IF(T8="",0,IF(T8&lt;12,T8*Controls!$B$13,T8*5))</f>
        <v/>
      </c>
      <c r="AB8" s="146">
        <f>IF(E8="",0,NETWORKDAYS(E8,Controls!$B$20,Ref!$K$2:$K$42))</f>
        <v/>
      </c>
      <c r="AC8" s="146">
        <f>IF(AND(AA8&gt;0,AB8&gt;=Controls!$B$23*AA8),1,0)</f>
        <v/>
      </c>
      <c r="AD8" s="146">
        <f>IF(AND(E8&lt;&gt;"",E8&gt;=Controls!$B$21,E8&lt;=Controls!$B$22),1,0)</f>
        <v/>
      </c>
      <c r="AE8" s="146">
        <f>IF(IFERROR(VLOOKUP(D8,Controls!$A$36:$E$46,2,FALSE()),"No")="Yes",1,0)</f>
        <v/>
      </c>
      <c r="AF8" s="146">
        <f>IF(IFERROR(VLOOKUP(D8,Controls!$A$36:$E$46,3,FALSE()),"No")="Yes",1,0)</f>
        <v/>
      </c>
      <c r="AG8" s="146">
        <f>IF(IFERROR(VLOOKUP(D8,Controls!$A$36:$E$46,4,FALSE()),"No")="Yes",1,0)</f>
        <v/>
      </c>
      <c r="AH8" s="146">
        <f>IF(IFERROR(VLOOKUP(D8,Controls!$A$36:$E$46,5,FALSE()),"No")="Yes",1,0)</f>
        <v/>
      </c>
      <c r="AI8" s="146">
        <f>IF(ISNUMBER(MATCH(D8,Controls!$A$36:$A$46,0)),1,0)</f>
        <v/>
      </c>
      <c r="AJ8" s="267">
        <f>Q8-N8</f>
        <v/>
      </c>
      <c r="AK8" s="146">
        <f>IF(AE8=1,MAX(0,N8-Q8),0)</f>
        <v/>
      </c>
      <c r="AL8" s="146">
        <f>IF(OR(V8="",V8=0),0,N8/V8)</f>
        <v/>
      </c>
      <c r="AM8" s="146">
        <f>IF(OR(V8="",V8=0),0,1)</f>
        <v/>
      </c>
      <c r="AN8" s="146">
        <f>IF(OR(E8="",F8=""),0,NETWORKDAYS(E8,F8,Ref!$K$2:$K$42))</f>
        <v/>
      </c>
      <c r="AO8" s="146">
        <f>IF(L8="Renewal",1,0)</f>
        <v/>
      </c>
      <c r="AP8" s="146">
        <f>AC8*AD8</f>
        <v/>
      </c>
      <c r="AQ8" s="146">
        <f>IF(AND(G8&lt;&gt;"",'Historical Score'!$C$6&lt;&gt;""),IF(G8='Historical Score'!$C$6,1,0),0)</f>
        <v/>
      </c>
      <c r="AR8" s="146">
        <f>IF(AND(L8&lt;&gt;"",'Historical Score'!$C$5&lt;&gt;""),IF(L8='Historical Score'!$C$5,1,0),0)</f>
        <v/>
      </c>
      <c r="AS8" s="146">
        <f>IF(AND(Y8&lt;&gt;"",'Historical Score'!$C$7&lt;&gt;""),IF(Y8='Historical Score'!$C$7,1,0),0)</f>
        <v/>
      </c>
      <c r="AT8" s="146">
        <f>IF(AND(K8&lt;&gt;"",'Historical Score'!$C$8&lt;&gt;""),IF(K8='Historical Score'!$C$8,1,0),0)</f>
        <v/>
      </c>
      <c r="AU8" s="146">
        <f>AR8*AS8*AQ8</f>
        <v/>
      </c>
      <c r="AV8" s="146">
        <f>AR8*AT8*AQ8</f>
        <v/>
      </c>
      <c r="AW8" s="146">
        <f>AR8*AS8</f>
        <v/>
      </c>
      <c r="AX8" s="146">
        <f>AR8*AT8</f>
        <v/>
      </c>
      <c r="AY8" s="146">
        <f>AR8*AQ8</f>
        <v/>
      </c>
      <c r="AZ8" s="146">
        <f>AR8</f>
        <v/>
      </c>
      <c r="BA8" s="146">
        <f>1</f>
        <v/>
      </c>
      <c r="BB8" s="146">
        <f>IF(AU8=1,1,IF(AV8=1,2,IF(AW8=1,3,IF(AX8=1,4,IF(AY8=1,5,IF(AZ8=1,6,7))))))</f>
        <v/>
      </c>
      <c r="BC8" s="146">
        <f>IF(AD8=1,CHOOSE('Historical Score'!$D$29,AU8,AV8,AW8,AX8,AY8,AZ8,BA8),0)</f>
        <v/>
      </c>
    </row>
    <row r="9" ht="15" customHeight="1" s="147">
      <c r="A9" s="146" t="inlineStr">
        <is>
          <t>A-008</t>
        </is>
      </c>
      <c r="B9" s="146" t="inlineStr">
        <is>
          <t>Harbor Cleaning</t>
        </is>
      </c>
      <c r="C9" s="146" t="inlineStr">
        <is>
          <t>Harbor Cleaning Services LLC</t>
        </is>
      </c>
      <c r="D9" s="146" t="inlineStr">
        <is>
          <t>Closed/NSF Unpaid</t>
        </is>
      </c>
      <c r="E9" s="265" t="n">
        <v>45852</v>
      </c>
      <c r="F9" s="265" t="n">
        <v>46006</v>
      </c>
      <c r="G9" s="146" t="n">
        <v>3</v>
      </c>
      <c r="H9" s="146" t="inlineStr">
        <is>
          <t>7349</t>
        </is>
      </c>
      <c r="I9" s="146" t="inlineStr">
        <is>
          <t>73</t>
        </is>
      </c>
      <c r="J9" s="146" t="inlineStr">
        <is>
          <t>TX</t>
        </is>
      </c>
      <c r="K9" s="146" t="inlineStr">
        <is>
          <t>Westwood</t>
        </is>
      </c>
      <c r="L9" s="146" t="inlineStr">
        <is>
          <t>New Deal</t>
        </is>
      </c>
      <c r="M9" s="146" t="n">
        <v>1.5</v>
      </c>
      <c r="N9" s="267" t="n">
        <v>20000</v>
      </c>
      <c r="O9" s="267" t="n">
        <v>2000</v>
      </c>
      <c r="P9" s="267" t="n">
        <v>30000</v>
      </c>
      <c r="Q9" s="267" t="n">
        <v>30000</v>
      </c>
      <c r="R9" s="267" t="n">
        <v>0</v>
      </c>
      <c r="S9" s="270" t="n">
        <v>1</v>
      </c>
      <c r="T9" s="146" t="n">
        <v>20</v>
      </c>
      <c r="U9" s="146" t="n">
        <v>11</v>
      </c>
      <c r="W9" s="270" t="n">
        <v>0.13</v>
      </c>
      <c r="X9" s="265" t="n">
        <v>44781</v>
      </c>
      <c r="Y9" s="146">
        <f>IF(I9="","No SIC",IFERROR(VLOOKUP(I9,Ref!$A$2:$B$65,2,FALSE()),"Unclassified"))</f>
        <v/>
      </c>
      <c r="Z9" s="146">
        <f>IF(T9="","",IF(T9&lt;12,"Daily","Weekly"))</f>
        <v/>
      </c>
      <c r="AA9" s="146">
        <f>IF(T9="",0,IF(T9&lt;12,T9*Controls!$B$13,T9*5))</f>
        <v/>
      </c>
      <c r="AB9" s="146">
        <f>IF(E9="",0,NETWORKDAYS(E9,Controls!$B$20,Ref!$K$2:$K$42))</f>
        <v/>
      </c>
      <c r="AC9" s="146">
        <f>IF(AND(AA9&gt;0,AB9&gt;=Controls!$B$23*AA9),1,0)</f>
        <v/>
      </c>
      <c r="AD9" s="146">
        <f>IF(AND(E9&lt;&gt;"",E9&gt;=Controls!$B$21,E9&lt;=Controls!$B$22),1,0)</f>
        <v/>
      </c>
      <c r="AE9" s="146">
        <f>IF(IFERROR(VLOOKUP(D9,Controls!$A$36:$E$46,2,FALSE()),"No")="Yes",1,0)</f>
        <v/>
      </c>
      <c r="AF9" s="146">
        <f>IF(IFERROR(VLOOKUP(D9,Controls!$A$36:$E$46,3,FALSE()),"No")="Yes",1,0)</f>
        <v/>
      </c>
      <c r="AG9" s="146">
        <f>IF(IFERROR(VLOOKUP(D9,Controls!$A$36:$E$46,4,FALSE()),"No")="Yes",1,0)</f>
        <v/>
      </c>
      <c r="AH9" s="146">
        <f>IF(IFERROR(VLOOKUP(D9,Controls!$A$36:$E$46,5,FALSE()),"No")="Yes",1,0)</f>
        <v/>
      </c>
      <c r="AI9" s="146">
        <f>IF(ISNUMBER(MATCH(D9,Controls!$A$36:$A$46,0)),1,0)</f>
        <v/>
      </c>
      <c r="AJ9" s="267">
        <f>Q9-N9</f>
        <v/>
      </c>
      <c r="AK9" s="146">
        <f>IF(AE9=1,MAX(0,N9-Q9),0)</f>
        <v/>
      </c>
      <c r="AL9" s="146">
        <f>IF(OR(V9="",V9=0),0,N9/V9)</f>
        <v/>
      </c>
      <c r="AM9" s="146">
        <f>IF(OR(V9="",V9=0),0,1)</f>
        <v/>
      </c>
      <c r="AN9" s="146">
        <f>IF(OR(E9="",F9=""),0,NETWORKDAYS(E9,F9,Ref!$K$2:$K$42))</f>
        <v/>
      </c>
      <c r="AO9" s="146">
        <f>IF(L9="Renewal",1,0)</f>
        <v/>
      </c>
      <c r="AP9" s="146">
        <f>AC9*AD9</f>
        <v/>
      </c>
      <c r="AQ9" s="146">
        <f>IF(AND(G9&lt;&gt;"",'Historical Score'!$C$6&lt;&gt;""),IF(G9='Historical Score'!$C$6,1,0),0)</f>
        <v/>
      </c>
      <c r="AR9" s="146">
        <f>IF(AND(L9&lt;&gt;"",'Historical Score'!$C$5&lt;&gt;""),IF(L9='Historical Score'!$C$5,1,0),0)</f>
        <v/>
      </c>
      <c r="AS9" s="146">
        <f>IF(AND(Y9&lt;&gt;"",'Historical Score'!$C$7&lt;&gt;""),IF(Y9='Historical Score'!$C$7,1,0),0)</f>
        <v/>
      </c>
      <c r="AT9" s="146">
        <f>IF(AND(K9&lt;&gt;"",'Historical Score'!$C$8&lt;&gt;""),IF(K9='Historical Score'!$C$8,1,0),0)</f>
        <v/>
      </c>
      <c r="AU9" s="146">
        <f>AR9*AS9*AQ9</f>
        <v/>
      </c>
      <c r="AV9" s="146">
        <f>AR9*AT9*AQ9</f>
        <v/>
      </c>
      <c r="AW9" s="146">
        <f>AR9*AS9</f>
        <v/>
      </c>
      <c r="AX9" s="146">
        <f>AR9*AT9</f>
        <v/>
      </c>
      <c r="AY9" s="146">
        <f>AR9*AQ9</f>
        <v/>
      </c>
      <c r="AZ9" s="146">
        <f>AR9</f>
        <v/>
      </c>
      <c r="BA9" s="146">
        <f>1</f>
        <v/>
      </c>
      <c r="BB9" s="146">
        <f>IF(AU9=1,1,IF(AV9=1,2,IF(AW9=1,3,IF(AX9=1,4,IF(AY9=1,5,IF(AZ9=1,6,7))))))</f>
        <v/>
      </c>
      <c r="BC9" s="146">
        <f>IF(AD9=1,CHOOSE('Historical Score'!$D$29,AU9,AV9,AW9,AX9,AY9,AZ9,BA9),0)</f>
        <v/>
      </c>
    </row>
    <row r="21" ht="15.75" customHeight="1" s="147"/>
    <row r="22" ht="15.75" customHeight="1" s="147"/>
    <row r="23" ht="15.75" customHeight="1" s="147"/>
    <row r="24" ht="15.75" customHeight="1" s="147"/>
    <row r="25" ht="15.75" customHeight="1" s="147"/>
    <row r="26" ht="15.75" customHeight="1" s="147"/>
    <row r="27" ht="15.75" customHeight="1" s="147"/>
    <row r="28" ht="15.75" customHeight="1" s="147"/>
    <row r="29" ht="15.75" customHeight="1" s="147"/>
    <row r="30" ht="15.75" customHeight="1" s="147"/>
    <row r="31" ht="15.75" customHeight="1" s="147"/>
    <row r="32" ht="15.75" customHeight="1" s="147"/>
    <row r="33" ht="15.75" customHeight="1" s="147"/>
    <row r="34" ht="15.75" customHeight="1" s="147"/>
    <row r="35" ht="15.75" customHeight="1" s="147"/>
    <row r="36" ht="15.75" customHeight="1" s="147"/>
    <row r="37" ht="15.75" customHeight="1" s="147"/>
    <row r="38" ht="15.75" customHeight="1" s="147"/>
    <row r="39" ht="15.75" customHeight="1" s="147"/>
    <row r="40" ht="15.75" customHeight="1" s="147"/>
    <row r="41" ht="15.75" customHeight="1" s="147"/>
    <row r="42" ht="15.75" customHeight="1" s="147"/>
    <row r="43" ht="15.75" customHeight="1" s="147"/>
    <row r="44" ht="15.75" customHeight="1" s="147"/>
    <row r="45" ht="15.75" customHeight="1" s="147"/>
    <row r="46" ht="15.75" customHeight="1" s="147"/>
    <row r="47" ht="15.75" customHeight="1" s="147"/>
    <row r="48" ht="15.75" customHeight="1" s="147"/>
    <row r="49" ht="15.75" customHeight="1" s="147"/>
    <row r="50" ht="15.75" customHeight="1" s="147"/>
    <row r="51" ht="15.75" customHeight="1" s="147"/>
    <row r="52" ht="15.75" customHeight="1" s="147"/>
    <row r="53" ht="15.75" customHeight="1" s="147"/>
    <row r="54" ht="15.75" customHeight="1" s="147"/>
    <row r="55" ht="15.75" customHeight="1" s="147"/>
    <row r="56" ht="15.75" customHeight="1" s="147"/>
    <row r="57" ht="15.75" customHeight="1" s="147"/>
    <row r="58" ht="15.75" customHeight="1" s="147"/>
    <row r="59" ht="15.75" customHeight="1" s="147"/>
    <row r="60" ht="15.75" customHeight="1" s="147"/>
    <row r="61" ht="15.75" customHeight="1" s="147"/>
    <row r="62" ht="15.75" customHeight="1" s="147"/>
    <row r="63" ht="15.75" customHeight="1" s="147"/>
    <row r="64" ht="15.75" customHeight="1" s="147"/>
    <row r="65" ht="15.75" customHeight="1" s="147"/>
    <row r="66" ht="15.75" customHeight="1" s="147"/>
    <row r="67" ht="15.75" customHeight="1" s="147"/>
    <row r="68" ht="15.75" customHeight="1" s="147"/>
    <row r="69" ht="15.75" customHeight="1" s="147"/>
    <row r="70" ht="15.75" customHeight="1" s="147"/>
    <row r="71" ht="15.75" customHeight="1" s="147"/>
    <row r="72" ht="15.75" customHeight="1" s="147"/>
    <row r="73" ht="15.75" customHeight="1" s="147"/>
    <row r="74" ht="15.75" customHeight="1" s="147"/>
    <row r="75" ht="15.75" customHeight="1" s="147"/>
    <row r="76" ht="15.75" customHeight="1" s="147"/>
    <row r="77" ht="15.75" customHeight="1" s="147"/>
    <row r="78" ht="15.75" customHeight="1" s="147"/>
    <row r="79" ht="15.75" customHeight="1" s="147"/>
    <row r="80" ht="15.75" customHeight="1" s="147"/>
    <row r="81" ht="15.75" customHeight="1" s="147"/>
    <row r="82" ht="15.75" customHeight="1" s="147"/>
    <row r="83" ht="15.75" customHeight="1" s="147"/>
    <row r="84" ht="15.75" customHeight="1" s="147"/>
    <row r="85" ht="15.75" customHeight="1" s="147"/>
    <row r="86" ht="15.75" customHeight="1" s="147"/>
    <row r="87" ht="15.75" customHeight="1" s="147"/>
    <row r="88" ht="15.75" customHeight="1" s="147"/>
    <row r="89" ht="15.75" customHeight="1" s="147"/>
    <row r="90" ht="15.75" customHeight="1" s="147"/>
    <row r="91" ht="15.75" customHeight="1" s="147"/>
    <row r="92" ht="15.75" customHeight="1" s="147"/>
    <row r="93" ht="15.75" customHeight="1" s="147"/>
    <row r="94" ht="15.75" customHeight="1" s="147"/>
    <row r="95" ht="15.75" customHeight="1" s="147"/>
    <row r="96" ht="15.75" customHeight="1" s="147"/>
    <row r="97" ht="15.75" customHeight="1" s="147"/>
    <row r="98" ht="15.75" customHeight="1" s="147"/>
    <row r="99" ht="15.75" customHeight="1" s="147"/>
    <row r="100" ht="15.75" customHeight="1" s="147"/>
    <row r="101" ht="15.75" customHeight="1" s="147"/>
    <row r="102" ht="15.75" customHeight="1" s="147"/>
    <row r="103" ht="15.75" customHeight="1" s="147"/>
    <row r="104" ht="15.75" customHeight="1" s="147"/>
    <row r="105" ht="15.75" customHeight="1" s="147"/>
    <row r="106" ht="15.75" customHeight="1" s="147"/>
    <row r="107" ht="15.75" customHeight="1" s="147"/>
    <row r="108" ht="15.75" customHeight="1" s="147"/>
    <row r="109" ht="15.75" customHeight="1" s="147"/>
    <row r="110" ht="15.75" customHeight="1" s="147"/>
    <row r="111" ht="15.75" customHeight="1" s="147"/>
    <row r="112" ht="15.75" customHeight="1" s="147"/>
    <row r="113" ht="15.75" customHeight="1" s="147"/>
    <row r="114" ht="15.75" customHeight="1" s="147"/>
    <row r="115" ht="15.75" customHeight="1" s="147"/>
    <row r="116" ht="15.75" customHeight="1" s="147"/>
    <row r="117" ht="15.75" customHeight="1" s="147"/>
    <row r="118" ht="15.75" customHeight="1" s="147"/>
    <row r="119" ht="15.75" customHeight="1" s="147"/>
    <row r="120" ht="15.75" customHeight="1" s="147"/>
    <row r="121" ht="15.75" customHeight="1" s="147"/>
    <row r="122" ht="15.75" customHeight="1" s="147"/>
    <row r="123" ht="15.75" customHeight="1" s="147"/>
    <row r="124" ht="15.75" customHeight="1" s="147"/>
    <row r="125" ht="15.75" customHeight="1" s="147"/>
    <row r="126" ht="15.75" customHeight="1" s="147"/>
    <row r="127" ht="15.75" customHeight="1" s="147"/>
    <row r="128" ht="15.75" customHeight="1" s="147"/>
    <row r="129" ht="15.75" customHeight="1" s="147"/>
    <row r="130" ht="15.75" customHeight="1" s="147"/>
    <row r="131" ht="15.75" customHeight="1" s="147"/>
    <row r="132" ht="15.75" customHeight="1" s="147"/>
    <row r="133" ht="15.75" customHeight="1" s="147"/>
    <row r="134" ht="15.75" customHeight="1" s="147"/>
    <row r="135" ht="15.75" customHeight="1" s="147"/>
    <row r="136" ht="15.75" customHeight="1" s="147"/>
    <row r="137" ht="15.75" customHeight="1" s="147"/>
    <row r="138" ht="15.75" customHeight="1" s="147"/>
    <row r="139" ht="15.75" customHeight="1" s="147"/>
    <row r="140" ht="15.75" customHeight="1" s="147"/>
    <row r="141" ht="15.75" customHeight="1" s="147"/>
    <row r="142" ht="15.75" customHeight="1" s="147"/>
    <row r="143" ht="15.75" customHeight="1" s="147"/>
    <row r="144" ht="15.75" customHeight="1" s="147"/>
    <row r="145" ht="15.75" customHeight="1" s="147"/>
    <row r="146" ht="15.75" customHeight="1" s="147"/>
    <row r="147" ht="15.75" customHeight="1" s="147"/>
    <row r="148" ht="15.75" customHeight="1" s="147"/>
    <row r="149" ht="15.75" customHeight="1" s="147"/>
    <row r="150" ht="15.75" customHeight="1" s="147"/>
    <row r="151" ht="15.75" customHeight="1" s="147"/>
    <row r="152" ht="15.75" customHeight="1" s="147"/>
    <row r="153" ht="15.75" customHeight="1" s="147"/>
    <row r="154" ht="15.75" customHeight="1" s="147"/>
    <row r="155" ht="15.75" customHeight="1" s="147"/>
    <row r="156" ht="15.75" customHeight="1" s="147"/>
    <row r="157" ht="15.75" customHeight="1" s="147"/>
    <row r="158" ht="15.75" customHeight="1" s="147"/>
    <row r="159" ht="15.75" customHeight="1" s="147"/>
    <row r="160" ht="15.75" customHeight="1" s="147"/>
    <row r="161" ht="15.75" customHeight="1" s="147"/>
    <row r="162" ht="15.75" customHeight="1" s="147"/>
    <row r="163" ht="15.75" customHeight="1" s="147"/>
    <row r="164" ht="15.75" customHeight="1" s="147"/>
    <row r="165" ht="15.75" customHeight="1" s="147"/>
    <row r="166" ht="15.75" customHeight="1" s="147"/>
    <row r="167" ht="15.75" customHeight="1" s="147"/>
    <row r="168" ht="15.75" customHeight="1" s="147"/>
    <row r="169" ht="15.75" customHeight="1" s="147"/>
    <row r="170" ht="15.75" customHeight="1" s="147"/>
    <row r="171" ht="15.75" customHeight="1" s="147"/>
    <row r="172" ht="15.75" customHeight="1" s="147"/>
    <row r="173" ht="15.75" customHeight="1" s="147"/>
    <row r="174" ht="15.75" customHeight="1" s="147"/>
    <row r="175" ht="15.75" customHeight="1" s="147"/>
    <row r="176" ht="15.75" customHeight="1" s="147"/>
    <row r="177" ht="15.75" customHeight="1" s="147"/>
    <row r="178" ht="15.75" customHeight="1" s="147"/>
    <row r="179" ht="15.75" customHeight="1" s="147"/>
    <row r="180" ht="15.75" customHeight="1" s="147"/>
    <row r="181" ht="15.75" customHeight="1" s="147"/>
    <row r="182" ht="15.75" customHeight="1" s="147"/>
    <row r="183" ht="15.75" customHeight="1" s="147"/>
    <row r="184" ht="15.75" customHeight="1" s="147"/>
    <row r="185" ht="15.75" customHeight="1" s="147"/>
    <row r="186" ht="15.75" customHeight="1" s="147"/>
    <row r="187" ht="15.75" customHeight="1" s="147"/>
    <row r="188" ht="15.75" customHeight="1" s="147"/>
    <row r="189" ht="15.75" customHeight="1" s="147"/>
    <row r="190" ht="15.75" customHeight="1" s="147"/>
    <row r="191" ht="15.75" customHeight="1" s="147"/>
    <row r="192" ht="15.75" customHeight="1" s="147"/>
    <row r="193" ht="15.75" customHeight="1" s="147"/>
    <row r="194" ht="15.75" customHeight="1" s="147"/>
    <row r="195" ht="15.75" customHeight="1" s="147"/>
    <row r="196" ht="15.75" customHeight="1" s="147"/>
    <row r="197" ht="15.75" customHeight="1" s="147"/>
    <row r="198" ht="15.75" customHeight="1" s="147"/>
    <row r="199" ht="15.75" customHeight="1" s="147"/>
    <row r="200" ht="15.75" customHeight="1" s="147"/>
    <row r="201" ht="15.75" customHeight="1" s="147"/>
    <row r="202" ht="15.75" customHeight="1" s="147"/>
    <row r="203" ht="15.75" customHeight="1" s="147"/>
    <row r="204" ht="15.75" customHeight="1" s="147"/>
    <row r="205" ht="15.75" customHeight="1" s="147"/>
    <row r="206" ht="15.75" customHeight="1" s="147"/>
    <row r="207" ht="15.75" customHeight="1" s="147"/>
    <row r="208" ht="15.75" customHeight="1" s="147"/>
    <row r="209" ht="15.75" customHeight="1" s="147"/>
    <row r="210" ht="15.75" customHeight="1" s="147"/>
    <row r="211" ht="15.75" customHeight="1" s="147"/>
    <row r="212" ht="15.75" customHeight="1" s="147"/>
    <row r="213" ht="15.75" customHeight="1" s="147"/>
    <row r="214" ht="15.75" customHeight="1" s="147"/>
    <row r="215" ht="15.75" customHeight="1" s="147"/>
    <row r="216" ht="15.75" customHeight="1" s="147"/>
    <row r="217" ht="15.75" customHeight="1" s="147"/>
    <row r="218" ht="15.75" customHeight="1" s="147"/>
    <row r="219" ht="15.75" customHeight="1" s="147"/>
    <row r="220" ht="15.75" customHeight="1" s="147"/>
    <row r="221" ht="15.75" customHeight="1" s="147"/>
    <row r="222" ht="15.75" customHeight="1" s="147"/>
    <row r="223" ht="15.75" customHeight="1" s="147"/>
    <row r="224" ht="15.75" customHeight="1" s="147"/>
    <row r="225" ht="15.75" customHeight="1" s="147"/>
    <row r="226" ht="15.75" customHeight="1" s="147"/>
    <row r="227" ht="15.75" customHeight="1" s="147"/>
    <row r="228" ht="15.75" customHeight="1" s="147"/>
    <row r="229" ht="15.75" customHeight="1" s="147"/>
    <row r="230" ht="15.75" customHeight="1" s="147"/>
    <row r="231" ht="15.75" customHeight="1" s="147"/>
    <row r="232" ht="15.75" customHeight="1" s="147"/>
    <row r="233" ht="15.75" customHeight="1" s="147"/>
    <row r="234" ht="15.75" customHeight="1" s="147"/>
    <row r="235" ht="15.75" customHeight="1" s="147"/>
    <row r="236" ht="15.75" customHeight="1" s="147"/>
    <row r="237" ht="15.75" customHeight="1" s="147"/>
    <row r="238" ht="15.75" customHeight="1" s="147"/>
    <row r="239" ht="15.75" customHeight="1" s="147"/>
    <row r="240" ht="15.75" customHeight="1" s="147"/>
    <row r="241" ht="15.75" customHeight="1" s="147"/>
    <row r="242" ht="15.75" customHeight="1" s="147"/>
    <row r="243" ht="15.75" customHeight="1" s="147"/>
    <row r="244" ht="15.75" customHeight="1" s="147"/>
    <row r="245" ht="15.75" customHeight="1" s="147"/>
    <row r="246" ht="15.75" customHeight="1" s="147"/>
    <row r="247" ht="15.75" customHeight="1" s="147"/>
    <row r="248" ht="15.75" customHeight="1" s="147"/>
    <row r="249" ht="15.75" customHeight="1" s="147"/>
    <row r="250" ht="15.75" customHeight="1" s="147"/>
    <row r="251" ht="15.75" customHeight="1" s="147"/>
    <row r="252" ht="15.75" customHeight="1" s="147"/>
    <row r="253" ht="15.75" customHeight="1" s="147"/>
    <row r="254" ht="15.75" customHeight="1" s="147"/>
    <row r="255" ht="15.75" customHeight="1" s="147"/>
    <row r="256" ht="15.75" customHeight="1" s="147"/>
    <row r="257" ht="15.75" customHeight="1" s="147"/>
    <row r="258" ht="15.75" customHeight="1" s="147"/>
    <row r="259" ht="15.75" customHeight="1" s="147"/>
    <row r="260" ht="15.75" customHeight="1" s="147"/>
    <row r="261" ht="15.75" customHeight="1" s="147"/>
    <row r="262" ht="15.75" customHeight="1" s="147"/>
    <row r="263" ht="15.75" customHeight="1" s="147"/>
    <row r="264" ht="15.75" customHeight="1" s="147"/>
    <row r="265" ht="15.75" customHeight="1" s="147"/>
    <row r="266" ht="15.75" customHeight="1" s="147"/>
    <row r="267" ht="15.75" customHeight="1" s="147"/>
    <row r="268" ht="15.75" customHeight="1" s="147"/>
    <row r="269" ht="15.75" customHeight="1" s="147"/>
    <row r="270" ht="15.75" customHeight="1" s="147"/>
    <row r="271" ht="15.75" customHeight="1" s="147"/>
    <row r="272" ht="15.75" customHeight="1" s="147"/>
    <row r="273" ht="15.75" customHeight="1" s="147"/>
    <row r="274" ht="15.75" customHeight="1" s="147"/>
    <row r="275" ht="15.75" customHeight="1" s="147"/>
    <row r="276" ht="15.75" customHeight="1" s="147"/>
    <row r="277" ht="15.75" customHeight="1" s="147"/>
    <row r="278" ht="15.75" customHeight="1" s="147"/>
    <row r="279" ht="15.75" customHeight="1" s="147"/>
    <row r="280" ht="15.75" customHeight="1" s="147"/>
    <row r="281" ht="15.75" customHeight="1" s="147"/>
    <row r="282" ht="15.75" customHeight="1" s="147"/>
    <row r="283" ht="15.75" customHeight="1" s="147"/>
    <row r="284" ht="15.75" customHeight="1" s="147"/>
    <row r="285" ht="15.75" customHeight="1" s="147"/>
    <row r="286" ht="15.75" customHeight="1" s="147"/>
    <row r="287" ht="15.75" customHeight="1" s="147"/>
    <row r="288" ht="15.75" customHeight="1" s="147"/>
    <row r="289" ht="15.75" customHeight="1" s="147"/>
    <row r="290" ht="15.75" customHeight="1" s="147"/>
    <row r="291" ht="15.75" customHeight="1" s="147"/>
    <row r="292" ht="15.75" customHeight="1" s="147"/>
    <row r="293" ht="15.75" customHeight="1" s="147"/>
    <row r="294" ht="15.75" customHeight="1" s="147"/>
    <row r="295" ht="15.75" customHeight="1" s="147"/>
    <row r="296" ht="15.75" customHeight="1" s="147"/>
    <row r="297" ht="15.75" customHeight="1" s="147"/>
    <row r="298" ht="15.75" customHeight="1" s="147"/>
    <row r="299" ht="15.75" customHeight="1" s="147"/>
    <row r="300" ht="15.75" customHeight="1" s="147"/>
    <row r="301" ht="15.75" customHeight="1" s="147"/>
    <row r="302" ht="15.75" customHeight="1" s="147"/>
    <row r="303" ht="15.75" customHeight="1" s="147"/>
    <row r="304" ht="15.75" customHeight="1" s="147"/>
    <row r="305" ht="15.75" customHeight="1" s="147"/>
    <row r="306" ht="15.75" customHeight="1" s="147"/>
    <row r="307" ht="15.75" customHeight="1" s="147"/>
    <row r="308" ht="15.75" customHeight="1" s="147"/>
    <row r="309" ht="15.75" customHeight="1" s="147"/>
    <row r="310" ht="15.75" customHeight="1" s="147"/>
    <row r="311" ht="15.75" customHeight="1" s="147"/>
    <row r="312" ht="15.75" customHeight="1" s="147"/>
    <row r="313" ht="15.75" customHeight="1" s="147"/>
    <row r="314" ht="15.75" customHeight="1" s="147"/>
    <row r="315" ht="15.75" customHeight="1" s="147"/>
    <row r="316" ht="15.75" customHeight="1" s="147"/>
    <row r="317" ht="15.75" customHeight="1" s="147"/>
    <row r="318" ht="15.75" customHeight="1" s="147"/>
    <row r="319" ht="15.75" customHeight="1" s="147"/>
    <row r="320" ht="15.75" customHeight="1" s="147"/>
    <row r="321" ht="15.75" customHeight="1" s="147"/>
    <row r="322" ht="15.75" customHeight="1" s="147"/>
    <row r="323" ht="15.75" customHeight="1" s="147"/>
    <row r="324" ht="15.75" customHeight="1" s="147"/>
    <row r="325" ht="15.75" customHeight="1" s="147"/>
    <row r="326" ht="15.75" customHeight="1" s="147"/>
    <row r="327" ht="15.75" customHeight="1" s="147"/>
    <row r="328" ht="15.75" customHeight="1" s="147"/>
    <row r="329" ht="15.75" customHeight="1" s="147"/>
    <row r="330" ht="15.75" customHeight="1" s="147"/>
    <row r="331" ht="15.75" customHeight="1" s="147"/>
    <row r="332" ht="15.75" customHeight="1" s="147"/>
    <row r="333" ht="15.75" customHeight="1" s="147"/>
    <row r="334" ht="15.75" customHeight="1" s="147"/>
    <row r="335" ht="15.75" customHeight="1" s="147"/>
    <row r="336" ht="15.75" customHeight="1" s="147"/>
    <row r="337" ht="15.75" customHeight="1" s="147"/>
    <row r="338" ht="15.75" customHeight="1" s="147"/>
    <row r="339" ht="15.75" customHeight="1" s="147"/>
    <row r="340" ht="15.75" customHeight="1" s="147"/>
    <row r="341" ht="15.75" customHeight="1" s="147"/>
    <row r="342" ht="15.75" customHeight="1" s="147"/>
    <row r="343" ht="15.75" customHeight="1" s="147"/>
    <row r="344" ht="15.75" customHeight="1" s="147"/>
    <row r="345" ht="15.75" customHeight="1" s="147"/>
    <row r="346" ht="15.75" customHeight="1" s="147"/>
    <row r="347" ht="15.75" customHeight="1" s="147"/>
    <row r="348" ht="15.75" customHeight="1" s="147"/>
    <row r="349" ht="15.75" customHeight="1" s="147"/>
    <row r="350" ht="15.75" customHeight="1" s="147"/>
    <row r="351" ht="15.75" customHeight="1" s="147"/>
    <row r="352" ht="15.75" customHeight="1" s="147"/>
    <row r="353" ht="15.75" customHeight="1" s="147"/>
    <row r="354" ht="15.75" customHeight="1" s="147"/>
    <row r="355" ht="15.75" customHeight="1" s="147"/>
    <row r="356" ht="15.75" customHeight="1" s="147"/>
    <row r="357" ht="15.75" customHeight="1" s="147"/>
    <row r="358" ht="15.75" customHeight="1" s="147"/>
    <row r="359" ht="15.75" customHeight="1" s="147"/>
    <row r="360" ht="15.75" customHeight="1" s="147"/>
    <row r="361" ht="15.75" customHeight="1" s="147"/>
    <row r="362" ht="15.75" customHeight="1" s="147"/>
    <row r="363" ht="15.75" customHeight="1" s="147"/>
    <row r="364" ht="15.75" customHeight="1" s="147"/>
    <row r="365" ht="15.75" customHeight="1" s="147"/>
    <row r="366" ht="15.75" customHeight="1" s="147"/>
    <row r="367" ht="15.75" customHeight="1" s="147"/>
    <row r="368" ht="15.75" customHeight="1" s="147"/>
    <row r="369" ht="15.75" customHeight="1" s="147"/>
    <row r="370" ht="15.75" customHeight="1" s="147"/>
    <row r="371" ht="15.75" customHeight="1" s="147"/>
    <row r="372" ht="15.75" customHeight="1" s="147"/>
    <row r="373" ht="15.75" customHeight="1" s="147"/>
    <row r="374" ht="15.75" customHeight="1" s="147"/>
    <row r="375" ht="15.75" customHeight="1" s="147"/>
    <row r="376" ht="15.75" customHeight="1" s="147"/>
    <row r="377" ht="15.75" customHeight="1" s="147"/>
    <row r="378" ht="15.75" customHeight="1" s="147"/>
    <row r="379" ht="15.75" customHeight="1" s="147"/>
    <row r="380" ht="15.75" customHeight="1" s="147"/>
    <row r="381" ht="15.75" customHeight="1" s="147"/>
    <row r="382" ht="15.75" customHeight="1" s="147"/>
    <row r="383" ht="15.75" customHeight="1" s="147"/>
    <row r="384" ht="15.75" customHeight="1" s="147"/>
    <row r="385" ht="15.75" customHeight="1" s="147"/>
    <row r="386" ht="15.75" customHeight="1" s="147"/>
    <row r="387" ht="15.75" customHeight="1" s="147"/>
    <row r="388" ht="15.75" customHeight="1" s="147"/>
    <row r="389" ht="15.75" customHeight="1" s="147"/>
    <row r="390" ht="15.75" customHeight="1" s="147"/>
    <row r="391" ht="15.75" customHeight="1" s="147"/>
    <row r="392" ht="15.75" customHeight="1" s="147"/>
    <row r="393" ht="15.75" customHeight="1" s="147"/>
    <row r="394" ht="15.75" customHeight="1" s="147"/>
    <row r="395" ht="15.75" customHeight="1" s="147"/>
    <row r="396" ht="15.75" customHeight="1" s="147"/>
    <row r="397" ht="15.75" customHeight="1" s="147"/>
    <row r="398" ht="15.75" customHeight="1" s="147"/>
    <row r="399" ht="15.75" customHeight="1" s="147"/>
    <row r="400" ht="15.75" customHeight="1" s="147"/>
    <row r="401" ht="15.75" customHeight="1" s="147"/>
    <row r="402" ht="15.75" customHeight="1" s="147"/>
    <row r="403" ht="15.75" customHeight="1" s="147"/>
    <row r="404" ht="15.75" customHeight="1" s="147"/>
    <row r="405" ht="15.75" customHeight="1" s="147"/>
    <row r="406" ht="15.75" customHeight="1" s="147"/>
    <row r="407" ht="15.75" customHeight="1" s="147"/>
    <row r="408" ht="15.75" customHeight="1" s="147"/>
    <row r="409" ht="15.75" customHeight="1" s="147"/>
    <row r="410" ht="15.75" customHeight="1" s="147"/>
    <row r="411" ht="15.75" customHeight="1" s="147"/>
    <row r="412" ht="15.75" customHeight="1" s="147"/>
    <row r="413" ht="15.75" customHeight="1" s="147"/>
    <row r="414" ht="15.75" customHeight="1" s="147"/>
    <row r="415" ht="15.75" customHeight="1" s="147"/>
    <row r="416" ht="15.75" customHeight="1" s="147"/>
    <row r="417" ht="15.75" customHeight="1" s="147"/>
    <row r="418" ht="15.75" customHeight="1" s="147"/>
    <row r="419" ht="15.75" customHeight="1" s="147"/>
    <row r="420" ht="15.75" customHeight="1" s="147"/>
    <row r="421" ht="15.75" customHeight="1" s="147"/>
    <row r="422" ht="15.75" customHeight="1" s="147"/>
    <row r="423" ht="15.75" customHeight="1" s="147"/>
    <row r="424" ht="15.75" customHeight="1" s="147"/>
    <row r="425" ht="15.75" customHeight="1" s="147"/>
    <row r="426" ht="15.75" customHeight="1" s="147"/>
    <row r="427" ht="15.75" customHeight="1" s="147"/>
    <row r="428" ht="15.75" customHeight="1" s="147"/>
    <row r="429" ht="15.75" customHeight="1" s="147"/>
    <row r="430" ht="15.75" customHeight="1" s="147"/>
    <row r="431" ht="15.75" customHeight="1" s="147"/>
    <row r="432" ht="15.75" customHeight="1" s="147"/>
    <row r="433" ht="15.75" customHeight="1" s="147"/>
    <row r="434" ht="15.75" customHeight="1" s="147"/>
    <row r="435" ht="15.75" customHeight="1" s="147"/>
    <row r="436" ht="15.75" customHeight="1" s="147"/>
    <row r="437" ht="15.75" customHeight="1" s="147"/>
    <row r="438" ht="15.75" customHeight="1" s="147"/>
    <row r="439" ht="15.75" customHeight="1" s="147"/>
    <row r="440" ht="15.75" customHeight="1" s="147"/>
    <row r="441" ht="15.75" customHeight="1" s="147"/>
    <row r="442" ht="15.75" customHeight="1" s="147"/>
    <row r="443" ht="15.75" customHeight="1" s="147"/>
    <row r="444" ht="15.75" customHeight="1" s="147"/>
    <row r="445" ht="15.75" customHeight="1" s="147"/>
    <row r="446" ht="15.75" customHeight="1" s="147"/>
    <row r="447" ht="15.75" customHeight="1" s="147"/>
    <row r="448" ht="15.75" customHeight="1" s="147"/>
    <row r="449" ht="15.75" customHeight="1" s="147"/>
    <row r="450" ht="15.75" customHeight="1" s="147"/>
    <row r="451" ht="15.75" customHeight="1" s="147"/>
    <row r="452" ht="15.75" customHeight="1" s="147"/>
    <row r="453" ht="15.75" customHeight="1" s="147"/>
    <row r="454" ht="15.75" customHeight="1" s="147"/>
    <row r="455" ht="15.75" customHeight="1" s="147"/>
    <row r="456" ht="15.75" customHeight="1" s="147"/>
    <row r="457" ht="15.75" customHeight="1" s="147"/>
    <row r="458" ht="15.75" customHeight="1" s="147"/>
    <row r="459" ht="15.75" customHeight="1" s="147"/>
    <row r="460" ht="15.75" customHeight="1" s="147"/>
    <row r="461" ht="15.75" customHeight="1" s="147"/>
    <row r="462" ht="15.75" customHeight="1" s="147"/>
    <row r="463" ht="15.75" customHeight="1" s="147"/>
    <row r="464" ht="15.75" customHeight="1" s="147"/>
    <row r="465" ht="15.75" customHeight="1" s="147"/>
    <row r="466" ht="15.75" customHeight="1" s="147"/>
    <row r="467" ht="15.75" customHeight="1" s="147"/>
    <row r="468" ht="15.75" customHeight="1" s="147"/>
    <row r="469" ht="15.75" customHeight="1" s="147"/>
    <row r="470" ht="15.75" customHeight="1" s="147"/>
    <row r="471" ht="15.75" customHeight="1" s="147"/>
    <row r="472" ht="15.75" customHeight="1" s="147"/>
    <row r="473" ht="15.75" customHeight="1" s="147"/>
    <row r="474" ht="15.75" customHeight="1" s="147"/>
    <row r="475" ht="15.75" customHeight="1" s="147"/>
    <row r="476" ht="15.75" customHeight="1" s="147"/>
    <row r="477" ht="15.75" customHeight="1" s="147"/>
    <row r="478" ht="15.75" customHeight="1" s="147"/>
    <row r="479" ht="15.75" customHeight="1" s="147"/>
    <row r="480" ht="15.75" customHeight="1" s="147"/>
    <row r="481" ht="15.75" customHeight="1" s="147"/>
    <row r="482" ht="15.75" customHeight="1" s="147"/>
    <row r="483" ht="15.75" customHeight="1" s="147"/>
    <row r="484" ht="15.75" customHeight="1" s="147"/>
    <row r="485" ht="15.75" customHeight="1" s="147"/>
    <row r="486" ht="15.75" customHeight="1" s="147"/>
    <row r="487" ht="15.75" customHeight="1" s="147"/>
    <row r="488" ht="15.75" customHeight="1" s="147"/>
    <row r="489" ht="15.75" customHeight="1" s="147"/>
    <row r="490" ht="15.75" customHeight="1" s="147"/>
    <row r="491" ht="15.75" customHeight="1" s="147"/>
    <row r="492" ht="15.75" customHeight="1" s="147"/>
    <row r="493" ht="15.75" customHeight="1" s="147"/>
    <row r="494" ht="15.75" customHeight="1" s="147"/>
    <row r="495" ht="15.75" customHeight="1" s="147"/>
    <row r="496" ht="15.75" customHeight="1" s="147"/>
    <row r="497" ht="15.75" customHeight="1" s="147"/>
    <row r="498" ht="15.75" customHeight="1" s="147"/>
    <row r="499" ht="15.75" customHeight="1" s="147"/>
    <row r="500" ht="15.75" customHeight="1" s="147"/>
    <row r="501" ht="15.75" customHeight="1" s="147"/>
    <row r="502" ht="15.75" customHeight="1" s="147"/>
    <row r="503" ht="15.75" customHeight="1" s="147"/>
    <row r="504" ht="15.75" customHeight="1" s="147"/>
    <row r="505" ht="15.75" customHeight="1" s="147"/>
    <row r="506" ht="15.75" customHeight="1" s="147"/>
    <row r="507" ht="15.75" customHeight="1" s="147"/>
    <row r="508" ht="15.75" customHeight="1" s="147"/>
    <row r="509" ht="15.75" customHeight="1" s="147"/>
    <row r="510" ht="15.75" customHeight="1" s="147"/>
    <row r="511" ht="15.75" customHeight="1" s="147"/>
    <row r="512" ht="15.75" customHeight="1" s="147"/>
    <row r="513" ht="15.75" customHeight="1" s="147"/>
    <row r="514" ht="15.75" customHeight="1" s="147"/>
    <row r="515" ht="15.75" customHeight="1" s="147"/>
    <row r="516" ht="15.75" customHeight="1" s="147"/>
    <row r="517" ht="15.75" customHeight="1" s="147"/>
    <row r="518" ht="15.75" customHeight="1" s="147"/>
    <row r="519" ht="15.75" customHeight="1" s="147"/>
    <row r="520" ht="15.75" customHeight="1" s="147"/>
    <row r="521" ht="15.75" customHeight="1" s="147"/>
    <row r="522" ht="15.75" customHeight="1" s="147"/>
    <row r="523" ht="15.75" customHeight="1" s="147"/>
    <row r="524" ht="15.75" customHeight="1" s="147"/>
    <row r="525" ht="15.75" customHeight="1" s="147"/>
    <row r="526" ht="15.75" customHeight="1" s="147"/>
    <row r="527" ht="15.75" customHeight="1" s="147"/>
    <row r="528" ht="15.75" customHeight="1" s="147"/>
    <row r="529" ht="15.75" customHeight="1" s="147"/>
    <row r="530" ht="15.75" customHeight="1" s="147"/>
    <row r="531" ht="15.75" customHeight="1" s="147"/>
    <row r="532" ht="15.75" customHeight="1" s="147"/>
    <row r="533" ht="15.75" customHeight="1" s="147"/>
    <row r="534" ht="15.75" customHeight="1" s="147"/>
    <row r="535" ht="15.75" customHeight="1" s="147"/>
    <row r="536" ht="15.75" customHeight="1" s="147"/>
    <row r="537" ht="15.75" customHeight="1" s="147"/>
    <row r="538" ht="15.75" customHeight="1" s="147"/>
    <row r="539" ht="15.75" customHeight="1" s="147"/>
    <row r="540" ht="15.75" customHeight="1" s="147"/>
    <row r="541" ht="15.75" customHeight="1" s="147"/>
    <row r="542" ht="15.75" customHeight="1" s="147"/>
    <row r="543" ht="15.75" customHeight="1" s="147"/>
    <row r="544" ht="15.75" customHeight="1" s="147"/>
    <row r="545" ht="15.75" customHeight="1" s="147"/>
    <row r="546" ht="15.75" customHeight="1" s="147"/>
    <row r="547" ht="15.75" customHeight="1" s="147"/>
    <row r="548" ht="15.75" customHeight="1" s="147"/>
    <row r="549" ht="15.75" customHeight="1" s="147"/>
    <row r="550" ht="15.75" customHeight="1" s="147"/>
    <row r="551" ht="15.75" customHeight="1" s="147"/>
    <row r="552" ht="15.75" customHeight="1" s="147"/>
    <row r="553" ht="15.75" customHeight="1" s="147"/>
    <row r="554" ht="15.75" customHeight="1" s="147"/>
    <row r="555" ht="15.75" customHeight="1" s="147"/>
    <row r="556" ht="15.75" customHeight="1" s="147"/>
    <row r="557" ht="15.75" customHeight="1" s="147"/>
    <row r="558" ht="15.75" customHeight="1" s="147"/>
    <row r="559" ht="15.75" customHeight="1" s="147"/>
    <row r="560" ht="15.75" customHeight="1" s="147"/>
    <row r="561" ht="15.75" customHeight="1" s="147"/>
    <row r="562" ht="15.75" customHeight="1" s="147"/>
    <row r="563" ht="15.75" customHeight="1" s="147"/>
    <row r="564" ht="15.75" customHeight="1" s="147"/>
    <row r="565" ht="15.75" customHeight="1" s="147"/>
    <row r="566" ht="15.75" customHeight="1" s="147"/>
    <row r="567" ht="15.75" customHeight="1" s="147"/>
    <row r="568" ht="15.75" customHeight="1" s="147"/>
    <row r="569" ht="15.75" customHeight="1" s="147"/>
    <row r="570" ht="15.75" customHeight="1" s="147"/>
    <row r="571" ht="15.75" customHeight="1" s="147"/>
    <row r="572" ht="15.75" customHeight="1" s="147"/>
    <row r="573" ht="15.75" customHeight="1" s="147"/>
    <row r="574" ht="15.75" customHeight="1" s="147"/>
    <row r="575" ht="15.75" customHeight="1" s="147"/>
    <row r="576" ht="15.75" customHeight="1" s="147"/>
    <row r="577" ht="15.75" customHeight="1" s="147"/>
    <row r="578" ht="15.75" customHeight="1" s="147"/>
    <row r="579" ht="15.75" customHeight="1" s="147"/>
    <row r="580" ht="15.75" customHeight="1" s="147"/>
    <row r="581" ht="15.75" customHeight="1" s="147"/>
    <row r="582" ht="15.75" customHeight="1" s="147"/>
    <row r="583" ht="15.75" customHeight="1" s="147"/>
    <row r="584" ht="15.75" customHeight="1" s="147"/>
    <row r="585" ht="15.75" customHeight="1" s="147"/>
    <row r="586" ht="15.75" customHeight="1" s="147"/>
    <row r="587" ht="15.75" customHeight="1" s="147"/>
    <row r="588" ht="15.75" customHeight="1" s="147"/>
    <row r="589" ht="15.75" customHeight="1" s="147"/>
    <row r="590" ht="15.75" customHeight="1" s="147"/>
    <row r="591" ht="15.75" customHeight="1" s="147"/>
    <row r="592" ht="15.75" customHeight="1" s="147"/>
    <row r="593" ht="15.75" customHeight="1" s="147"/>
    <row r="594" ht="15.75" customHeight="1" s="147"/>
    <row r="595" ht="15.75" customHeight="1" s="147"/>
    <row r="596" ht="15.75" customHeight="1" s="147"/>
    <row r="597" ht="15.75" customHeight="1" s="147"/>
    <row r="598" ht="15.75" customHeight="1" s="147"/>
    <row r="599" ht="15.75" customHeight="1" s="147"/>
    <row r="600" ht="15.75" customHeight="1" s="147"/>
    <row r="601" ht="15.75" customHeight="1" s="147"/>
    <row r="602" ht="15.75" customHeight="1" s="147"/>
    <row r="603" ht="15.75" customHeight="1" s="147"/>
    <row r="604" ht="15.75" customHeight="1" s="147"/>
    <row r="605" ht="15.75" customHeight="1" s="147"/>
    <row r="606" ht="15.75" customHeight="1" s="147"/>
    <row r="607" ht="15.75" customHeight="1" s="147"/>
    <row r="608" ht="15.75" customHeight="1" s="147"/>
    <row r="609" ht="15.75" customHeight="1" s="147"/>
    <row r="610" ht="15.75" customHeight="1" s="147"/>
    <row r="611" ht="15.75" customHeight="1" s="147"/>
    <row r="612" ht="15.75" customHeight="1" s="147"/>
    <row r="613" ht="15.75" customHeight="1" s="147"/>
    <row r="614" ht="15.75" customHeight="1" s="147"/>
    <row r="615" ht="15.75" customHeight="1" s="147"/>
    <row r="616" ht="15.75" customHeight="1" s="147"/>
    <row r="617" ht="15.75" customHeight="1" s="147"/>
    <row r="618" ht="15.75" customHeight="1" s="147"/>
    <row r="619" ht="15.75" customHeight="1" s="147"/>
    <row r="620" ht="15.75" customHeight="1" s="147"/>
    <row r="621" ht="15.75" customHeight="1" s="147"/>
    <row r="622" ht="15.75" customHeight="1" s="147"/>
    <row r="623" ht="15.75" customHeight="1" s="147"/>
    <row r="624" ht="15.75" customHeight="1" s="147"/>
    <row r="625" ht="15.75" customHeight="1" s="147"/>
    <row r="626" ht="15.75" customHeight="1" s="147"/>
    <row r="627" ht="15.75" customHeight="1" s="147"/>
    <row r="628" ht="15.75" customHeight="1" s="147"/>
    <row r="629" ht="15.75" customHeight="1" s="147"/>
    <row r="630" ht="15.75" customHeight="1" s="147"/>
    <row r="631" ht="15.75" customHeight="1" s="147"/>
    <row r="632" ht="15.75" customHeight="1" s="147"/>
    <row r="633" ht="15.75" customHeight="1" s="147"/>
    <row r="634" ht="15.75" customHeight="1" s="147"/>
    <row r="635" ht="15.75" customHeight="1" s="147"/>
    <row r="636" ht="15.75" customHeight="1" s="147"/>
    <row r="637" ht="15.75" customHeight="1" s="147"/>
    <row r="638" ht="15.75" customHeight="1" s="147"/>
    <row r="639" ht="15.75" customHeight="1" s="147"/>
    <row r="640" ht="15.75" customHeight="1" s="147"/>
    <row r="641" ht="15.75" customHeight="1" s="147"/>
    <row r="642" ht="15.75" customHeight="1" s="147"/>
    <row r="643" ht="15.75" customHeight="1" s="147"/>
    <row r="644" ht="15.75" customHeight="1" s="147"/>
    <row r="645" ht="15.75" customHeight="1" s="147"/>
    <row r="646" ht="15.75" customHeight="1" s="147"/>
    <row r="647" ht="15.75" customHeight="1" s="147"/>
    <row r="648" ht="15.75" customHeight="1" s="147"/>
    <row r="649" ht="15.75" customHeight="1" s="147"/>
    <row r="650" ht="15.75" customHeight="1" s="147"/>
    <row r="651" ht="15.75" customHeight="1" s="147"/>
    <row r="652" ht="15.75" customHeight="1" s="147"/>
    <row r="653" ht="15.75" customHeight="1" s="147"/>
    <row r="654" ht="15.75" customHeight="1" s="147"/>
    <row r="655" ht="15.75" customHeight="1" s="147"/>
    <row r="656" ht="15.75" customHeight="1" s="147"/>
    <row r="657" ht="15.75" customHeight="1" s="147"/>
    <row r="658" ht="15.75" customHeight="1" s="147"/>
    <row r="659" ht="15.75" customHeight="1" s="147"/>
    <row r="660" ht="15.75" customHeight="1" s="147"/>
    <row r="661" ht="15.75" customHeight="1" s="147"/>
    <row r="662" ht="15.75" customHeight="1" s="147"/>
    <row r="663" ht="15.75" customHeight="1" s="147"/>
    <row r="664" ht="15.75" customHeight="1" s="147"/>
    <row r="665" ht="15.75" customHeight="1" s="147"/>
    <row r="666" ht="15.75" customHeight="1" s="147"/>
    <row r="667" ht="15.75" customHeight="1" s="147"/>
    <row r="668" ht="15.75" customHeight="1" s="147"/>
    <row r="669" ht="15.75" customHeight="1" s="147"/>
    <row r="670" ht="15.75" customHeight="1" s="147"/>
    <row r="671" ht="15.75" customHeight="1" s="147"/>
    <row r="672" ht="15.75" customHeight="1" s="147"/>
    <row r="673" ht="15.75" customHeight="1" s="147"/>
    <row r="674" ht="15.75" customHeight="1" s="147"/>
    <row r="675" ht="15.75" customHeight="1" s="147"/>
    <row r="676" ht="15.75" customHeight="1" s="147"/>
    <row r="677" ht="15.75" customHeight="1" s="147"/>
    <row r="678" ht="15.75" customHeight="1" s="147"/>
    <row r="679" ht="15.75" customHeight="1" s="147"/>
    <row r="680" ht="15.75" customHeight="1" s="147"/>
    <row r="681" ht="15.75" customHeight="1" s="147"/>
    <row r="682" ht="15.75" customHeight="1" s="147"/>
    <row r="683" ht="15.75" customHeight="1" s="147"/>
    <row r="684" ht="15.75" customHeight="1" s="147"/>
    <row r="685" ht="15.75" customHeight="1" s="147"/>
    <row r="686" ht="15.75" customHeight="1" s="147"/>
    <row r="687" ht="15.75" customHeight="1" s="147"/>
    <row r="688" ht="15.75" customHeight="1" s="147"/>
    <row r="689" ht="15.75" customHeight="1" s="147"/>
    <row r="690" ht="15.75" customHeight="1" s="147"/>
    <row r="691" ht="15.75" customHeight="1" s="147"/>
    <row r="692" ht="15.75" customHeight="1" s="147"/>
    <row r="693" ht="15.75" customHeight="1" s="147"/>
    <row r="694" ht="15.75" customHeight="1" s="147"/>
    <row r="695" ht="15.75" customHeight="1" s="147"/>
    <row r="696" ht="15.75" customHeight="1" s="147"/>
    <row r="697" ht="15.75" customHeight="1" s="147"/>
    <row r="698" ht="15.75" customHeight="1" s="147"/>
    <row r="699" ht="15.75" customHeight="1" s="147"/>
    <row r="700" ht="15.75" customHeight="1" s="147"/>
    <row r="701" ht="15.75" customHeight="1" s="147"/>
    <row r="702" ht="15.75" customHeight="1" s="147"/>
    <row r="703" ht="15.75" customHeight="1" s="147"/>
    <row r="704" ht="15.75" customHeight="1" s="147"/>
    <row r="705" ht="15.75" customHeight="1" s="147"/>
    <row r="706" ht="15.75" customHeight="1" s="147"/>
    <row r="707" ht="15.75" customHeight="1" s="147"/>
    <row r="708" ht="15.75" customHeight="1" s="147"/>
    <row r="709" ht="15.75" customHeight="1" s="147"/>
    <row r="710" ht="15.75" customHeight="1" s="147"/>
    <row r="711" ht="15.75" customHeight="1" s="147"/>
    <row r="712" ht="15.75" customHeight="1" s="147"/>
    <row r="713" ht="15.75" customHeight="1" s="147"/>
    <row r="714" ht="15.75" customHeight="1" s="147"/>
    <row r="715" ht="15.75" customHeight="1" s="147"/>
    <row r="716" ht="15.75" customHeight="1" s="147"/>
    <row r="717" ht="15.75" customHeight="1" s="147"/>
    <row r="718" ht="15.75" customHeight="1" s="147"/>
    <row r="719" ht="15.75" customHeight="1" s="147"/>
    <row r="720" ht="15.75" customHeight="1" s="147"/>
    <row r="721" ht="15.75" customHeight="1" s="147"/>
    <row r="722" ht="15.75" customHeight="1" s="147"/>
    <row r="723" ht="15.75" customHeight="1" s="147"/>
    <row r="724" ht="15.75" customHeight="1" s="147"/>
    <row r="725" ht="15.75" customHeight="1" s="147"/>
    <row r="726" ht="15.75" customHeight="1" s="147"/>
    <row r="727" ht="15.75" customHeight="1" s="147"/>
    <row r="728" ht="15.75" customHeight="1" s="147"/>
    <row r="729" ht="15.75" customHeight="1" s="147"/>
    <row r="730" ht="15.75" customHeight="1" s="147"/>
    <row r="731" ht="15.75" customHeight="1" s="147"/>
    <row r="732" ht="15.75" customHeight="1" s="147"/>
    <row r="733" ht="15.75" customHeight="1" s="147"/>
    <row r="734" ht="15.75" customHeight="1" s="147"/>
    <row r="735" ht="15.75" customHeight="1" s="147"/>
    <row r="736" ht="15.75" customHeight="1" s="147"/>
    <row r="737" ht="15.75" customHeight="1" s="147"/>
    <row r="738" ht="15.75" customHeight="1" s="147"/>
    <row r="739" ht="15.75" customHeight="1" s="147"/>
    <row r="740" ht="15.75" customHeight="1" s="147"/>
    <row r="741" ht="15.75" customHeight="1" s="147"/>
    <row r="742" ht="15.75" customHeight="1" s="147"/>
    <row r="743" ht="15.75" customHeight="1" s="147"/>
    <row r="744" ht="15.75" customHeight="1" s="147"/>
    <row r="745" ht="15.75" customHeight="1" s="147"/>
    <row r="746" ht="15.75" customHeight="1" s="147"/>
    <row r="747" ht="15.75" customHeight="1" s="147"/>
    <row r="748" ht="15.75" customHeight="1" s="147"/>
    <row r="749" ht="15.75" customHeight="1" s="147"/>
    <row r="750" ht="15.75" customHeight="1" s="147"/>
    <row r="751" ht="15.75" customHeight="1" s="147"/>
    <row r="752" ht="15.75" customHeight="1" s="147"/>
    <row r="753" ht="15.75" customHeight="1" s="147"/>
    <row r="754" ht="15.75" customHeight="1" s="147"/>
    <row r="755" ht="15.75" customHeight="1" s="147"/>
    <row r="756" ht="15.75" customHeight="1" s="147"/>
    <row r="757" ht="15.75" customHeight="1" s="147"/>
    <row r="758" ht="15.75" customHeight="1" s="147"/>
    <row r="759" ht="15.75" customHeight="1" s="147"/>
    <row r="760" ht="15.75" customHeight="1" s="147"/>
    <row r="761" ht="15.75" customHeight="1" s="147"/>
    <row r="762" ht="15.75" customHeight="1" s="147"/>
    <row r="763" ht="15.75" customHeight="1" s="147"/>
    <row r="764" ht="15.75" customHeight="1" s="147"/>
    <row r="765" ht="15.75" customHeight="1" s="147"/>
    <row r="766" ht="15.75" customHeight="1" s="147"/>
    <row r="767" ht="15.75" customHeight="1" s="147"/>
    <row r="768" ht="15.75" customHeight="1" s="147"/>
    <row r="769" ht="15.75" customHeight="1" s="147"/>
    <row r="770" ht="15.75" customHeight="1" s="147"/>
    <row r="771" ht="15.75" customHeight="1" s="147"/>
    <row r="772" ht="15.75" customHeight="1" s="147"/>
    <row r="773" ht="15.75" customHeight="1" s="147"/>
    <row r="774" ht="15.75" customHeight="1" s="147"/>
    <row r="775" ht="15.75" customHeight="1" s="147"/>
    <row r="776" ht="15.75" customHeight="1" s="147"/>
    <row r="777" ht="15.75" customHeight="1" s="147"/>
    <row r="778" ht="15.75" customHeight="1" s="147"/>
    <row r="779" ht="15.75" customHeight="1" s="147"/>
    <row r="780" ht="15.75" customHeight="1" s="147"/>
    <row r="781" ht="15.75" customHeight="1" s="147"/>
    <row r="782" ht="15.75" customHeight="1" s="147"/>
    <row r="783" ht="15.75" customHeight="1" s="147"/>
    <row r="784" ht="15.75" customHeight="1" s="147"/>
    <row r="785" ht="15.75" customHeight="1" s="147"/>
    <row r="786" ht="15.75" customHeight="1" s="147"/>
    <row r="787" ht="15.75" customHeight="1" s="147"/>
    <row r="788" ht="15.75" customHeight="1" s="147"/>
    <row r="789" ht="15.75" customHeight="1" s="147"/>
    <row r="790" ht="15.75" customHeight="1" s="147"/>
    <row r="791" ht="15.75" customHeight="1" s="147"/>
    <row r="792" ht="15.75" customHeight="1" s="147"/>
    <row r="793" ht="15.75" customHeight="1" s="147"/>
    <row r="794" ht="15.75" customHeight="1" s="147"/>
    <row r="795" ht="15.75" customHeight="1" s="147"/>
    <row r="796" ht="15.75" customHeight="1" s="147"/>
    <row r="797" ht="15.75" customHeight="1" s="147"/>
    <row r="798" ht="15.75" customHeight="1" s="147"/>
    <row r="799" ht="15.75" customHeight="1" s="147"/>
    <row r="800" ht="15.75" customHeight="1" s="147"/>
    <row r="801" ht="15.75" customHeight="1" s="147"/>
    <row r="802" ht="15.75" customHeight="1" s="147"/>
    <row r="803" ht="15.75" customHeight="1" s="147"/>
    <row r="804" ht="15.75" customHeight="1" s="147"/>
    <row r="805" ht="15.75" customHeight="1" s="147"/>
    <row r="806" ht="15.75" customHeight="1" s="147"/>
    <row r="807" ht="15.75" customHeight="1" s="147"/>
    <row r="808" ht="15.75" customHeight="1" s="147"/>
    <row r="809" ht="15.75" customHeight="1" s="147"/>
    <row r="810" ht="15.75" customHeight="1" s="147"/>
    <row r="811" ht="15.75" customHeight="1" s="147"/>
    <row r="812" ht="15.75" customHeight="1" s="147"/>
    <row r="813" ht="15.75" customHeight="1" s="147"/>
    <row r="814" ht="15.75" customHeight="1" s="147"/>
    <row r="815" ht="15.75" customHeight="1" s="147"/>
    <row r="816" ht="15.75" customHeight="1" s="147"/>
    <row r="817" ht="15.75" customHeight="1" s="147"/>
    <row r="818" ht="15.75" customHeight="1" s="147"/>
    <row r="819" ht="15.75" customHeight="1" s="147"/>
    <row r="820" ht="15.75" customHeight="1" s="147"/>
    <row r="821" ht="15.75" customHeight="1" s="147"/>
    <row r="822" ht="15.75" customHeight="1" s="147"/>
    <row r="823" ht="15.75" customHeight="1" s="147"/>
    <row r="824" ht="15.75" customHeight="1" s="147"/>
    <row r="825" ht="15.75" customHeight="1" s="147"/>
    <row r="826" ht="15.75" customHeight="1" s="147"/>
    <row r="827" ht="15.75" customHeight="1" s="147"/>
    <row r="828" ht="15.75" customHeight="1" s="147"/>
    <row r="829" ht="15.75" customHeight="1" s="147"/>
    <row r="830" ht="15.75" customHeight="1" s="147"/>
    <row r="831" ht="15.75" customHeight="1" s="147"/>
    <row r="832" ht="15.75" customHeight="1" s="147"/>
    <row r="833" ht="15.75" customHeight="1" s="147"/>
    <row r="834" ht="15.75" customHeight="1" s="147"/>
    <row r="835" ht="15.75" customHeight="1" s="147"/>
    <row r="836" ht="15.75" customHeight="1" s="147"/>
    <row r="837" ht="15.75" customHeight="1" s="147"/>
    <row r="838" ht="15.75" customHeight="1" s="147"/>
    <row r="839" ht="15.75" customHeight="1" s="147"/>
    <row r="840" ht="15.75" customHeight="1" s="147"/>
    <row r="841" ht="15.75" customHeight="1" s="147"/>
    <row r="842" ht="15.75" customHeight="1" s="147"/>
    <row r="843" ht="15.75" customHeight="1" s="147"/>
    <row r="844" ht="15.75" customHeight="1" s="147"/>
    <row r="845" ht="15.75" customHeight="1" s="147"/>
    <row r="846" ht="15.75" customHeight="1" s="147"/>
    <row r="847" ht="15.75" customHeight="1" s="147"/>
    <row r="848" ht="15.75" customHeight="1" s="147"/>
    <row r="849" ht="15.75" customHeight="1" s="147"/>
    <row r="850" ht="15.75" customHeight="1" s="147"/>
    <row r="851" ht="15.75" customHeight="1" s="147"/>
    <row r="852" ht="15.75" customHeight="1" s="147"/>
    <row r="853" ht="15.75" customHeight="1" s="147"/>
    <row r="854" ht="15.75" customHeight="1" s="147"/>
    <row r="855" ht="15.75" customHeight="1" s="147"/>
    <row r="856" ht="15.75" customHeight="1" s="147"/>
    <row r="857" ht="15.75" customHeight="1" s="147"/>
    <row r="858" ht="15.75" customHeight="1" s="147"/>
    <row r="859" ht="15.75" customHeight="1" s="147"/>
    <row r="860" ht="15.75" customHeight="1" s="147"/>
    <row r="861" ht="15.75" customHeight="1" s="147"/>
    <row r="862" ht="15.75" customHeight="1" s="147"/>
    <row r="863" ht="15.75" customHeight="1" s="147"/>
    <row r="864" ht="15.75" customHeight="1" s="147"/>
    <row r="865" ht="15.75" customHeight="1" s="147"/>
    <row r="866" ht="15.75" customHeight="1" s="147"/>
    <row r="867" ht="15.75" customHeight="1" s="147"/>
    <row r="868" ht="15.75" customHeight="1" s="147"/>
    <row r="869" ht="15.75" customHeight="1" s="147"/>
    <row r="870" ht="15.75" customHeight="1" s="147"/>
    <row r="871" ht="15.75" customHeight="1" s="147"/>
    <row r="872" ht="15.75" customHeight="1" s="147"/>
    <row r="873" ht="15.75" customHeight="1" s="147"/>
    <row r="874" ht="15.75" customHeight="1" s="147"/>
    <row r="875" ht="15.75" customHeight="1" s="147"/>
    <row r="876" ht="15.75" customHeight="1" s="147"/>
    <row r="877" ht="15.75" customHeight="1" s="147"/>
    <row r="878" ht="15.75" customHeight="1" s="147"/>
    <row r="879" ht="15.75" customHeight="1" s="147"/>
    <row r="880" ht="15.75" customHeight="1" s="147"/>
    <row r="881" ht="15.75" customHeight="1" s="147"/>
    <row r="882" ht="15.75" customHeight="1" s="147"/>
    <row r="883" ht="15.75" customHeight="1" s="147"/>
    <row r="884" ht="15.75" customHeight="1" s="147"/>
    <row r="885" ht="15.75" customHeight="1" s="147"/>
    <row r="886" ht="15.75" customHeight="1" s="147"/>
    <row r="887" ht="15.75" customHeight="1" s="147"/>
    <row r="888" ht="15.75" customHeight="1" s="147"/>
    <row r="889" ht="15.75" customHeight="1" s="147"/>
    <row r="890" ht="15.75" customHeight="1" s="147"/>
    <row r="891" ht="15.75" customHeight="1" s="147"/>
    <row r="892" ht="15.75" customHeight="1" s="147"/>
    <row r="893" ht="15.75" customHeight="1" s="147"/>
    <row r="894" ht="15.75" customHeight="1" s="147"/>
    <row r="895" ht="15.75" customHeight="1" s="147"/>
    <row r="896" ht="15.75" customHeight="1" s="147"/>
    <row r="897" ht="15.75" customHeight="1" s="147"/>
    <row r="898" ht="15.75" customHeight="1" s="147"/>
    <row r="899" ht="15.75" customHeight="1" s="147"/>
    <row r="900" ht="15.75" customHeight="1" s="147"/>
    <row r="901" ht="15.75" customHeight="1" s="147"/>
    <row r="902" ht="15.75" customHeight="1" s="147"/>
    <row r="903" ht="15.75" customHeight="1" s="147"/>
    <row r="904" ht="15.75" customHeight="1" s="147"/>
    <row r="905" ht="15.75" customHeight="1" s="147"/>
    <row r="906" ht="15.75" customHeight="1" s="147"/>
    <row r="907" ht="15.75" customHeight="1" s="147"/>
    <row r="908" ht="15.75" customHeight="1" s="147"/>
    <row r="909" ht="15.75" customHeight="1" s="147"/>
    <row r="910" ht="15.75" customHeight="1" s="147"/>
    <row r="911" ht="15.75" customHeight="1" s="147"/>
    <row r="912" ht="15.75" customHeight="1" s="147"/>
    <row r="913" ht="15.75" customHeight="1" s="147"/>
    <row r="914" ht="15.75" customHeight="1" s="147"/>
    <row r="915" ht="15.75" customHeight="1" s="147"/>
    <row r="916" ht="15.75" customHeight="1" s="147"/>
    <row r="917" ht="15.75" customHeight="1" s="147"/>
    <row r="918" ht="15.75" customHeight="1" s="147"/>
    <row r="919" ht="15.75" customHeight="1" s="147"/>
    <row r="920" ht="15.75" customHeight="1" s="147"/>
    <row r="921" ht="15.75" customHeight="1" s="147"/>
    <row r="922" ht="15.75" customHeight="1" s="147"/>
    <row r="923" ht="15.75" customHeight="1" s="147"/>
    <row r="924" ht="15.75" customHeight="1" s="147"/>
    <row r="925" ht="15.75" customHeight="1" s="147"/>
    <row r="926" ht="15.75" customHeight="1" s="147"/>
    <row r="927" ht="15.75" customHeight="1" s="147"/>
    <row r="928" ht="15.75" customHeight="1" s="147"/>
    <row r="929" ht="15.75" customHeight="1" s="147"/>
    <row r="930" ht="15.75" customHeight="1" s="147"/>
    <row r="931" ht="15.75" customHeight="1" s="147"/>
    <row r="932" ht="15.75" customHeight="1" s="147"/>
    <row r="933" ht="15.75" customHeight="1" s="147"/>
    <row r="934" ht="15.75" customHeight="1" s="147"/>
    <row r="935" ht="15.75" customHeight="1" s="147"/>
    <row r="936" ht="15.75" customHeight="1" s="147"/>
    <row r="937" ht="15.75" customHeight="1" s="147"/>
    <row r="938" ht="15.75" customHeight="1" s="147"/>
    <row r="939" ht="15.75" customHeight="1" s="147"/>
    <row r="940" ht="15.75" customHeight="1" s="147"/>
    <row r="941" ht="15.75" customHeight="1" s="147"/>
    <row r="942" ht="15.75" customHeight="1" s="147"/>
    <row r="943" ht="15.75" customHeight="1" s="147"/>
    <row r="944" ht="15.75" customHeight="1" s="147"/>
    <row r="945" ht="15.75" customHeight="1" s="147"/>
    <row r="946" ht="15.75" customHeight="1" s="147"/>
    <row r="947" ht="15.75" customHeight="1" s="147"/>
    <row r="948" ht="15.75" customHeight="1" s="147"/>
    <row r="949" ht="15.75" customHeight="1" s="147"/>
    <row r="950" ht="15.75" customHeight="1" s="147"/>
    <row r="951" ht="15.75" customHeight="1" s="147"/>
    <row r="952" ht="15.75" customHeight="1" s="147"/>
    <row r="953" ht="15.75" customHeight="1" s="147"/>
    <row r="954" ht="15.75" customHeight="1" s="147"/>
    <row r="955" ht="15.75" customHeight="1" s="147"/>
    <row r="956" ht="15.75" customHeight="1" s="147"/>
    <row r="957" ht="15.75" customHeight="1" s="147"/>
    <row r="958" ht="15.75" customHeight="1" s="147"/>
    <row r="959" ht="15.75" customHeight="1" s="147"/>
    <row r="960" ht="15.75" customHeight="1" s="147"/>
    <row r="961" ht="15.75" customHeight="1" s="147"/>
    <row r="962" ht="15.75" customHeight="1" s="147"/>
    <row r="963" ht="15.75" customHeight="1" s="147"/>
    <row r="964" ht="15.75" customHeight="1" s="147"/>
    <row r="965" ht="15.75" customHeight="1" s="147"/>
    <row r="966" ht="15.75" customHeight="1" s="147"/>
    <row r="967" ht="15.75" customHeight="1" s="147"/>
    <row r="968" ht="15.75" customHeight="1" s="147"/>
    <row r="969" ht="15.75" customHeight="1" s="147"/>
    <row r="970" ht="15.75" customHeight="1" s="147"/>
    <row r="971" ht="15.75" customHeight="1" s="147"/>
    <row r="972" ht="15.75" customHeight="1" s="147"/>
    <row r="973" ht="15.75" customHeight="1" s="147"/>
    <row r="974" ht="15.75" customHeight="1" s="147"/>
    <row r="975" ht="15.75" customHeight="1" s="147"/>
    <row r="976" ht="15.75" customHeight="1" s="147"/>
    <row r="977" ht="15.75" customHeight="1" s="147"/>
    <row r="978" ht="15.75" customHeight="1" s="147"/>
    <row r="979" ht="15.75" customHeight="1" s="147"/>
    <row r="980" ht="15.75" customHeight="1" s="147"/>
    <row r="981" ht="15.75" customHeight="1" s="147"/>
    <row r="982" ht="15.75" customHeight="1" s="147"/>
    <row r="983" ht="15.75" customHeight="1" s="147"/>
    <row r="984" ht="15.75" customHeight="1" s="147"/>
    <row r="985" ht="15.75" customHeight="1" s="147"/>
    <row r="986" ht="15.75" customHeight="1" s="147"/>
    <row r="987" ht="15.75" customHeight="1" s="147"/>
    <row r="988" ht="15.75" customHeight="1" s="147"/>
    <row r="989" ht="15.75" customHeight="1" s="147"/>
    <row r="990" ht="15.75" customHeight="1" s="147"/>
    <row r="991" ht="15.75" customHeight="1" s="147"/>
    <row r="992" ht="15.75" customHeight="1" s="147"/>
    <row r="993" ht="15.75" customHeight="1" s="147"/>
    <row r="994" ht="15.75" customHeight="1" s="147"/>
    <row r="995" ht="15.75" customHeight="1" s="147"/>
    <row r="996" ht="15.75" customHeight="1" s="147"/>
    <row r="997" ht="15.75" customHeight="1" s="147"/>
    <row r="998" ht="15.75" customHeight="1" s="147"/>
    <row r="999" ht="15.75" customHeight="1" s="147"/>
    <row r="1000" ht="15.75" customHeight="1" s="147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52" customWidth="1" style="146" min="1" max="1"/>
    <col width="15" customWidth="1" style="146" min="2" max="5"/>
    <col width="13" customWidth="1" style="146" min="6" max="6"/>
    <col width="8.57" customWidth="1" style="146" min="7" max="22"/>
  </cols>
  <sheetData>
    <row r="1" ht="17.35" customHeight="1" s="147">
      <c r="A1" s="250" t="inlineStr">
        <is>
          <t xml:space="preserve">CONTROLS </t>
        </is>
      </c>
    </row>
    <row r="2" ht="15" customHeight="1" s="147">
      <c r="A2" s="251" t="n"/>
    </row>
    <row r="3" ht="15" customHeight="1" s="147">
      <c r="A3" s="152" t="inlineStr">
        <is>
          <t>1. PRICING BANDS</t>
        </is>
      </c>
    </row>
    <row r="4" ht="22.35" customHeight="1" s="147">
      <c r="A4" s="236" t="inlineStr">
        <is>
          <t>Score &gt;=</t>
        </is>
      </c>
      <c r="B4" s="236" t="inlineStr">
        <is>
          <t>Term cap (daily pmts)</t>
        </is>
      </c>
      <c r="C4" s="236" t="inlineStr">
        <is>
          <t>Factor</t>
        </is>
      </c>
      <c r="D4" s="236" t="n"/>
      <c r="E4" s="236" t="n"/>
      <c r="F4" s="236" t="n"/>
    </row>
    <row r="5" ht="15" customHeight="1" s="147">
      <c r="A5" s="271" t="n">
        <v>0</v>
      </c>
      <c r="B5" s="272" t="n">
        <v>100</v>
      </c>
      <c r="C5" s="273" t="n">
        <v>1.49</v>
      </c>
      <c r="D5" s="274" t="n"/>
      <c r="E5" s="275" t="n"/>
    </row>
    <row r="6" ht="15" customHeight="1" s="147">
      <c r="A6" s="271" t="n">
        <v>5</v>
      </c>
      <c r="B6" s="272" t="n">
        <v>130</v>
      </c>
      <c r="C6" s="273" t="n">
        <v>1.45</v>
      </c>
      <c r="D6" s="274" t="n"/>
      <c r="E6" s="276" t="n"/>
    </row>
    <row r="7" ht="15" customHeight="1" s="147">
      <c r="A7" s="271" t="n">
        <v>6</v>
      </c>
      <c r="B7" s="272" t="n">
        <v>150</v>
      </c>
      <c r="C7" s="273" t="n">
        <v>1.45</v>
      </c>
      <c r="D7" s="274" t="n"/>
      <c r="E7" s="276" t="n"/>
    </row>
    <row r="8" ht="15" customHeight="1" s="147">
      <c r="A8" s="271" t="n">
        <v>7</v>
      </c>
      <c r="B8" s="272" t="n">
        <v>195</v>
      </c>
      <c r="C8" s="273" t="n">
        <v>1.4</v>
      </c>
      <c r="D8" s="273" t="n"/>
      <c r="E8" s="276" t="n"/>
    </row>
    <row r="9" ht="15" customHeight="1" s="147">
      <c r="A9" s="252" t="inlineStr">
        <is>
          <t>Max term (months)</t>
        </is>
      </c>
      <c r="B9" s="272" t="n">
        <v>9</v>
      </c>
      <c r="C9" s="272" t="n"/>
      <c r="D9" s="272" t="n"/>
      <c r="E9" s="276" t="n"/>
    </row>
    <row r="10" ht="15" customHeight="1" s="147">
      <c r="A10" s="159" t="n"/>
      <c r="B10" s="274" t="n"/>
      <c r="C10" s="274" t="n"/>
      <c r="D10" s="274" t="n"/>
      <c r="E10" s="276" t="n"/>
    </row>
    <row r="11" ht="15" customHeight="1" s="147">
      <c r="A11" s="277" t="inlineStr">
        <is>
          <t>2. CONVERSION CONSTANTS</t>
        </is>
      </c>
      <c r="B11" s="237" t="n"/>
      <c r="C11" s="237" t="n"/>
      <c r="D11" s="176" t="n"/>
      <c r="E11" s="276" t="n"/>
    </row>
    <row r="12" ht="15" customHeight="1" s="147">
      <c r="A12" s="252" t="inlineStr">
        <is>
          <t>Weeks per month (ours)</t>
        </is>
      </c>
      <c r="B12" s="278" t="n">
        <v>4.331</v>
      </c>
      <c r="C12" s="272" t="n"/>
      <c r="D12" s="272" t="n"/>
      <c r="E12" s="276" t="n"/>
    </row>
    <row r="13" ht="15" customHeight="1" s="147">
      <c r="A13" s="252" t="inlineStr">
        <is>
          <t>Business days per month (ours)</t>
        </is>
      </c>
      <c r="B13" s="278" t="n">
        <v>21.655</v>
      </c>
    </row>
    <row r="14" ht="15" customHeight="1" s="147">
      <c r="A14" s="252" t="inlineStr">
        <is>
          <t>MoneyBadger weeks per month</t>
        </is>
      </c>
      <c r="B14" s="272" t="n">
        <v>4</v>
      </c>
    </row>
    <row r="15" ht="15" customHeight="1" s="147">
      <c r="A15" s="252" t="inlineStr">
        <is>
          <t>MoneyBadger business days per month</t>
        </is>
      </c>
      <c r="B15" s="272" t="n">
        <v>21</v>
      </c>
    </row>
    <row r="16" ht="15" customHeight="1" s="147">
      <c r="A16" s="252" t="inlineStr">
        <is>
          <t>Calendar days per month</t>
        </is>
      </c>
      <c r="B16" s="279" t="n">
        <v>30.4375</v>
      </c>
    </row>
    <row r="17" ht="15" customHeight="1" s="147">
      <c r="A17" s="280" t="inlineStr">
        <is>
          <t>Assumed factor on existing positions</t>
        </is>
      </c>
      <c r="B17" s="273" t="n">
        <v>1.45</v>
      </c>
    </row>
    <row r="18" ht="15" customHeight="1" s="147">
      <c r="A18" s="236" t="n"/>
      <c r="B18" s="236" t="n"/>
      <c r="C18" s="236" t="n"/>
      <c r="D18" s="236" t="n"/>
      <c r="E18" s="236" t="n"/>
      <c r="F18" s="236" t="n"/>
    </row>
    <row r="19" ht="15" customHeight="1" s="147">
      <c r="A19" s="281" t="inlineStr">
        <is>
          <t>3. HISTORICAL EVIDENCE SETTINGS</t>
        </is>
      </c>
      <c r="B19" s="282" t="n"/>
      <c r="C19" s="282" t="n"/>
      <c r="D19" s="283" t="n"/>
    </row>
    <row r="20" ht="15" customHeight="1" s="147">
      <c r="A20" s="284" t="inlineStr">
        <is>
          <t>As-of date (date of the CRM export)</t>
        </is>
      </c>
      <c r="B20" s="285" t="n">
        <v>46259</v>
      </c>
      <c r="C20" s="273" t="n"/>
    </row>
    <row r="21" ht="15" customHeight="1" s="147">
      <c r="A21" s="284" t="inlineStr">
        <is>
          <t>Window: funded on or after</t>
        </is>
      </c>
      <c r="B21" s="285" t="n">
        <v>45597</v>
      </c>
      <c r="C21" s="273" t="n"/>
    </row>
    <row r="22" ht="15" customHeight="1" s="147">
      <c r="A22" s="284" t="inlineStr">
        <is>
          <t>Window: funded on or before</t>
        </is>
      </c>
      <c r="B22" s="285" t="n">
        <v>46259</v>
      </c>
      <c r="C22" s="273" t="n"/>
    </row>
    <row r="23" ht="15" customHeight="1" s="147">
      <c r="A23" s="252" t="inlineStr">
        <is>
          <t>Seasoning multiple (age &gt;= multiple x term)</t>
        </is>
      </c>
      <c r="B23" s="273" t="n">
        <v>1.25</v>
      </c>
    </row>
    <row r="24" ht="15" customHeight="1" s="147">
      <c r="A24" s="252" t="inlineStr">
        <is>
          <t>Minimum seasoned deals for a cohort to be primary</t>
        </is>
      </c>
      <c r="B24" s="272" t="n">
        <v>3</v>
      </c>
      <c r="C24" s="273" t="n"/>
      <c r="D24" s="273" t="n"/>
    </row>
    <row r="25" ht="15" customHeight="1" s="147">
      <c r="A25" s="252" t="inlineStr">
        <is>
          <t>Minimum seasoned funded $ for a cohort to be primary</t>
        </is>
      </c>
      <c r="B25" s="286" t="n">
        <v>30000</v>
      </c>
      <c r="C25" s="271" t="n"/>
      <c r="D25" s="271" t="n"/>
    </row>
    <row r="26" ht="15" customHeight="1" s="147">
      <c r="A26" s="252" t="inlineStr">
        <is>
          <t>Seasoned deals for the sample-size indicator to be GREEN</t>
        </is>
      </c>
      <c r="B26" s="272" t="n">
        <v>5</v>
      </c>
    </row>
    <row r="27" ht="15" customHeight="1" s="147">
      <c r="A27" s="152" t="n"/>
    </row>
    <row r="28" ht="15" customHeight="1" s="147">
      <c r="A28" s="277" t="inlineStr">
        <is>
          <t>4. HOUSE-BOOK OUTCOME   (index = primary cohort PLR / seasoned-book PLR)</t>
        </is>
      </c>
      <c r="B28" s="237" t="n"/>
      <c r="C28" s="237" t="n"/>
      <c r="D28" s="176" t="n"/>
    </row>
    <row r="29" ht="15" customHeight="1" s="147">
      <c r="A29" s="252" t="inlineStr">
        <is>
          <t>SUPPORTIVE when index at or below</t>
        </is>
      </c>
      <c r="B29" s="273" t="n">
        <v>0.85</v>
      </c>
    </row>
    <row r="30" ht="15" customHeight="1" s="147">
      <c r="A30" s="252" t="inlineStr">
        <is>
          <t>NEGATIVE when index above</t>
        </is>
      </c>
      <c r="B30" s="273" t="n">
        <v>1.15</v>
      </c>
    </row>
    <row r="31" ht="15" customHeight="1" s="147">
      <c r="A31" s="252" t="inlineStr">
        <is>
          <t>Supportive: sizing flex (0 = green line, 1 = red line)</t>
        </is>
      </c>
      <c r="B31" s="287" t="n">
        <v>0.5</v>
      </c>
    </row>
    <row r="32" ht="15" customHeight="1" s="147">
      <c r="A32" s="252" t="inlineStr">
        <is>
          <t>Negative: fund cut % (Section F, planned)</t>
        </is>
      </c>
      <c r="B32" s="287" t="n">
        <v>0.2</v>
      </c>
    </row>
    <row r="33" ht="15" customHeight="1" s="147">
      <c r="A33" s="159" t="n"/>
      <c r="B33" s="273" t="n"/>
    </row>
    <row r="34" ht="15" customHeight="1" s="147">
      <c r="A34" s="152" t="inlineStr">
        <is>
          <t>5. STATUS</t>
        </is>
      </c>
    </row>
    <row r="35" ht="15" customHeight="1" s="147">
      <c r="A35" s="236" t="inlineStr">
        <is>
          <t>Status</t>
        </is>
      </c>
      <c r="B35" s="236" t="inlineStr">
        <is>
          <t>Default?</t>
        </is>
      </c>
      <c r="C35" s="236" t="inlineStr">
        <is>
          <t>Resolved?</t>
        </is>
      </c>
      <c r="D35" s="236" t="inlineStr">
        <is>
          <t>Closed?</t>
        </is>
      </c>
      <c r="E35" s="236" t="inlineStr">
        <is>
          <t>Open?</t>
        </is>
      </c>
      <c r="F35" s="236" t="inlineStr">
        <is>
          <t>Deals in file</t>
        </is>
      </c>
    </row>
    <row r="36" ht="15" customHeight="1" s="147">
      <c r="A36" s="252" t="inlineStr">
        <is>
          <t>Closed</t>
        </is>
      </c>
      <c r="B36" s="285" t="inlineStr">
        <is>
          <t>No</t>
        </is>
      </c>
      <c r="C36" s="288" t="inlineStr">
        <is>
          <t>Yes</t>
        </is>
      </c>
      <c r="D36" s="288" t="inlineStr">
        <is>
          <t>Yes</t>
        </is>
      </c>
      <c r="E36" s="288" t="inlineStr">
        <is>
          <t>No</t>
        </is>
      </c>
      <c r="F36" s="253">
        <f>COUNTIF('Historical Data'!$D$2:$D$9,A36)</f>
        <v/>
      </c>
    </row>
    <row r="37" ht="15" customHeight="1" s="147">
      <c r="A37" s="252" t="inlineStr">
        <is>
          <t>Open</t>
        </is>
      </c>
      <c r="B37" s="285" t="inlineStr">
        <is>
          <t>No</t>
        </is>
      </c>
      <c r="C37" s="288" t="inlineStr">
        <is>
          <t>No</t>
        </is>
      </c>
      <c r="D37" s="288" t="inlineStr">
        <is>
          <t>No</t>
        </is>
      </c>
      <c r="E37" s="288" t="inlineStr">
        <is>
          <t>Yes</t>
        </is>
      </c>
      <c r="F37" s="253">
        <f>COUNTIF('Historical Data'!$D$2:$D$9,A37)</f>
        <v/>
      </c>
    </row>
    <row r="38" ht="15" customHeight="1" s="147">
      <c r="A38" s="252" t="inlineStr">
        <is>
          <t>Legal</t>
        </is>
      </c>
      <c r="B38" s="285" t="inlineStr">
        <is>
          <t>Yes</t>
        </is>
      </c>
      <c r="C38" s="288" t="inlineStr">
        <is>
          <t>No</t>
        </is>
      </c>
      <c r="D38" s="288" t="inlineStr">
        <is>
          <t>No</t>
        </is>
      </c>
      <c r="E38" s="288" t="inlineStr">
        <is>
          <t>No</t>
        </is>
      </c>
      <c r="F38" s="253">
        <f>COUNTIF('Historical Data'!$D$2:$D$9,A38)</f>
        <v/>
      </c>
    </row>
    <row r="39" ht="15" customHeight="1" s="147">
      <c r="A39" s="252" t="inlineStr">
        <is>
          <t>In House Collection</t>
        </is>
      </c>
      <c r="B39" s="273" t="inlineStr">
        <is>
          <t>Yes</t>
        </is>
      </c>
      <c r="C39" s="288" t="inlineStr">
        <is>
          <t>No</t>
        </is>
      </c>
      <c r="D39" s="288" t="inlineStr">
        <is>
          <t>No</t>
        </is>
      </c>
      <c r="E39" s="288" t="inlineStr">
        <is>
          <t>No</t>
        </is>
      </c>
      <c r="F39" s="253">
        <f>COUNTIF('Historical Data'!$D$2:$D$9,A39)</f>
        <v/>
      </c>
    </row>
    <row r="40" ht="15" customHeight="1" s="147">
      <c r="A40" s="252" t="inlineStr">
        <is>
          <t>Lowered Payments</t>
        </is>
      </c>
      <c r="B40" s="272" t="inlineStr">
        <is>
          <t>No</t>
        </is>
      </c>
      <c r="C40" s="288" t="inlineStr">
        <is>
          <t>No</t>
        </is>
      </c>
      <c r="D40" s="288" t="inlineStr">
        <is>
          <t>No</t>
        </is>
      </c>
      <c r="E40" s="288" t="inlineStr">
        <is>
          <t>No</t>
        </is>
      </c>
      <c r="F40" s="253">
        <f>COUNTIF('Historical Data'!$D$2:$D$9,A40)</f>
        <v/>
      </c>
    </row>
    <row r="41" ht="15" customHeight="1" s="147">
      <c r="A41" s="252" t="inlineStr">
        <is>
          <t>Written-Off</t>
        </is>
      </c>
      <c r="B41" s="286" t="inlineStr">
        <is>
          <t>Yes</t>
        </is>
      </c>
      <c r="C41" s="288" t="inlineStr">
        <is>
          <t>Yes</t>
        </is>
      </c>
      <c r="D41" s="288" t="inlineStr">
        <is>
          <t>No</t>
        </is>
      </c>
      <c r="E41" s="288" t="inlineStr">
        <is>
          <t>No</t>
        </is>
      </c>
      <c r="F41" s="253">
        <f>COUNTIF('Historical Data'!$D$2:$D$9,A41)</f>
        <v/>
      </c>
    </row>
    <row r="42" ht="15" customHeight="1" s="147">
      <c r="A42" s="252" t="inlineStr">
        <is>
          <t>Bankruptcy</t>
        </is>
      </c>
      <c r="B42" s="272" t="inlineStr">
        <is>
          <t>Yes</t>
        </is>
      </c>
      <c r="C42" s="288" t="inlineStr">
        <is>
          <t>Yes</t>
        </is>
      </c>
      <c r="D42" s="288" t="inlineStr">
        <is>
          <t>No</t>
        </is>
      </c>
      <c r="E42" s="288" t="inlineStr">
        <is>
          <t>No</t>
        </is>
      </c>
      <c r="F42" s="253">
        <f>COUNTIF('Historical Data'!$D$2:$D$9,A42)</f>
        <v/>
      </c>
    </row>
    <row r="43" ht="15" customHeight="1" s="147">
      <c r="A43" s="252" t="inlineStr">
        <is>
          <t>Settlement Agreement</t>
        </is>
      </c>
      <c r="B43" s="272" t="inlineStr">
        <is>
          <t>Yes</t>
        </is>
      </c>
      <c r="C43" s="288" t="inlineStr">
        <is>
          <t>Yes</t>
        </is>
      </c>
      <c r="D43" s="288" t="inlineStr">
        <is>
          <t>No</t>
        </is>
      </c>
      <c r="E43" s="288" t="inlineStr">
        <is>
          <t>No</t>
        </is>
      </c>
      <c r="F43" s="253">
        <f>COUNTIF('Historical Data'!$D$2:$D$9,A43)</f>
        <v/>
      </c>
    </row>
    <row r="44" ht="15" customHeight="1" s="147">
      <c r="A44" s="252" t="inlineStr">
        <is>
          <t>Closed/NSF</t>
        </is>
      </c>
      <c r="B44" s="272" t="inlineStr">
        <is>
          <t>No</t>
        </is>
      </c>
      <c r="C44" s="288" t="inlineStr">
        <is>
          <t>Yes</t>
        </is>
      </c>
      <c r="D44" s="288" t="inlineStr">
        <is>
          <t>Yes</t>
        </is>
      </c>
      <c r="E44" s="288" t="inlineStr">
        <is>
          <t>No</t>
        </is>
      </c>
      <c r="F44" s="253">
        <f>COUNTIF('Historical Data'!$D$2:$D$9,A44)</f>
        <v/>
      </c>
    </row>
    <row r="45" ht="15" customHeight="1" s="147">
      <c r="A45" s="252" t="inlineStr">
        <is>
          <t>Closed/NSF Unpaid</t>
        </is>
      </c>
      <c r="B45" s="288" t="inlineStr">
        <is>
          <t>No</t>
        </is>
      </c>
      <c r="C45" s="288" t="inlineStr">
        <is>
          <t>Yes</t>
        </is>
      </c>
      <c r="D45" s="288" t="inlineStr">
        <is>
          <t>Yes</t>
        </is>
      </c>
      <c r="E45" s="288" t="inlineStr">
        <is>
          <t>No</t>
        </is>
      </c>
      <c r="F45" s="253">
        <f>COUNTIF('Historical Data'!$D$2:$D$9,A45)</f>
        <v/>
      </c>
    </row>
    <row r="46" ht="15" customHeight="1" s="147">
      <c r="A46" s="252" t="inlineStr">
        <is>
          <t>At-Risk</t>
        </is>
      </c>
      <c r="B46" s="288" t="inlineStr">
        <is>
          <t>Yes</t>
        </is>
      </c>
      <c r="C46" s="288" t="inlineStr">
        <is>
          <t>No</t>
        </is>
      </c>
      <c r="D46" s="288" t="inlineStr">
        <is>
          <t>No</t>
        </is>
      </c>
      <c r="E46" s="288" t="inlineStr">
        <is>
          <t>No</t>
        </is>
      </c>
      <c r="F46" s="253">
        <f>COUNTIF('Historical Data'!$D$2:$D$9,A46)</f>
        <v/>
      </c>
    </row>
    <row r="47" ht="15" customHeight="1" s="147">
      <c r="A47" s="152" t="n"/>
    </row>
    <row r="48" ht="15" customHeight="1" s="147">
      <c r="A48" s="236" t="n"/>
      <c r="B48" s="236" t="n"/>
      <c r="C48" s="236" t="n"/>
      <c r="D48" s="236" t="n"/>
      <c r="E48" s="236" t="n"/>
      <c r="F48" s="236" t="n"/>
    </row>
    <row r="49" ht="15" customHeight="1" s="147">
      <c r="A49" s="159" t="n"/>
      <c r="B49" s="289" t="n"/>
    </row>
    <row r="50" ht="15" customHeight="1" s="147">
      <c r="A50" s="159" t="n"/>
      <c r="B50" s="289" t="n"/>
    </row>
    <row r="51" ht="15" customHeight="1" s="147">
      <c r="A51" s="159" t="n"/>
      <c r="B51" s="290" t="n"/>
    </row>
    <row r="52" ht="15" customHeight="1" s="147">
      <c r="A52" s="159" t="n"/>
      <c r="B52" s="290" t="n"/>
    </row>
    <row r="53" ht="15" customHeight="1" s="147"/>
    <row r="54" ht="15" customHeight="1" s="147">
      <c r="A54" s="251" t="n"/>
    </row>
    <row r="55" ht="15" customHeight="1" s="147"/>
    <row r="56" ht="15" customHeight="1" s="147"/>
    <row r="57" ht="15" customHeight="1" s="147">
      <c r="A57" s="152" t="n"/>
    </row>
    <row r="58" ht="15" customHeight="1" s="147">
      <c r="A58" s="236" t="n"/>
      <c r="B58" s="236" t="n"/>
      <c r="C58" s="236" t="n"/>
      <c r="D58" s="236" t="n"/>
      <c r="E58" s="236" t="n"/>
      <c r="F58" s="236" t="n"/>
    </row>
    <row r="59" ht="15" customHeight="1" s="147">
      <c r="A59" s="159" t="n"/>
      <c r="B59" s="288" t="n"/>
      <c r="C59" s="288" t="n"/>
      <c r="D59" s="288" t="n"/>
      <c r="E59" s="288" t="n"/>
      <c r="F59" s="291" t="n"/>
    </row>
    <row r="60" ht="15" customHeight="1" s="147">
      <c r="A60" s="159" t="n"/>
      <c r="B60" s="288" t="n"/>
      <c r="C60" s="288" t="n"/>
      <c r="D60" s="288" t="n"/>
      <c r="E60" s="288" t="n"/>
      <c r="F60" s="291" t="n"/>
    </row>
    <row r="61" ht="15" customHeight="1" s="147">
      <c r="A61" s="159" t="n"/>
      <c r="B61" s="288" t="n"/>
      <c r="C61" s="288" t="n"/>
      <c r="D61" s="288" t="n"/>
      <c r="E61" s="288" t="n"/>
      <c r="F61" s="291" t="n"/>
    </row>
    <row r="62" ht="15" customHeight="1" s="147">
      <c r="A62" s="159" t="n"/>
      <c r="B62" s="288" t="n"/>
      <c r="C62" s="288" t="n"/>
      <c r="D62" s="288" t="n"/>
      <c r="E62" s="288" t="n"/>
      <c r="F62" s="291" t="n"/>
    </row>
    <row r="63" ht="15" customHeight="1" s="147">
      <c r="A63" s="159" t="n"/>
      <c r="B63" s="288" t="n"/>
      <c r="C63" s="288" t="n"/>
      <c r="D63" s="288" t="n"/>
      <c r="E63" s="288" t="n"/>
      <c r="F63" s="291" t="n"/>
    </row>
    <row r="64" ht="15" customHeight="1" s="147">
      <c r="A64" s="159" t="n"/>
      <c r="B64" s="288" t="n"/>
      <c r="C64" s="288" t="n"/>
      <c r="D64" s="288" t="n"/>
      <c r="E64" s="288" t="n"/>
      <c r="F64" s="291" t="n"/>
    </row>
    <row r="65" ht="15" customHeight="1" s="147">
      <c r="A65" s="159" t="n"/>
      <c r="B65" s="288" t="n"/>
      <c r="C65" s="288" t="n"/>
      <c r="D65" s="288" t="n"/>
      <c r="E65" s="288" t="n"/>
      <c r="F65" s="291" t="n"/>
    </row>
    <row r="66" ht="15" customHeight="1" s="147">
      <c r="A66" s="159" t="n"/>
      <c r="B66" s="288" t="n"/>
      <c r="C66" s="288" t="n"/>
      <c r="D66" s="288" t="n"/>
      <c r="E66" s="288" t="n"/>
      <c r="F66" s="291" t="n"/>
    </row>
    <row r="67" ht="15" customHeight="1" s="147">
      <c r="A67" s="159" t="n"/>
      <c r="B67" s="288" t="n"/>
      <c r="C67" s="288" t="n"/>
      <c r="D67" s="288" t="n"/>
      <c r="E67" s="288" t="n"/>
      <c r="F67" s="291" t="n"/>
    </row>
    <row r="68" ht="15" customHeight="1" s="147">
      <c r="A68" s="159" t="n"/>
      <c r="B68" s="288" t="n"/>
      <c r="C68" s="288" t="n"/>
      <c r="D68" s="288" t="n"/>
      <c r="E68" s="288" t="n"/>
      <c r="F68" s="291" t="n"/>
    </row>
    <row r="69" ht="15" customHeight="1" s="147">
      <c r="A69" s="159" t="n"/>
      <c r="B69" s="288" t="n"/>
      <c r="C69" s="288" t="n"/>
      <c r="D69" s="288" t="n"/>
      <c r="E69" s="288" t="n"/>
      <c r="F69" s="291" t="n"/>
    </row>
    <row r="70" ht="15" customHeight="1" s="147"/>
    <row r="71" ht="15" customHeight="1" s="147"/>
    <row r="72" ht="15" customHeight="1" s="147"/>
    <row r="73" ht="15" customHeight="1" s="147"/>
    <row r="74" ht="15" customHeight="1" s="147"/>
    <row r="75" ht="15" customHeight="1" s="147"/>
    <row r="76" ht="15" customHeight="1" s="147"/>
    <row r="77" ht="15" customHeight="1" s="147"/>
    <row r="78" ht="15" customHeight="1" s="147"/>
    <row r="79" ht="15" customHeight="1" s="147"/>
    <row r="80" ht="15" customHeight="1" s="147"/>
    <row r="81" ht="15" customHeight="1" s="147"/>
    <row r="82" ht="15" customHeight="1" s="147"/>
    <row r="83" ht="15" customHeight="1" s="147"/>
    <row r="84" ht="15" customHeight="1" s="147"/>
    <row r="85" ht="15" customHeight="1" s="147"/>
    <row r="86" ht="15" customHeight="1" s="147"/>
    <row r="87" ht="15" customHeight="1" s="147"/>
    <row r="88" ht="15" customHeight="1" s="147"/>
    <row r="89" ht="15" customHeight="1" s="147"/>
    <row r="90" ht="15" customHeight="1" s="147"/>
    <row r="91" ht="15" customHeight="1" s="147"/>
    <row r="92" ht="15" customHeight="1" s="147"/>
    <row r="93" ht="15" customHeight="1" s="147"/>
    <row r="94" ht="15" customHeight="1" s="147"/>
    <row r="95" ht="15" customHeight="1" s="147"/>
    <row r="96" ht="15" customHeight="1" s="147"/>
    <row r="97" ht="15" customHeight="1" s="147"/>
    <row r="98" ht="15" customHeight="1" s="147"/>
    <row r="99" ht="15" customHeight="1" s="147"/>
    <row r="100" ht="15" customHeight="1" s="147"/>
    <row r="101" ht="15.75" customHeight="1" s="147"/>
    <row r="102" ht="15.75" customHeight="1" s="147"/>
    <row r="103" ht="15.75" customHeight="1" s="147"/>
    <row r="104" ht="15.75" customHeight="1" s="147"/>
    <row r="105" ht="15.75" customHeight="1" s="147"/>
    <row r="106" ht="15.75" customHeight="1" s="147"/>
    <row r="107" ht="15.75" customHeight="1" s="147"/>
    <row r="108" ht="15.75" customHeight="1" s="147"/>
    <row r="109" ht="15.75" customHeight="1" s="147"/>
    <row r="110" ht="15.75" customHeight="1" s="147"/>
    <row r="111" ht="15.75" customHeight="1" s="147"/>
    <row r="112" ht="15.75" customHeight="1" s="147"/>
    <row r="113" ht="15.75" customHeight="1" s="147"/>
    <row r="114" ht="15.75" customHeight="1" s="147"/>
    <row r="115" ht="15.75" customHeight="1" s="147"/>
    <row r="116" ht="15.75" customHeight="1" s="147"/>
    <row r="117" ht="15.75" customHeight="1" s="147"/>
    <row r="118" ht="15.75" customHeight="1" s="147"/>
    <row r="119" ht="15.75" customHeight="1" s="147"/>
    <row r="120" ht="15.75" customHeight="1" s="147"/>
    <row r="121" ht="15.75" customHeight="1" s="147"/>
    <row r="122" ht="15.75" customHeight="1" s="147"/>
    <row r="123" ht="15.75" customHeight="1" s="147"/>
    <row r="124" ht="15.75" customHeight="1" s="147"/>
    <row r="125" ht="15.75" customHeight="1" s="147"/>
    <row r="126" ht="15.75" customHeight="1" s="147"/>
    <row r="127" ht="15.75" customHeight="1" s="147"/>
    <row r="128" ht="15.75" customHeight="1" s="147"/>
    <row r="129" ht="15.75" customHeight="1" s="147"/>
    <row r="130" ht="15.75" customHeight="1" s="147"/>
    <row r="131" ht="15.75" customHeight="1" s="147"/>
    <row r="132" ht="15.75" customHeight="1" s="147"/>
    <row r="133" ht="15.75" customHeight="1" s="147"/>
    <row r="134" ht="15.75" customHeight="1" s="147"/>
    <row r="135" ht="15.75" customHeight="1" s="147"/>
    <row r="136" ht="15.75" customHeight="1" s="147"/>
    <row r="137" ht="15.75" customHeight="1" s="147"/>
    <row r="138" ht="15.75" customHeight="1" s="147"/>
    <row r="139" ht="15.75" customHeight="1" s="147"/>
    <row r="140" ht="15.75" customHeight="1" s="147"/>
    <row r="141" ht="15.75" customHeight="1" s="147"/>
    <row r="142" ht="15.75" customHeight="1" s="147"/>
    <row r="143" ht="15.75" customHeight="1" s="147"/>
    <row r="144" ht="15.75" customHeight="1" s="147"/>
    <row r="145" ht="15.75" customHeight="1" s="147"/>
    <row r="146" ht="15.75" customHeight="1" s="147"/>
    <row r="147" ht="15.75" customHeight="1" s="147"/>
    <row r="148" ht="15.75" customHeight="1" s="147"/>
    <row r="149" ht="15.75" customHeight="1" s="147"/>
    <row r="150" ht="15.75" customHeight="1" s="147"/>
    <row r="151" ht="15.75" customHeight="1" s="147"/>
    <row r="152" ht="15.75" customHeight="1" s="147"/>
    <row r="153" ht="15.75" customHeight="1" s="147"/>
    <row r="154" ht="15.75" customHeight="1" s="147"/>
    <row r="155" ht="15.75" customHeight="1" s="147"/>
    <row r="156" ht="15.75" customHeight="1" s="147"/>
    <row r="157" ht="15.75" customHeight="1" s="147"/>
    <row r="158" ht="15.75" customHeight="1" s="147"/>
    <row r="159" ht="15.75" customHeight="1" s="147"/>
    <row r="160" ht="15.75" customHeight="1" s="147"/>
    <row r="161" ht="15.75" customHeight="1" s="147"/>
    <row r="162" ht="15.75" customHeight="1" s="147"/>
    <row r="163" ht="15.75" customHeight="1" s="147"/>
    <row r="164" ht="15.75" customHeight="1" s="147"/>
    <row r="165" ht="15.75" customHeight="1" s="147"/>
    <row r="166" ht="15.75" customHeight="1" s="147"/>
    <row r="167" ht="15.75" customHeight="1" s="147"/>
    <row r="168" ht="15.75" customHeight="1" s="147"/>
    <row r="169" ht="15.75" customHeight="1" s="147"/>
    <row r="170" ht="15.75" customHeight="1" s="147"/>
    <row r="171" ht="15.75" customHeight="1" s="147"/>
    <row r="172" ht="15.75" customHeight="1" s="147"/>
    <row r="173" ht="15.75" customHeight="1" s="147"/>
    <row r="174" ht="15.75" customHeight="1" s="147"/>
    <row r="175" ht="15.75" customHeight="1" s="147"/>
    <row r="176" ht="15.75" customHeight="1" s="147"/>
    <row r="177" ht="15.75" customHeight="1" s="147"/>
    <row r="178" ht="15.75" customHeight="1" s="147"/>
    <row r="179" ht="15.75" customHeight="1" s="147"/>
    <row r="180" ht="15.75" customHeight="1" s="147"/>
    <row r="181" ht="15.75" customHeight="1" s="147"/>
    <row r="182" ht="15.75" customHeight="1" s="147"/>
    <row r="183" ht="15.75" customHeight="1" s="147"/>
    <row r="184" ht="15.75" customHeight="1" s="147"/>
    <row r="185" ht="15.75" customHeight="1" s="147"/>
    <row r="186" ht="15.75" customHeight="1" s="147"/>
    <row r="187" ht="15.75" customHeight="1" s="147"/>
    <row r="188" ht="15.75" customHeight="1" s="147"/>
    <row r="189" ht="15.75" customHeight="1" s="147"/>
    <row r="190" ht="15.75" customHeight="1" s="147"/>
    <row r="191" ht="15.75" customHeight="1" s="147"/>
    <row r="192" ht="15.75" customHeight="1" s="147"/>
    <row r="193" ht="15.75" customHeight="1" s="147"/>
    <row r="194" ht="15.75" customHeight="1" s="147"/>
    <row r="195" ht="15.75" customHeight="1" s="147"/>
    <row r="196" ht="15.75" customHeight="1" s="147"/>
    <row r="197" ht="15.75" customHeight="1" s="147"/>
    <row r="198" ht="15.75" customHeight="1" s="147"/>
    <row r="199" ht="15.75" customHeight="1" s="147"/>
    <row r="200" ht="15.75" customHeight="1" s="147"/>
    <row r="201" ht="15.75" customHeight="1" s="147"/>
    <row r="202" ht="15.75" customHeight="1" s="147"/>
    <row r="203" ht="15.75" customHeight="1" s="147"/>
    <row r="204" ht="15.75" customHeight="1" s="147"/>
    <row r="205" ht="15.75" customHeight="1" s="147"/>
    <row r="206" ht="15.75" customHeight="1" s="147"/>
    <row r="207" ht="15.75" customHeight="1" s="147"/>
    <row r="208" ht="15.75" customHeight="1" s="147"/>
    <row r="209" ht="15.75" customHeight="1" s="147"/>
    <row r="210" ht="15.75" customHeight="1" s="147"/>
    <row r="211" ht="15.75" customHeight="1" s="147"/>
    <row r="212" ht="15.75" customHeight="1" s="147"/>
    <row r="213" ht="15.75" customHeight="1" s="147"/>
    <row r="214" ht="15.75" customHeight="1" s="147"/>
    <row r="215" ht="15.75" customHeight="1" s="147"/>
    <row r="216" ht="15.75" customHeight="1" s="147"/>
    <row r="217" ht="15.75" customHeight="1" s="147"/>
    <row r="218" ht="15.75" customHeight="1" s="147"/>
    <row r="219" ht="15.75" customHeight="1" s="147"/>
    <row r="220" ht="15.75" customHeight="1" s="147"/>
    <row r="221" ht="15.75" customHeight="1" s="147"/>
    <row r="222" ht="15.75" customHeight="1" s="147"/>
    <row r="223" ht="15.75" customHeight="1" s="147"/>
    <row r="224" ht="15.75" customHeight="1" s="147"/>
    <row r="225" ht="15.75" customHeight="1" s="147"/>
    <row r="226" ht="15.75" customHeight="1" s="147"/>
    <row r="227" ht="15.75" customHeight="1" s="147"/>
    <row r="228" ht="15.75" customHeight="1" s="147"/>
    <row r="229" ht="15.75" customHeight="1" s="147"/>
    <row r="230" ht="15.75" customHeight="1" s="147"/>
    <row r="231" ht="15.75" customHeight="1" s="147"/>
    <row r="232" ht="15.75" customHeight="1" s="147"/>
    <row r="233" ht="15.75" customHeight="1" s="147"/>
    <row r="234" ht="15.75" customHeight="1" s="147"/>
    <row r="235" ht="15.75" customHeight="1" s="147"/>
    <row r="236" ht="15.75" customHeight="1" s="147"/>
    <row r="237" ht="15.75" customHeight="1" s="147"/>
    <row r="238" ht="15.75" customHeight="1" s="147"/>
    <row r="239" ht="15.75" customHeight="1" s="147"/>
    <row r="240" ht="15.75" customHeight="1" s="147"/>
    <row r="241" ht="15.75" customHeight="1" s="147"/>
    <row r="242" ht="15.75" customHeight="1" s="147"/>
    <row r="243" ht="15.75" customHeight="1" s="147"/>
    <row r="244" ht="15.75" customHeight="1" s="147"/>
    <row r="245" ht="15.75" customHeight="1" s="147"/>
    <row r="246" ht="15.75" customHeight="1" s="147"/>
    <row r="247" ht="15.75" customHeight="1" s="147"/>
    <row r="248" ht="15.75" customHeight="1" s="147"/>
    <row r="249" ht="15.75" customHeight="1" s="147"/>
    <row r="250" ht="15.75" customHeight="1" s="147"/>
    <row r="251" ht="15.75" customHeight="1" s="147"/>
    <row r="252" ht="15.75" customHeight="1" s="147"/>
    <row r="253" ht="15.75" customHeight="1" s="147"/>
    <row r="254" ht="15.75" customHeight="1" s="147"/>
    <row r="255" ht="15.75" customHeight="1" s="147"/>
    <row r="256" ht="15.75" customHeight="1" s="147"/>
    <row r="257" ht="15.75" customHeight="1" s="147"/>
    <row r="258" ht="15.75" customHeight="1" s="147"/>
    <row r="259" ht="15.75" customHeight="1" s="147"/>
    <row r="260" ht="15.75" customHeight="1" s="147"/>
    <row r="261" ht="15.75" customHeight="1" s="147"/>
    <row r="262" ht="15.75" customHeight="1" s="147"/>
    <row r="263" ht="15.75" customHeight="1" s="147"/>
    <row r="264" ht="15.75" customHeight="1" s="147"/>
    <row r="265" ht="15.75" customHeight="1" s="147"/>
    <row r="266" ht="15.75" customHeight="1" s="147"/>
    <row r="267" ht="15.75" customHeight="1" s="147"/>
    <row r="268" ht="15.75" customHeight="1" s="147"/>
    <row r="269" ht="15.75" customHeight="1" s="147"/>
    <row r="270" ht="15.75" customHeight="1" s="147"/>
    <row r="271" ht="15.75" customHeight="1" s="147"/>
    <row r="272" ht="15.75" customHeight="1" s="147"/>
    <row r="273" ht="15.75" customHeight="1" s="147"/>
    <row r="274" ht="15.75" customHeight="1" s="147"/>
    <row r="275" ht="15.75" customHeight="1" s="147"/>
    <row r="276" ht="15.75" customHeight="1" s="147"/>
    <row r="277" ht="15.75" customHeight="1" s="147"/>
    <row r="278" ht="15.75" customHeight="1" s="147"/>
    <row r="279" ht="15.75" customHeight="1" s="147"/>
    <row r="280" ht="15.75" customHeight="1" s="147"/>
    <row r="281" ht="15.75" customHeight="1" s="147"/>
    <row r="282" ht="15.75" customHeight="1" s="147"/>
    <row r="283" ht="15.75" customHeight="1" s="147"/>
    <row r="284" ht="15.75" customHeight="1" s="147"/>
    <row r="285" ht="15.75" customHeight="1" s="147"/>
    <row r="286" ht="15.75" customHeight="1" s="147"/>
    <row r="287" ht="15.75" customHeight="1" s="147"/>
    <row r="288" ht="15.75" customHeight="1" s="147"/>
    <row r="289" ht="15.75" customHeight="1" s="147"/>
    <row r="290" ht="15.75" customHeight="1" s="147"/>
    <row r="291" ht="15.75" customHeight="1" s="147"/>
    <row r="292" ht="15.75" customHeight="1" s="147"/>
    <row r="293" ht="15.75" customHeight="1" s="147"/>
    <row r="294" ht="15.75" customHeight="1" s="147"/>
    <row r="295" ht="15.75" customHeight="1" s="147"/>
    <row r="296" ht="15.75" customHeight="1" s="147"/>
    <row r="297" ht="15.75" customHeight="1" s="147"/>
    <row r="298" ht="15.75" customHeight="1" s="147"/>
    <row r="299" ht="15.75" customHeight="1" s="147"/>
    <row r="300" ht="15.75" customHeight="1" s="147"/>
    <row r="301" ht="15.75" customHeight="1" s="147"/>
    <row r="302" ht="15.75" customHeight="1" s="147"/>
    <row r="303" ht="15.75" customHeight="1" s="147"/>
    <row r="304" ht="15.75" customHeight="1" s="147"/>
    <row r="305" ht="15.75" customHeight="1" s="147"/>
    <row r="306" ht="15.75" customHeight="1" s="147"/>
    <row r="307" ht="15.75" customHeight="1" s="147"/>
    <row r="308" ht="15.75" customHeight="1" s="147"/>
    <row r="309" ht="15.75" customHeight="1" s="147"/>
    <row r="310" ht="15.75" customHeight="1" s="147"/>
    <row r="311" ht="15.75" customHeight="1" s="147"/>
    <row r="312" ht="15.75" customHeight="1" s="147"/>
    <row r="313" ht="15.75" customHeight="1" s="147"/>
    <row r="314" ht="15.75" customHeight="1" s="147"/>
    <row r="315" ht="15.75" customHeight="1" s="147"/>
    <row r="316" ht="15.75" customHeight="1" s="147"/>
    <row r="317" ht="15.75" customHeight="1" s="147"/>
    <row r="318" ht="15.75" customHeight="1" s="147"/>
    <row r="319" ht="15.75" customHeight="1" s="147"/>
    <row r="320" ht="15.75" customHeight="1" s="147"/>
    <row r="321" ht="15.75" customHeight="1" s="147"/>
    <row r="322" ht="15.75" customHeight="1" s="147"/>
    <row r="323" ht="15.75" customHeight="1" s="147"/>
    <row r="324" ht="15.75" customHeight="1" s="147"/>
    <row r="325" ht="15.75" customHeight="1" s="147"/>
    <row r="326" ht="15.75" customHeight="1" s="147"/>
    <row r="327" ht="15.75" customHeight="1" s="147"/>
    <row r="328" ht="15.75" customHeight="1" s="147"/>
    <row r="329" ht="15.75" customHeight="1" s="147"/>
    <row r="330" ht="15.75" customHeight="1" s="147"/>
    <row r="331" ht="15.75" customHeight="1" s="147"/>
    <row r="332" ht="15.75" customHeight="1" s="147"/>
    <row r="333" ht="15.75" customHeight="1" s="147"/>
    <row r="334" ht="15.75" customHeight="1" s="147"/>
    <row r="335" ht="15.75" customHeight="1" s="147"/>
    <row r="336" ht="15.75" customHeight="1" s="147"/>
    <row r="337" ht="15.75" customHeight="1" s="147"/>
    <row r="338" ht="15.75" customHeight="1" s="147"/>
    <row r="339" ht="15.75" customHeight="1" s="147"/>
    <row r="340" ht="15.75" customHeight="1" s="147"/>
    <row r="341" ht="15.75" customHeight="1" s="147"/>
    <row r="342" ht="15.75" customHeight="1" s="147"/>
    <row r="343" ht="15.75" customHeight="1" s="147"/>
    <row r="344" ht="15.75" customHeight="1" s="147"/>
    <row r="345" ht="15.75" customHeight="1" s="147"/>
    <row r="346" ht="15.75" customHeight="1" s="147"/>
    <row r="347" ht="15.75" customHeight="1" s="147"/>
    <row r="348" ht="15.75" customHeight="1" s="147"/>
    <row r="349" ht="15.75" customHeight="1" s="147"/>
    <row r="350" ht="15.75" customHeight="1" s="147"/>
    <row r="351" ht="15.75" customHeight="1" s="147"/>
    <row r="352" ht="15.75" customHeight="1" s="147"/>
    <row r="353" ht="15.75" customHeight="1" s="147"/>
    <row r="354" ht="15.75" customHeight="1" s="147"/>
    <row r="355" ht="15.75" customHeight="1" s="147"/>
    <row r="356" ht="15.75" customHeight="1" s="147"/>
    <row r="357" ht="15.75" customHeight="1" s="147"/>
    <row r="358" ht="15.75" customHeight="1" s="147"/>
    <row r="359" ht="15.75" customHeight="1" s="147"/>
    <row r="360" ht="15.75" customHeight="1" s="147"/>
    <row r="361" ht="15.75" customHeight="1" s="147"/>
    <row r="362" ht="15.75" customHeight="1" s="147"/>
    <row r="363" ht="15.75" customHeight="1" s="147"/>
    <row r="364" ht="15.75" customHeight="1" s="147"/>
    <row r="365" ht="15.75" customHeight="1" s="147"/>
    <row r="366" ht="15.75" customHeight="1" s="147"/>
    <row r="367" ht="15.75" customHeight="1" s="147"/>
    <row r="368" ht="15.75" customHeight="1" s="147"/>
    <row r="369" ht="15.75" customHeight="1" s="147"/>
    <row r="370" ht="15.75" customHeight="1" s="147"/>
    <row r="371" ht="15.75" customHeight="1" s="147"/>
    <row r="372" ht="15.75" customHeight="1" s="147"/>
    <row r="373" ht="15.75" customHeight="1" s="147"/>
    <row r="374" ht="15.75" customHeight="1" s="147"/>
    <row r="375" ht="15.75" customHeight="1" s="147"/>
    <row r="376" ht="15.75" customHeight="1" s="147"/>
    <row r="377" ht="15.75" customHeight="1" s="147"/>
    <row r="378" ht="15.75" customHeight="1" s="147"/>
    <row r="379" ht="15.75" customHeight="1" s="147"/>
    <row r="380" ht="15.75" customHeight="1" s="147"/>
    <row r="381" ht="15.75" customHeight="1" s="147"/>
    <row r="382" ht="15.75" customHeight="1" s="147"/>
    <row r="383" ht="15.75" customHeight="1" s="147"/>
    <row r="384" ht="15.75" customHeight="1" s="147"/>
    <row r="385" ht="15.75" customHeight="1" s="147"/>
    <row r="386" ht="15.75" customHeight="1" s="147"/>
    <row r="387" ht="15.75" customHeight="1" s="147"/>
    <row r="388" ht="15.75" customHeight="1" s="147"/>
    <row r="389" ht="15.75" customHeight="1" s="147"/>
    <row r="390" ht="15.75" customHeight="1" s="147"/>
    <row r="391" ht="15.75" customHeight="1" s="147"/>
    <row r="392" ht="15.75" customHeight="1" s="147"/>
    <row r="393" ht="15.75" customHeight="1" s="147"/>
    <row r="394" ht="15.75" customHeight="1" s="147"/>
    <row r="395" ht="15.75" customHeight="1" s="147"/>
    <row r="396" ht="15.75" customHeight="1" s="147"/>
    <row r="397" ht="15.75" customHeight="1" s="147"/>
    <row r="398" ht="15.75" customHeight="1" s="147"/>
    <row r="399" ht="15.75" customHeight="1" s="147"/>
    <row r="400" ht="15.75" customHeight="1" s="147"/>
    <row r="401" ht="15.75" customHeight="1" s="147"/>
    <row r="402" ht="15.75" customHeight="1" s="147"/>
    <row r="403" ht="15.75" customHeight="1" s="147"/>
    <row r="404" ht="15.75" customHeight="1" s="147"/>
    <row r="405" ht="15.75" customHeight="1" s="147"/>
    <row r="406" ht="15.75" customHeight="1" s="147"/>
    <row r="407" ht="15.75" customHeight="1" s="147"/>
    <row r="408" ht="15.75" customHeight="1" s="147"/>
    <row r="409" ht="15.75" customHeight="1" s="147"/>
    <row r="410" ht="15.75" customHeight="1" s="147"/>
    <row r="411" ht="15.75" customHeight="1" s="147"/>
    <row r="412" ht="15.75" customHeight="1" s="147"/>
    <row r="413" ht="15.75" customHeight="1" s="147"/>
    <row r="414" ht="15.75" customHeight="1" s="147"/>
    <row r="415" ht="15.75" customHeight="1" s="147"/>
    <row r="416" ht="15.75" customHeight="1" s="147"/>
    <row r="417" ht="15.75" customHeight="1" s="147"/>
    <row r="418" ht="15.75" customHeight="1" s="147"/>
    <row r="419" ht="15.75" customHeight="1" s="147"/>
    <row r="420" ht="15.75" customHeight="1" s="147"/>
    <row r="421" ht="15.75" customHeight="1" s="147"/>
    <row r="422" ht="15.75" customHeight="1" s="147"/>
    <row r="423" ht="15.75" customHeight="1" s="147"/>
    <row r="424" ht="15.75" customHeight="1" s="147"/>
    <row r="425" ht="15.75" customHeight="1" s="147"/>
    <row r="426" ht="15.75" customHeight="1" s="147"/>
    <row r="427" ht="15.75" customHeight="1" s="147"/>
    <row r="428" ht="15.75" customHeight="1" s="147"/>
    <row r="429" ht="15.75" customHeight="1" s="147"/>
    <row r="430" ht="15.75" customHeight="1" s="147"/>
    <row r="431" ht="15.75" customHeight="1" s="147"/>
    <row r="432" ht="15.75" customHeight="1" s="147"/>
    <row r="433" ht="15.75" customHeight="1" s="147"/>
    <row r="434" ht="15.75" customHeight="1" s="147"/>
    <row r="435" ht="15.75" customHeight="1" s="147"/>
    <row r="436" ht="15.75" customHeight="1" s="147"/>
    <row r="437" ht="15.75" customHeight="1" s="147"/>
    <row r="438" ht="15.75" customHeight="1" s="147"/>
    <row r="439" ht="15.75" customHeight="1" s="147"/>
    <row r="440" ht="15.75" customHeight="1" s="147"/>
    <row r="441" ht="15.75" customHeight="1" s="147"/>
    <row r="442" ht="15.75" customHeight="1" s="147"/>
    <row r="443" ht="15.75" customHeight="1" s="147"/>
    <row r="444" ht="15.75" customHeight="1" s="147"/>
    <row r="445" ht="15.75" customHeight="1" s="147"/>
    <row r="446" ht="15.75" customHeight="1" s="147"/>
    <row r="447" ht="15.75" customHeight="1" s="147"/>
    <row r="448" ht="15.75" customHeight="1" s="147"/>
    <row r="449" ht="15.75" customHeight="1" s="147"/>
    <row r="450" ht="15.75" customHeight="1" s="147"/>
    <row r="451" ht="15.75" customHeight="1" s="147"/>
    <row r="452" ht="15.75" customHeight="1" s="147"/>
    <row r="453" ht="15.75" customHeight="1" s="147"/>
    <row r="454" ht="15.75" customHeight="1" s="147"/>
    <row r="455" ht="15.75" customHeight="1" s="147"/>
    <row r="456" ht="15.75" customHeight="1" s="147"/>
    <row r="457" ht="15.75" customHeight="1" s="147"/>
    <row r="458" ht="15.75" customHeight="1" s="147"/>
    <row r="459" ht="15.75" customHeight="1" s="147"/>
    <row r="460" ht="15.75" customHeight="1" s="147"/>
    <row r="461" ht="15.75" customHeight="1" s="147"/>
    <row r="462" ht="15.75" customHeight="1" s="147"/>
    <row r="463" ht="15.75" customHeight="1" s="147"/>
    <row r="464" ht="15.75" customHeight="1" s="147"/>
    <row r="465" ht="15.75" customHeight="1" s="147"/>
    <row r="466" ht="15.75" customHeight="1" s="147"/>
    <row r="467" ht="15.75" customHeight="1" s="147"/>
    <row r="468" ht="15.75" customHeight="1" s="147"/>
    <row r="469" ht="15.75" customHeight="1" s="147"/>
    <row r="470" ht="15.75" customHeight="1" s="147"/>
    <row r="471" ht="15.75" customHeight="1" s="147"/>
    <row r="472" ht="15.75" customHeight="1" s="147"/>
    <row r="473" ht="15.75" customHeight="1" s="147"/>
    <row r="474" ht="15.75" customHeight="1" s="147"/>
    <row r="475" ht="15.75" customHeight="1" s="147"/>
    <row r="476" ht="15.75" customHeight="1" s="147"/>
    <row r="477" ht="15.75" customHeight="1" s="147"/>
    <row r="478" ht="15.75" customHeight="1" s="147"/>
    <row r="479" ht="15.75" customHeight="1" s="147"/>
    <row r="480" ht="15.75" customHeight="1" s="147"/>
    <row r="481" ht="15.75" customHeight="1" s="147"/>
    <row r="482" ht="15.75" customHeight="1" s="147"/>
    <row r="483" ht="15.75" customHeight="1" s="147"/>
    <row r="484" ht="15.75" customHeight="1" s="147"/>
    <row r="485" ht="15.75" customHeight="1" s="147"/>
    <row r="486" ht="15.75" customHeight="1" s="147"/>
    <row r="487" ht="15.75" customHeight="1" s="147"/>
    <row r="488" ht="15.75" customHeight="1" s="147"/>
    <row r="489" ht="15.75" customHeight="1" s="147"/>
    <row r="490" ht="15.75" customHeight="1" s="147"/>
    <row r="491" ht="15.75" customHeight="1" s="147"/>
    <row r="492" ht="15.75" customHeight="1" s="147"/>
    <row r="493" ht="15.75" customHeight="1" s="147"/>
    <row r="494" ht="15.75" customHeight="1" s="147"/>
    <row r="495" ht="15.75" customHeight="1" s="147"/>
    <row r="496" ht="15.75" customHeight="1" s="147"/>
    <row r="497" ht="15.75" customHeight="1" s="147"/>
    <row r="498" ht="15.75" customHeight="1" s="147"/>
    <row r="499" ht="15.75" customHeight="1" s="147"/>
    <row r="500" ht="15.75" customHeight="1" s="147"/>
    <row r="501" ht="15.75" customHeight="1" s="147"/>
    <row r="502" ht="15.75" customHeight="1" s="147"/>
    <row r="503" ht="15.75" customHeight="1" s="147"/>
    <row r="504" ht="15.75" customHeight="1" s="147"/>
    <row r="505" ht="15.75" customHeight="1" s="147"/>
    <row r="506" ht="15.75" customHeight="1" s="147"/>
    <row r="507" ht="15.75" customHeight="1" s="147"/>
    <row r="508" ht="15.75" customHeight="1" s="147"/>
    <row r="509" ht="15.75" customHeight="1" s="147"/>
    <row r="510" ht="15.75" customHeight="1" s="147"/>
    <row r="511" ht="15.75" customHeight="1" s="147"/>
    <row r="512" ht="15.75" customHeight="1" s="147"/>
    <row r="513" ht="15.75" customHeight="1" s="147"/>
    <row r="514" ht="15.75" customHeight="1" s="147"/>
    <row r="515" ht="15.75" customHeight="1" s="147"/>
    <row r="516" ht="15.75" customHeight="1" s="147"/>
    <row r="517" ht="15.75" customHeight="1" s="147"/>
    <row r="518" ht="15.75" customHeight="1" s="147"/>
    <row r="519" ht="15.75" customHeight="1" s="147"/>
    <row r="520" ht="15.75" customHeight="1" s="147"/>
    <row r="521" ht="15.75" customHeight="1" s="147"/>
    <row r="522" ht="15.75" customHeight="1" s="147"/>
    <row r="523" ht="15.75" customHeight="1" s="147"/>
    <row r="524" ht="15.75" customHeight="1" s="147"/>
    <row r="525" ht="15.75" customHeight="1" s="147"/>
    <row r="526" ht="15.75" customHeight="1" s="147"/>
    <row r="527" ht="15.75" customHeight="1" s="147"/>
    <row r="528" ht="15.75" customHeight="1" s="147"/>
    <row r="529" ht="15.75" customHeight="1" s="147"/>
    <row r="530" ht="15.75" customHeight="1" s="147"/>
    <row r="531" ht="15.75" customHeight="1" s="147"/>
    <row r="532" ht="15.75" customHeight="1" s="147"/>
    <row r="533" ht="15.75" customHeight="1" s="147"/>
    <row r="534" ht="15.75" customHeight="1" s="147"/>
    <row r="535" ht="15.75" customHeight="1" s="147"/>
    <row r="536" ht="15.75" customHeight="1" s="147"/>
    <row r="537" ht="15.75" customHeight="1" s="147"/>
    <row r="538" ht="15.75" customHeight="1" s="147"/>
    <row r="539" ht="15.75" customHeight="1" s="147"/>
    <row r="540" ht="15.75" customHeight="1" s="147"/>
    <row r="541" ht="15.75" customHeight="1" s="147"/>
    <row r="542" ht="15.75" customHeight="1" s="147"/>
    <row r="543" ht="15.75" customHeight="1" s="147"/>
    <row r="544" ht="15.75" customHeight="1" s="147"/>
    <row r="545" ht="15.75" customHeight="1" s="147"/>
    <row r="546" ht="15.75" customHeight="1" s="147"/>
    <row r="547" ht="15.75" customHeight="1" s="147"/>
    <row r="548" ht="15.75" customHeight="1" s="147"/>
    <row r="549" ht="15.75" customHeight="1" s="147"/>
    <row r="550" ht="15.75" customHeight="1" s="147"/>
    <row r="551" ht="15.75" customHeight="1" s="147"/>
    <row r="552" ht="15.75" customHeight="1" s="147"/>
    <row r="553" ht="15.75" customHeight="1" s="147"/>
    <row r="554" ht="15.75" customHeight="1" s="147"/>
    <row r="555" ht="15.75" customHeight="1" s="147"/>
    <row r="556" ht="15.75" customHeight="1" s="147"/>
    <row r="557" ht="15.75" customHeight="1" s="147"/>
    <row r="558" ht="15.75" customHeight="1" s="147"/>
    <row r="559" ht="15.75" customHeight="1" s="147"/>
    <row r="560" ht="15.75" customHeight="1" s="147"/>
    <row r="561" ht="15.75" customHeight="1" s="147"/>
    <row r="562" ht="15.75" customHeight="1" s="147"/>
    <row r="563" ht="15.75" customHeight="1" s="147"/>
    <row r="564" ht="15.75" customHeight="1" s="147"/>
    <row r="565" ht="15.75" customHeight="1" s="147"/>
    <row r="566" ht="15.75" customHeight="1" s="147"/>
    <row r="567" ht="15.75" customHeight="1" s="147"/>
    <row r="568" ht="15.75" customHeight="1" s="147"/>
    <row r="569" ht="15.75" customHeight="1" s="147"/>
    <row r="570" ht="15.75" customHeight="1" s="147"/>
    <row r="571" ht="15.75" customHeight="1" s="147"/>
    <row r="572" ht="15.75" customHeight="1" s="147"/>
    <row r="573" ht="15.75" customHeight="1" s="147"/>
    <row r="574" ht="15.75" customHeight="1" s="147"/>
    <row r="575" ht="15.75" customHeight="1" s="147"/>
    <row r="576" ht="15.75" customHeight="1" s="147"/>
    <row r="577" ht="15.75" customHeight="1" s="147"/>
    <row r="578" ht="15.75" customHeight="1" s="147"/>
    <row r="579" ht="15.75" customHeight="1" s="147"/>
    <row r="580" ht="15.75" customHeight="1" s="147"/>
    <row r="581" ht="15.75" customHeight="1" s="147"/>
    <row r="582" ht="15.75" customHeight="1" s="147"/>
    <row r="583" ht="15.75" customHeight="1" s="147"/>
    <row r="584" ht="15.75" customHeight="1" s="147"/>
    <row r="585" ht="15.75" customHeight="1" s="147"/>
    <row r="586" ht="15.75" customHeight="1" s="147"/>
    <row r="587" ht="15.75" customHeight="1" s="147"/>
    <row r="588" ht="15.75" customHeight="1" s="147"/>
    <row r="589" ht="15.75" customHeight="1" s="147"/>
    <row r="590" ht="15.75" customHeight="1" s="147"/>
    <row r="591" ht="15.75" customHeight="1" s="147"/>
    <row r="592" ht="15.75" customHeight="1" s="147"/>
    <row r="593" ht="15.75" customHeight="1" s="147"/>
    <row r="594" ht="15.75" customHeight="1" s="147"/>
    <row r="595" ht="15.75" customHeight="1" s="147"/>
    <row r="596" ht="15.75" customHeight="1" s="147"/>
    <row r="597" ht="15.75" customHeight="1" s="147"/>
    <row r="598" ht="15.75" customHeight="1" s="147"/>
    <row r="599" ht="15.75" customHeight="1" s="147"/>
    <row r="600" ht="15.75" customHeight="1" s="147"/>
    <row r="601" ht="15.75" customHeight="1" s="147"/>
    <row r="602" ht="15.75" customHeight="1" s="147"/>
    <row r="603" ht="15.75" customHeight="1" s="147"/>
    <row r="604" ht="15.75" customHeight="1" s="147"/>
    <row r="605" ht="15.75" customHeight="1" s="147"/>
    <row r="606" ht="15.75" customHeight="1" s="147"/>
    <row r="607" ht="15.75" customHeight="1" s="147"/>
    <row r="608" ht="15.75" customHeight="1" s="147"/>
    <row r="609" ht="15.75" customHeight="1" s="147"/>
    <row r="610" ht="15.75" customHeight="1" s="147"/>
    <row r="611" ht="15.75" customHeight="1" s="147"/>
    <row r="612" ht="15.75" customHeight="1" s="147"/>
    <row r="613" ht="15.75" customHeight="1" s="147"/>
    <row r="614" ht="15.75" customHeight="1" s="147"/>
    <row r="615" ht="15.75" customHeight="1" s="147"/>
    <row r="616" ht="15.75" customHeight="1" s="147"/>
    <row r="617" ht="15.75" customHeight="1" s="147"/>
    <row r="618" ht="15.75" customHeight="1" s="147"/>
    <row r="619" ht="15.75" customHeight="1" s="147"/>
    <row r="620" ht="15.75" customHeight="1" s="147"/>
    <row r="621" ht="15.75" customHeight="1" s="147"/>
    <row r="622" ht="15.75" customHeight="1" s="147"/>
    <row r="623" ht="15.75" customHeight="1" s="147"/>
    <row r="624" ht="15.75" customHeight="1" s="147"/>
    <row r="625" ht="15.75" customHeight="1" s="147"/>
    <row r="626" ht="15.75" customHeight="1" s="147"/>
    <row r="627" ht="15.75" customHeight="1" s="147"/>
    <row r="628" ht="15.75" customHeight="1" s="147"/>
    <row r="629" ht="15.75" customHeight="1" s="147"/>
    <row r="630" ht="15.75" customHeight="1" s="147"/>
    <row r="631" ht="15.75" customHeight="1" s="147"/>
    <row r="632" ht="15.75" customHeight="1" s="147"/>
    <row r="633" ht="15.75" customHeight="1" s="147"/>
    <row r="634" ht="15.75" customHeight="1" s="147"/>
    <row r="635" ht="15.75" customHeight="1" s="147"/>
    <row r="636" ht="15.75" customHeight="1" s="147"/>
    <row r="637" ht="15.75" customHeight="1" s="147"/>
    <row r="638" ht="15.75" customHeight="1" s="147"/>
    <row r="639" ht="15.75" customHeight="1" s="147"/>
    <row r="640" ht="15.75" customHeight="1" s="147"/>
    <row r="641" ht="15.75" customHeight="1" s="147"/>
    <row r="642" ht="15.75" customHeight="1" s="147"/>
    <row r="643" ht="15.75" customHeight="1" s="147"/>
    <row r="644" ht="15.75" customHeight="1" s="147"/>
    <row r="645" ht="15.75" customHeight="1" s="147"/>
    <row r="646" ht="15.75" customHeight="1" s="147"/>
    <row r="647" ht="15.75" customHeight="1" s="147"/>
    <row r="648" ht="15.75" customHeight="1" s="147"/>
    <row r="649" ht="15.75" customHeight="1" s="147"/>
    <row r="650" ht="15.75" customHeight="1" s="147"/>
    <row r="651" ht="15.75" customHeight="1" s="147"/>
    <row r="652" ht="15.75" customHeight="1" s="147"/>
    <row r="653" ht="15.75" customHeight="1" s="147"/>
    <row r="654" ht="15.75" customHeight="1" s="147"/>
    <row r="655" ht="15.75" customHeight="1" s="147"/>
    <row r="656" ht="15.75" customHeight="1" s="147"/>
    <row r="657" ht="15.75" customHeight="1" s="147"/>
    <row r="658" ht="15.75" customHeight="1" s="147"/>
    <row r="659" ht="15.75" customHeight="1" s="147"/>
    <row r="660" ht="15.75" customHeight="1" s="147"/>
    <row r="661" ht="15.75" customHeight="1" s="147"/>
    <row r="662" ht="15.75" customHeight="1" s="147"/>
    <row r="663" ht="15.75" customHeight="1" s="147"/>
    <row r="664" ht="15.75" customHeight="1" s="147"/>
    <row r="665" ht="15.75" customHeight="1" s="147"/>
    <row r="666" ht="15.75" customHeight="1" s="147"/>
    <row r="667" ht="15.75" customHeight="1" s="147"/>
    <row r="668" ht="15.75" customHeight="1" s="147"/>
    <row r="669" ht="15.75" customHeight="1" s="147"/>
    <row r="670" ht="15.75" customHeight="1" s="147"/>
    <row r="671" ht="15.75" customHeight="1" s="147"/>
    <row r="672" ht="15.75" customHeight="1" s="147"/>
    <row r="673" ht="15.75" customHeight="1" s="147"/>
    <row r="674" ht="15.75" customHeight="1" s="147"/>
    <row r="675" ht="15.75" customHeight="1" s="147"/>
    <row r="676" ht="15.75" customHeight="1" s="147"/>
    <row r="677" ht="15.75" customHeight="1" s="147"/>
    <row r="678" ht="15.75" customHeight="1" s="147"/>
    <row r="679" ht="15.75" customHeight="1" s="147"/>
    <row r="680" ht="15.75" customHeight="1" s="147"/>
    <row r="681" ht="15.75" customHeight="1" s="147"/>
    <row r="682" ht="15.75" customHeight="1" s="147"/>
    <row r="683" ht="15.75" customHeight="1" s="147"/>
    <row r="684" ht="15.75" customHeight="1" s="147"/>
    <row r="685" ht="15.75" customHeight="1" s="147"/>
    <row r="686" ht="15.75" customHeight="1" s="147"/>
    <row r="687" ht="15.75" customHeight="1" s="147"/>
    <row r="688" ht="15.75" customHeight="1" s="147"/>
    <row r="689" ht="15.75" customHeight="1" s="147"/>
    <row r="690" ht="15.75" customHeight="1" s="147"/>
    <row r="691" ht="15.75" customHeight="1" s="147"/>
    <row r="692" ht="15.75" customHeight="1" s="147"/>
    <row r="693" ht="15.75" customHeight="1" s="147"/>
    <row r="694" ht="15.75" customHeight="1" s="147"/>
    <row r="695" ht="15.75" customHeight="1" s="147"/>
    <row r="696" ht="15.75" customHeight="1" s="147"/>
    <row r="697" ht="15.75" customHeight="1" s="147"/>
    <row r="698" ht="15.75" customHeight="1" s="147"/>
    <row r="699" ht="15.75" customHeight="1" s="147"/>
    <row r="700" ht="15.75" customHeight="1" s="147"/>
    <row r="701" ht="15.75" customHeight="1" s="147"/>
    <row r="702" ht="15.75" customHeight="1" s="147"/>
    <row r="703" ht="15.75" customHeight="1" s="147"/>
    <row r="704" ht="15.75" customHeight="1" s="147"/>
    <row r="705" ht="15.75" customHeight="1" s="147"/>
    <row r="706" ht="15.75" customHeight="1" s="147"/>
    <row r="707" ht="15.75" customHeight="1" s="147"/>
    <row r="708" ht="15.75" customHeight="1" s="147"/>
    <row r="709" ht="15.75" customHeight="1" s="147"/>
    <row r="710" ht="15.75" customHeight="1" s="147"/>
    <row r="711" ht="15.75" customHeight="1" s="147"/>
    <row r="712" ht="15.75" customHeight="1" s="147"/>
    <row r="713" ht="15.75" customHeight="1" s="147"/>
    <row r="714" ht="15.75" customHeight="1" s="147"/>
    <row r="715" ht="15.75" customHeight="1" s="147"/>
    <row r="716" ht="15.75" customHeight="1" s="147"/>
    <row r="717" ht="15.75" customHeight="1" s="147"/>
    <row r="718" ht="15.75" customHeight="1" s="147"/>
    <row r="719" ht="15.75" customHeight="1" s="147"/>
    <row r="720" ht="15.75" customHeight="1" s="147"/>
    <row r="721" ht="15.75" customHeight="1" s="147"/>
    <row r="722" ht="15.75" customHeight="1" s="147"/>
    <row r="723" ht="15.75" customHeight="1" s="147"/>
    <row r="724" ht="15.75" customHeight="1" s="147"/>
    <row r="725" ht="15.75" customHeight="1" s="147"/>
    <row r="726" ht="15.75" customHeight="1" s="147"/>
    <row r="727" ht="15.75" customHeight="1" s="147"/>
    <row r="728" ht="15.75" customHeight="1" s="147"/>
    <row r="729" ht="15.75" customHeight="1" s="147"/>
    <row r="730" ht="15.75" customHeight="1" s="147"/>
    <row r="731" ht="15.75" customHeight="1" s="147"/>
    <row r="732" ht="15.75" customHeight="1" s="147"/>
    <row r="733" ht="15.75" customHeight="1" s="147"/>
    <row r="734" ht="15.75" customHeight="1" s="147"/>
    <row r="735" ht="15.75" customHeight="1" s="147"/>
    <row r="736" ht="15.75" customHeight="1" s="147"/>
    <row r="737" ht="15.75" customHeight="1" s="147"/>
    <row r="738" ht="15.75" customHeight="1" s="147"/>
    <row r="739" ht="15.75" customHeight="1" s="147"/>
    <row r="740" ht="15.75" customHeight="1" s="147"/>
    <row r="741" ht="15.75" customHeight="1" s="147"/>
    <row r="742" ht="15.75" customHeight="1" s="147"/>
    <row r="743" ht="15.75" customHeight="1" s="147"/>
    <row r="744" ht="15.75" customHeight="1" s="147"/>
    <row r="745" ht="15.75" customHeight="1" s="147"/>
    <row r="746" ht="15.75" customHeight="1" s="147"/>
    <row r="747" ht="15.75" customHeight="1" s="147"/>
    <row r="748" ht="15.75" customHeight="1" s="147"/>
    <row r="749" ht="15.75" customHeight="1" s="147"/>
    <row r="750" ht="15.75" customHeight="1" s="147"/>
    <row r="751" ht="15.75" customHeight="1" s="147"/>
    <row r="752" ht="15.75" customHeight="1" s="147"/>
    <row r="753" ht="15.75" customHeight="1" s="147"/>
    <row r="754" ht="15.75" customHeight="1" s="147"/>
    <row r="755" ht="15.75" customHeight="1" s="147"/>
    <row r="756" ht="15.75" customHeight="1" s="147"/>
    <row r="757" ht="15.75" customHeight="1" s="147"/>
    <row r="758" ht="15.75" customHeight="1" s="147"/>
    <row r="759" ht="15.75" customHeight="1" s="147"/>
    <row r="760" ht="15.75" customHeight="1" s="147"/>
    <row r="761" ht="15.75" customHeight="1" s="147"/>
    <row r="762" ht="15.75" customHeight="1" s="147"/>
    <row r="763" ht="15.75" customHeight="1" s="147"/>
    <row r="764" ht="15.75" customHeight="1" s="147"/>
    <row r="765" ht="15.75" customHeight="1" s="147"/>
    <row r="766" ht="15.75" customHeight="1" s="147"/>
    <row r="767" ht="15.75" customHeight="1" s="147"/>
    <row r="768" ht="15.75" customHeight="1" s="147"/>
    <row r="769" ht="15.75" customHeight="1" s="147"/>
    <row r="770" ht="15.75" customHeight="1" s="147"/>
    <row r="771" ht="15.75" customHeight="1" s="147"/>
    <row r="772" ht="15.75" customHeight="1" s="147"/>
    <row r="773" ht="15.75" customHeight="1" s="147"/>
    <row r="774" ht="15.75" customHeight="1" s="147"/>
    <row r="775" ht="15.75" customHeight="1" s="147"/>
    <row r="776" ht="15.75" customHeight="1" s="147"/>
    <row r="777" ht="15.75" customHeight="1" s="147"/>
    <row r="778" ht="15.75" customHeight="1" s="147"/>
    <row r="779" ht="15.75" customHeight="1" s="147"/>
    <row r="780" ht="15.75" customHeight="1" s="147"/>
    <row r="781" ht="15.75" customHeight="1" s="147"/>
    <row r="782" ht="15.75" customHeight="1" s="147"/>
    <row r="783" ht="15.75" customHeight="1" s="147"/>
    <row r="784" ht="15.75" customHeight="1" s="147"/>
    <row r="785" ht="15.75" customHeight="1" s="147"/>
    <row r="786" ht="15.75" customHeight="1" s="147"/>
    <row r="787" ht="15.75" customHeight="1" s="147"/>
    <row r="788" ht="15.75" customHeight="1" s="147"/>
    <row r="789" ht="15.75" customHeight="1" s="147"/>
    <row r="790" ht="15.75" customHeight="1" s="147"/>
    <row r="791" ht="15.75" customHeight="1" s="147"/>
    <row r="792" ht="15.75" customHeight="1" s="147"/>
    <row r="793" ht="15.75" customHeight="1" s="147"/>
    <row r="794" ht="15.75" customHeight="1" s="147"/>
    <row r="795" ht="15.75" customHeight="1" s="147"/>
    <row r="796" ht="15.75" customHeight="1" s="147"/>
    <row r="797" ht="15.75" customHeight="1" s="147"/>
    <row r="798" ht="15.75" customHeight="1" s="147"/>
    <row r="799" ht="15.75" customHeight="1" s="147"/>
    <row r="800" ht="15.75" customHeight="1" s="147"/>
    <row r="801" ht="15.75" customHeight="1" s="147"/>
    <row r="802" ht="15.75" customHeight="1" s="147"/>
    <row r="803" ht="15.75" customHeight="1" s="147"/>
    <row r="804" ht="15.75" customHeight="1" s="147"/>
    <row r="805" ht="15.75" customHeight="1" s="147"/>
    <row r="806" ht="15.75" customHeight="1" s="147"/>
    <row r="807" ht="15.75" customHeight="1" s="147"/>
    <row r="808" ht="15.75" customHeight="1" s="147"/>
    <row r="809" ht="15.75" customHeight="1" s="147"/>
    <row r="810" ht="15.75" customHeight="1" s="147"/>
    <row r="811" ht="15.75" customHeight="1" s="147"/>
    <row r="812" ht="15.75" customHeight="1" s="147"/>
    <row r="813" ht="15.75" customHeight="1" s="147"/>
    <row r="814" ht="15.75" customHeight="1" s="147"/>
    <row r="815" ht="15.75" customHeight="1" s="147"/>
    <row r="816" ht="15.75" customHeight="1" s="147"/>
    <row r="817" ht="15.75" customHeight="1" s="147"/>
    <row r="818" ht="15.75" customHeight="1" s="147"/>
    <row r="819" ht="15.75" customHeight="1" s="147"/>
    <row r="820" ht="15.75" customHeight="1" s="147"/>
    <row r="821" ht="15.75" customHeight="1" s="147"/>
    <row r="822" ht="15.75" customHeight="1" s="147"/>
    <row r="823" ht="15.75" customHeight="1" s="147"/>
    <row r="824" ht="15.75" customHeight="1" s="147"/>
    <row r="825" ht="15.75" customHeight="1" s="147"/>
    <row r="826" ht="15.75" customHeight="1" s="147"/>
    <row r="827" ht="15.75" customHeight="1" s="147"/>
    <row r="828" ht="15.75" customHeight="1" s="147"/>
    <row r="829" ht="15.75" customHeight="1" s="147"/>
    <row r="830" ht="15.75" customHeight="1" s="147"/>
    <row r="831" ht="15.75" customHeight="1" s="147"/>
    <row r="832" ht="15.75" customHeight="1" s="147"/>
    <row r="833" ht="15.75" customHeight="1" s="147"/>
    <row r="834" ht="15.75" customHeight="1" s="147"/>
    <row r="835" ht="15.75" customHeight="1" s="147"/>
    <row r="836" ht="15.75" customHeight="1" s="147"/>
    <row r="837" ht="15.75" customHeight="1" s="147"/>
    <row r="838" ht="15.75" customHeight="1" s="147"/>
    <row r="839" ht="15.75" customHeight="1" s="147"/>
    <row r="840" ht="15.75" customHeight="1" s="147"/>
    <row r="841" ht="15.75" customHeight="1" s="147"/>
    <row r="842" ht="15.75" customHeight="1" s="147"/>
    <row r="843" ht="15.75" customHeight="1" s="147"/>
    <row r="844" ht="15.75" customHeight="1" s="147"/>
    <row r="845" ht="15.75" customHeight="1" s="147"/>
    <row r="846" ht="15.75" customHeight="1" s="147"/>
    <row r="847" ht="15.75" customHeight="1" s="147"/>
    <row r="848" ht="15.75" customHeight="1" s="147"/>
    <row r="849" ht="15.75" customHeight="1" s="147"/>
    <row r="850" ht="15.75" customHeight="1" s="147"/>
    <row r="851" ht="15.75" customHeight="1" s="147"/>
    <row r="852" ht="15.75" customHeight="1" s="147"/>
    <row r="853" ht="15.75" customHeight="1" s="147"/>
    <row r="854" ht="15.75" customHeight="1" s="147"/>
    <row r="855" ht="15.75" customHeight="1" s="147"/>
    <row r="856" ht="15.75" customHeight="1" s="147"/>
    <row r="857" ht="15.75" customHeight="1" s="147"/>
    <row r="858" ht="15.75" customHeight="1" s="147"/>
    <row r="859" ht="15.75" customHeight="1" s="147"/>
    <row r="860" ht="15.75" customHeight="1" s="147"/>
    <row r="861" ht="15.75" customHeight="1" s="147"/>
    <row r="862" ht="15.75" customHeight="1" s="147"/>
    <row r="863" ht="15.75" customHeight="1" s="147"/>
    <row r="864" ht="15.75" customHeight="1" s="147"/>
    <row r="865" ht="15.75" customHeight="1" s="147"/>
    <row r="866" ht="15.75" customHeight="1" s="147"/>
    <row r="867" ht="15.75" customHeight="1" s="147"/>
    <row r="868" ht="15.75" customHeight="1" s="147"/>
    <row r="869" ht="15.75" customHeight="1" s="147"/>
    <row r="870" ht="15.75" customHeight="1" s="147"/>
    <row r="871" ht="15.75" customHeight="1" s="147"/>
    <row r="872" ht="15.75" customHeight="1" s="147"/>
    <row r="873" ht="15.75" customHeight="1" s="147"/>
    <row r="874" ht="15.75" customHeight="1" s="147"/>
    <row r="875" ht="15.75" customHeight="1" s="147"/>
    <row r="876" ht="15.75" customHeight="1" s="147"/>
    <row r="877" ht="15.75" customHeight="1" s="147"/>
    <row r="878" ht="15.75" customHeight="1" s="147"/>
    <row r="879" ht="15.75" customHeight="1" s="147"/>
    <row r="880" ht="15.75" customHeight="1" s="147"/>
    <row r="881" ht="15.75" customHeight="1" s="147"/>
    <row r="882" ht="15.75" customHeight="1" s="147"/>
    <row r="883" ht="15.75" customHeight="1" s="147"/>
    <row r="884" ht="15.75" customHeight="1" s="147"/>
    <row r="885" ht="15.75" customHeight="1" s="147"/>
    <row r="886" ht="15.75" customHeight="1" s="147"/>
    <row r="887" ht="15.75" customHeight="1" s="147"/>
    <row r="888" ht="15.75" customHeight="1" s="147"/>
    <row r="889" ht="15.75" customHeight="1" s="147"/>
    <row r="890" ht="15.75" customHeight="1" s="147"/>
    <row r="891" ht="15.75" customHeight="1" s="147"/>
    <row r="892" ht="15.75" customHeight="1" s="147"/>
    <row r="893" ht="15.75" customHeight="1" s="147"/>
    <row r="894" ht="15.75" customHeight="1" s="147"/>
    <row r="895" ht="15.75" customHeight="1" s="147"/>
    <row r="896" ht="15.75" customHeight="1" s="147"/>
    <row r="897" ht="15.75" customHeight="1" s="147"/>
    <row r="898" ht="15.75" customHeight="1" s="147"/>
    <row r="899" ht="15.75" customHeight="1" s="147"/>
    <row r="900" ht="15.75" customHeight="1" s="147"/>
    <row r="901" ht="15.75" customHeight="1" s="147"/>
    <row r="902" ht="15.75" customHeight="1" s="147"/>
    <row r="903" ht="15.75" customHeight="1" s="147"/>
    <row r="904" ht="15.75" customHeight="1" s="147"/>
    <row r="905" ht="15.75" customHeight="1" s="147"/>
    <row r="906" ht="15.75" customHeight="1" s="147"/>
    <row r="907" ht="15.75" customHeight="1" s="147"/>
    <row r="908" ht="15.75" customHeight="1" s="147"/>
    <row r="909" ht="15.75" customHeight="1" s="147"/>
    <row r="910" ht="15.75" customHeight="1" s="147"/>
    <row r="911" ht="15.75" customHeight="1" s="147"/>
    <row r="912" ht="15.75" customHeight="1" s="147"/>
    <row r="913" ht="15.75" customHeight="1" s="147"/>
    <row r="914" ht="15.75" customHeight="1" s="147"/>
    <row r="915" ht="15.75" customHeight="1" s="147"/>
    <row r="916" ht="15.75" customHeight="1" s="147"/>
    <row r="917" ht="15.75" customHeight="1" s="147"/>
    <row r="918" ht="15.75" customHeight="1" s="147"/>
    <row r="919" ht="15.75" customHeight="1" s="147"/>
    <row r="920" ht="15.75" customHeight="1" s="147"/>
    <row r="921" ht="15.75" customHeight="1" s="147"/>
    <row r="922" ht="15.75" customHeight="1" s="147"/>
    <row r="923" ht="15.75" customHeight="1" s="147"/>
    <row r="924" ht="15.75" customHeight="1" s="147"/>
    <row r="925" ht="15.75" customHeight="1" s="147"/>
    <row r="926" ht="15.75" customHeight="1" s="147"/>
    <row r="927" ht="15.75" customHeight="1" s="147"/>
    <row r="928" ht="15.75" customHeight="1" s="147"/>
    <row r="929" ht="15.75" customHeight="1" s="147"/>
    <row r="930" ht="15.75" customHeight="1" s="147"/>
    <row r="931" ht="15.75" customHeight="1" s="147"/>
    <row r="932" ht="15.75" customHeight="1" s="147"/>
    <row r="933" ht="15.75" customHeight="1" s="147"/>
    <row r="934" ht="15.75" customHeight="1" s="147"/>
    <row r="935" ht="15.75" customHeight="1" s="147"/>
    <row r="936" ht="15.75" customHeight="1" s="147"/>
    <row r="937" ht="15.75" customHeight="1" s="147"/>
    <row r="938" ht="15.75" customHeight="1" s="147"/>
    <row r="939" ht="15.75" customHeight="1" s="147"/>
    <row r="940" ht="15.75" customHeight="1" s="147"/>
    <row r="941" ht="15.75" customHeight="1" s="147"/>
    <row r="942" ht="15.75" customHeight="1" s="147"/>
    <row r="943" ht="15.75" customHeight="1" s="147"/>
    <row r="944" ht="15.75" customHeight="1" s="147"/>
    <row r="945" ht="15.75" customHeight="1" s="147"/>
    <row r="946" ht="15.75" customHeight="1" s="147"/>
    <row r="947" ht="15.75" customHeight="1" s="147"/>
    <row r="948" ht="15.75" customHeight="1" s="147"/>
    <row r="949" ht="15.75" customHeight="1" s="147"/>
    <row r="950" ht="15.75" customHeight="1" s="147"/>
    <row r="951" ht="15.75" customHeight="1" s="147"/>
    <row r="952" ht="15.75" customHeight="1" s="147"/>
    <row r="953" ht="15.75" customHeight="1" s="147"/>
    <row r="954" ht="15.75" customHeight="1" s="147"/>
    <row r="955" ht="15.75" customHeight="1" s="147"/>
    <row r="956" ht="15.75" customHeight="1" s="147"/>
    <row r="957" ht="15.75" customHeight="1" s="147"/>
    <row r="958" ht="15.75" customHeight="1" s="147"/>
    <row r="959" ht="15.75" customHeight="1" s="147"/>
    <row r="960" ht="15.75" customHeight="1" s="147"/>
    <row r="961" ht="15.75" customHeight="1" s="147"/>
    <row r="962" ht="15.75" customHeight="1" s="147"/>
    <row r="963" ht="15.75" customHeight="1" s="147"/>
    <row r="964" ht="15.75" customHeight="1" s="147"/>
    <row r="965" ht="15.75" customHeight="1" s="147"/>
    <row r="966" ht="15.75" customHeight="1" s="147"/>
    <row r="967" ht="15.75" customHeight="1" s="147"/>
    <row r="968" ht="15.75" customHeight="1" s="147"/>
    <row r="969" ht="15.75" customHeight="1" s="147"/>
    <row r="970" ht="15.75" customHeight="1" s="147"/>
    <row r="971" ht="15.75" customHeight="1" s="147"/>
    <row r="972" ht="15.75" customHeight="1" s="147"/>
    <row r="973" ht="15.75" customHeight="1" s="147"/>
    <row r="974" ht="15.75" customHeight="1" s="147"/>
    <row r="975" ht="15.75" customHeight="1" s="147"/>
    <row r="976" ht="15.75" customHeight="1" s="147"/>
    <row r="977" ht="15.75" customHeight="1" s="147"/>
    <row r="978" ht="15.75" customHeight="1" s="147"/>
    <row r="979" ht="15.75" customHeight="1" s="147"/>
    <row r="980" ht="15.75" customHeight="1" s="147"/>
    <row r="981" ht="15.75" customHeight="1" s="147"/>
    <row r="982" ht="15.75" customHeight="1" s="147"/>
    <row r="983" ht="15.75" customHeight="1" s="147"/>
    <row r="984" ht="15.75" customHeight="1" s="147"/>
    <row r="985" ht="15.75" customHeight="1" s="147"/>
    <row r="986" ht="15.75" customHeight="1" s="147"/>
    <row r="987" ht="15.75" customHeight="1" s="147"/>
    <row r="988" ht="15.75" customHeight="1" s="147"/>
    <row r="989" ht="15.75" customHeight="1" s="147"/>
    <row r="990" ht="15.75" customHeight="1" s="147"/>
    <row r="991" ht="15.75" customHeight="1" s="147"/>
    <row r="992" ht="15.75" customHeight="1" s="147"/>
    <row r="993" ht="15.75" customHeight="1" s="147"/>
    <row r="994" ht="15.75" customHeight="1" s="147"/>
    <row r="995" ht="15.75" customHeight="1" s="147"/>
    <row r="996" ht="15.75" customHeight="1" s="147"/>
    <row r="997" ht="15.75" customHeight="1" s="147"/>
    <row r="998" ht="15.75" customHeight="1" s="147"/>
    <row r="999" ht="15.75" customHeight="1" s="147"/>
    <row r="1000" ht="15.75" customHeight="1" s="147"/>
  </sheetData>
  <mergeCells count="5">
    <mergeCell ref="A3:D3"/>
    <mergeCell ref="A34:F34"/>
    <mergeCell ref="A19:D19"/>
    <mergeCell ref="A11:D11"/>
    <mergeCell ref="A28:D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M1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8" customWidth="1" style="146" min="1" max="1"/>
    <col width="40" customWidth="1" style="146" min="2" max="2"/>
    <col width="32" customWidth="1" style="146" min="3" max="3"/>
    <col width="8.57" customWidth="1" style="146" min="4" max="4"/>
    <col width="44" customWidth="1" style="146" min="5" max="5"/>
    <col width="8.57" customWidth="1" style="146" min="6" max="6"/>
    <col width="40" customWidth="1" style="146" min="7" max="7"/>
    <col width="8.57" customWidth="1" style="146" min="8" max="8"/>
    <col width="10" customWidth="1" style="146" min="9" max="9"/>
    <col width="8.57" customWidth="1" style="146" min="10" max="10"/>
    <col width="14" customWidth="1" style="146" min="11" max="11"/>
    <col width="8.57" customWidth="1" style="146" min="12" max="12"/>
    <col width="22" customWidth="1" style="146" min="13" max="13"/>
    <col width="8.57" customWidth="1" style="146" min="14" max="26"/>
  </cols>
  <sheetData>
    <row r="1" ht="15" customHeight="1" s="147">
      <c r="A1" s="153" t="inlineStr">
        <is>
          <t>SIC2</t>
        </is>
      </c>
      <c r="B1" s="153" t="inlineStr">
        <is>
          <t>Industry (SIC major group)</t>
        </is>
      </c>
      <c r="C1" s="153" t="inlineStr">
        <is>
          <t>Division</t>
        </is>
      </c>
      <c r="E1" s="153" t="inlineStr">
        <is>
          <t>ISO (house-book spelling)</t>
        </is>
      </c>
      <c r="G1" s="153" t="inlineStr">
        <is>
          <t>Industry list</t>
        </is>
      </c>
      <c r="K1" s="153" t="inlineStr">
        <is>
          <t>Fed holiday</t>
        </is>
      </c>
      <c r="M1" s="153" t="inlineStr">
        <is>
          <t>Status list</t>
        </is>
      </c>
    </row>
    <row r="2" ht="15" customHeight="1" s="147">
      <c r="A2" s="146" t="inlineStr">
        <is>
          <t>01</t>
        </is>
      </c>
      <c r="B2" s="146" t="inlineStr">
        <is>
          <t>Agricultural Production - Crops</t>
        </is>
      </c>
      <c r="C2" s="146" t="inlineStr">
        <is>
          <t>Agriculture, Forestry &amp; Fishing</t>
        </is>
      </c>
      <c r="E2" s="146" t="inlineStr">
        <is>
          <t>Ace Partners</t>
        </is>
      </c>
      <c r="G2" s="146" t="inlineStr">
        <is>
          <t>Administration of Economic Programs</t>
        </is>
      </c>
      <c r="K2" s="265" t="n">
        <v>45292</v>
      </c>
      <c r="M2" s="146" t="inlineStr">
        <is>
          <t>Closed</t>
        </is>
      </c>
    </row>
    <row r="3" ht="15" customHeight="1" s="147">
      <c r="A3" s="146" t="inlineStr">
        <is>
          <t>02</t>
        </is>
      </c>
      <c r="B3" s="146" t="inlineStr">
        <is>
          <t>Agricultural Production - Livestock</t>
        </is>
      </c>
      <c r="C3" s="146" t="inlineStr">
        <is>
          <t>Agriculture, Forestry &amp; Fishing</t>
        </is>
      </c>
      <c r="E3" s="146" t="inlineStr">
        <is>
          <t>Advance Consolidations</t>
        </is>
      </c>
      <c r="G3" s="146" t="inlineStr">
        <is>
          <t>Agricultural Production - Crops</t>
        </is>
      </c>
      <c r="K3" s="265" t="n">
        <v>45306</v>
      </c>
      <c r="M3" s="146" t="inlineStr">
        <is>
          <t>Open</t>
        </is>
      </c>
    </row>
    <row r="4" ht="15" customHeight="1" s="147">
      <c r="A4" s="146" t="inlineStr">
        <is>
          <t>07</t>
        </is>
      </c>
      <c r="B4" s="146" t="inlineStr">
        <is>
          <t>Agricultural Services</t>
        </is>
      </c>
      <c r="C4" s="146" t="inlineStr">
        <is>
          <t>Agriculture, Forestry &amp; Fishing</t>
        </is>
      </c>
      <c r="E4" s="146" t="inlineStr">
        <is>
          <t>ALLSTATE FUND PROS LLC</t>
        </is>
      </c>
      <c r="G4" s="146" t="inlineStr">
        <is>
          <t>Agricultural Production - Livestock</t>
        </is>
      </c>
      <c r="K4" s="265" t="n">
        <v>45341</v>
      </c>
      <c r="M4" s="146" t="inlineStr">
        <is>
          <t>Legal</t>
        </is>
      </c>
    </row>
    <row r="5" ht="15" customHeight="1" s="147">
      <c r="A5" s="146" t="inlineStr">
        <is>
          <t>08</t>
        </is>
      </c>
      <c r="B5" s="146" t="inlineStr">
        <is>
          <t>Forestry</t>
        </is>
      </c>
      <c r="C5" s="146" t="inlineStr">
        <is>
          <t>Agriculture, Forestry &amp; Fishing</t>
        </is>
      </c>
      <c r="E5" s="146" t="inlineStr">
        <is>
          <t>Alternative Solutions Funding</t>
        </is>
      </c>
      <c r="G5" s="146" t="inlineStr">
        <is>
          <t>Agricultural Services</t>
        </is>
      </c>
      <c r="K5" s="265" t="n">
        <v>45439</v>
      </c>
      <c r="M5" s="146" t="inlineStr">
        <is>
          <t>In House Collection</t>
        </is>
      </c>
    </row>
    <row r="6" ht="15" customHeight="1" s="147">
      <c r="A6" s="146" t="inlineStr">
        <is>
          <t>13</t>
        </is>
      </c>
      <c r="B6" s="146" t="inlineStr">
        <is>
          <t>Oil &amp; Gas Extraction</t>
        </is>
      </c>
      <c r="C6" s="146" t="inlineStr">
        <is>
          <t>Mining</t>
        </is>
      </c>
      <c r="E6" s="146" t="inlineStr">
        <is>
          <t>alvara capital</t>
        </is>
      </c>
      <c r="G6" s="146" t="inlineStr">
        <is>
          <t>Air Transportation</t>
        </is>
      </c>
      <c r="K6" s="265" t="n">
        <v>45462</v>
      </c>
      <c r="M6" s="146" t="inlineStr">
        <is>
          <t>Lowered Payments</t>
        </is>
      </c>
    </row>
    <row r="7" ht="15" customHeight="1" s="147">
      <c r="A7" s="146" t="inlineStr">
        <is>
          <t>14</t>
        </is>
      </c>
      <c r="B7" s="146" t="inlineStr">
        <is>
          <t>Nonmetallic Minerals Mining</t>
        </is>
      </c>
      <c r="C7" s="146" t="inlineStr">
        <is>
          <t>Mining</t>
        </is>
      </c>
      <c r="E7" s="146" t="inlineStr">
        <is>
          <t>American Funding Association 1</t>
        </is>
      </c>
      <c r="G7" s="146" t="inlineStr">
        <is>
          <t>Amusement &amp; Recreation Services</t>
        </is>
      </c>
      <c r="K7" s="265" t="n">
        <v>45477</v>
      </c>
      <c r="M7" s="146" t="inlineStr">
        <is>
          <t>Written-Off</t>
        </is>
      </c>
    </row>
    <row r="8" ht="15" customHeight="1" s="147">
      <c r="A8" s="146" t="inlineStr">
        <is>
          <t>15</t>
        </is>
      </c>
      <c r="B8" s="146" t="inlineStr">
        <is>
          <t>General Building Contractors</t>
        </is>
      </c>
      <c r="C8" s="146" t="inlineStr">
        <is>
          <t>Construction</t>
        </is>
      </c>
      <c r="E8" s="146" t="inlineStr">
        <is>
          <t>Amerishop Financial services</t>
        </is>
      </c>
      <c r="G8" s="146" t="inlineStr">
        <is>
          <t>Apparel &amp; Accessory Stores</t>
        </is>
      </c>
      <c r="K8" s="265" t="n">
        <v>45537</v>
      </c>
      <c r="M8" s="146" t="inlineStr">
        <is>
          <t>Bankruptcy</t>
        </is>
      </c>
    </row>
    <row r="9" ht="15" customHeight="1" s="147">
      <c r="A9" s="146" t="inlineStr">
        <is>
          <t>16</t>
        </is>
      </c>
      <c r="B9" s="146" t="inlineStr">
        <is>
          <t>Heavy Construction</t>
        </is>
      </c>
      <c r="C9" s="146" t="inlineStr">
        <is>
          <t>Construction</t>
        </is>
      </c>
      <c r="E9" s="146" t="inlineStr">
        <is>
          <t>Aspire Funding</t>
        </is>
      </c>
      <c r="G9" s="146" t="inlineStr">
        <is>
          <t>Apparel &amp; Textile Products</t>
        </is>
      </c>
      <c r="K9" s="265" t="n">
        <v>45579</v>
      </c>
      <c r="M9" s="146" t="inlineStr">
        <is>
          <t>Settlement Agreement</t>
        </is>
      </c>
    </row>
    <row r="10" ht="15" customHeight="1" s="147">
      <c r="A10" s="146" t="inlineStr">
        <is>
          <t>17</t>
        </is>
      </c>
      <c r="B10" s="146" t="inlineStr">
        <is>
          <t>Special Trade Contractors</t>
        </is>
      </c>
      <c r="C10" s="146" t="inlineStr">
        <is>
          <t>Construction</t>
        </is>
      </c>
      <c r="E10" s="146" t="inlineStr">
        <is>
          <t>Atla Finance</t>
        </is>
      </c>
      <c r="G10" s="146" t="inlineStr">
        <is>
          <t>Auto Dealers &amp; Gas Stations</t>
        </is>
      </c>
      <c r="K10" s="265" t="n">
        <v>45607</v>
      </c>
      <c r="M10" s="146" t="inlineStr">
        <is>
          <t>Closed/NSF</t>
        </is>
      </c>
    </row>
    <row r="11" ht="15" customHeight="1" s="147">
      <c r="A11" s="146" t="inlineStr">
        <is>
          <t>20</t>
        </is>
      </c>
      <c r="B11" s="146" t="inlineStr">
        <is>
          <t>Food &amp; Kindred Products</t>
        </is>
      </c>
      <c r="C11" s="146" t="inlineStr">
        <is>
          <t>Manufacturing</t>
        </is>
      </c>
      <c r="E11" s="146" t="inlineStr">
        <is>
          <t>AVON ADVANCE</t>
        </is>
      </c>
      <c r="G11" s="146" t="inlineStr">
        <is>
          <t>Auto Repair &amp; Services</t>
        </is>
      </c>
      <c r="K11" s="265" t="n">
        <v>45624</v>
      </c>
      <c r="M11" s="146" t="inlineStr">
        <is>
          <t>Closed/NSF Unpaid</t>
        </is>
      </c>
    </row>
    <row r="12" ht="15" customHeight="1" s="147">
      <c r="A12" s="146" t="inlineStr">
        <is>
          <t>23</t>
        </is>
      </c>
      <c r="B12" s="146" t="inlineStr">
        <is>
          <t>Apparel &amp; Textile Products</t>
        </is>
      </c>
      <c r="C12" s="146" t="inlineStr">
        <is>
          <t>Manufacturing</t>
        </is>
      </c>
      <c r="E12" s="146" t="inlineStr">
        <is>
          <t>Ballicci</t>
        </is>
      </c>
      <c r="G12" s="146" t="inlineStr">
        <is>
          <t>Building Materials &amp; Garden Supply</t>
        </is>
      </c>
      <c r="K12" s="265" t="n">
        <v>45651</v>
      </c>
      <c r="M12" s="146" t="inlineStr">
        <is>
          <t>At-Risk</t>
        </is>
      </c>
    </row>
    <row r="13" ht="15" customHeight="1" s="147">
      <c r="A13" s="146" t="inlineStr">
        <is>
          <t>24</t>
        </is>
      </c>
      <c r="B13" s="146" t="inlineStr">
        <is>
          <t>Lumber &amp; Wood Products</t>
        </is>
      </c>
      <c r="C13" s="146" t="inlineStr">
        <is>
          <t>Manufacturing</t>
        </is>
      </c>
      <c r="E13" s="146" t="inlineStr">
        <is>
          <t>BFA 3</t>
        </is>
      </c>
      <c r="G13" s="146" t="inlineStr">
        <is>
          <t>Business Services</t>
        </is>
      </c>
      <c r="K13" s="265" t="n">
        <v>45658</v>
      </c>
    </row>
    <row r="14" ht="15" customHeight="1" s="147">
      <c r="A14" s="146" t="inlineStr">
        <is>
          <t>25</t>
        </is>
      </c>
      <c r="B14" s="146" t="inlineStr">
        <is>
          <t>Furniture &amp; Fixtures</t>
        </is>
      </c>
      <c r="C14" s="146" t="inlineStr">
        <is>
          <t>Manufacturing</t>
        </is>
      </c>
      <c r="E14" s="146" t="inlineStr">
        <is>
          <t>Bingo advance LLC</t>
        </is>
      </c>
      <c r="G14" s="146" t="inlineStr">
        <is>
          <t>Chemicals &amp; Allied Products</t>
        </is>
      </c>
      <c r="K14" s="265" t="n">
        <v>45677</v>
      </c>
    </row>
    <row r="15" ht="15" customHeight="1" s="147">
      <c r="A15" s="146" t="inlineStr">
        <is>
          <t>27</t>
        </is>
      </c>
      <c r="B15" s="146" t="inlineStr">
        <is>
          <t>Printing &amp; Publishing</t>
        </is>
      </c>
      <c r="C15" s="146" t="inlineStr">
        <is>
          <t>Manufacturing</t>
        </is>
      </c>
      <c r="E15" s="146" t="inlineStr">
        <is>
          <t>Birkin Capital Inc</t>
        </is>
      </c>
      <c r="G15" s="146" t="inlineStr">
        <is>
          <t>Communications</t>
        </is>
      </c>
      <c r="K15" s="265" t="n">
        <v>45705</v>
      </c>
    </row>
    <row r="16" ht="15" customHeight="1" s="147">
      <c r="A16" s="146" t="inlineStr">
        <is>
          <t>28</t>
        </is>
      </c>
      <c r="B16" s="146" t="inlineStr">
        <is>
          <t>Chemicals &amp; Allied Products</t>
        </is>
      </c>
      <c r="C16" s="146" t="inlineStr">
        <is>
          <t>Manufacturing</t>
        </is>
      </c>
      <c r="E16" s="146" t="inlineStr">
        <is>
          <t>biz advance now</t>
        </is>
      </c>
      <c r="G16" s="146" t="inlineStr">
        <is>
          <t>Eating &amp; Drinking Places</t>
        </is>
      </c>
      <c r="K16" s="265" t="n">
        <v>45803</v>
      </c>
    </row>
    <row r="17" ht="15" customHeight="1" s="147">
      <c r="A17" s="146" t="inlineStr">
        <is>
          <t>30</t>
        </is>
      </c>
      <c r="B17" s="146" t="inlineStr">
        <is>
          <t>Rubber &amp; Plastics</t>
        </is>
      </c>
      <c r="C17" s="146" t="inlineStr">
        <is>
          <t>Manufacturing</t>
        </is>
      </c>
      <c r="E17" s="146" t="inlineStr">
        <is>
          <t>Biz fuel</t>
        </is>
      </c>
      <c r="G17" s="146" t="inlineStr">
        <is>
          <t>Educational Services</t>
        </is>
      </c>
      <c r="K17" s="265" t="n">
        <v>45827</v>
      </c>
    </row>
    <row r="18" ht="15" customHeight="1" s="147">
      <c r="A18" s="146" t="inlineStr">
        <is>
          <t>32</t>
        </is>
      </c>
      <c r="B18" s="146" t="inlineStr">
        <is>
          <t>Stone, Clay, Glass &amp; Concrete</t>
        </is>
      </c>
      <c r="C18" s="146" t="inlineStr">
        <is>
          <t>Manufacturing</t>
        </is>
      </c>
      <c r="E18" s="146" t="inlineStr">
        <is>
          <t>BizFin LLC</t>
        </is>
      </c>
      <c r="G18" s="146" t="inlineStr">
        <is>
          <t>Electric, Gas &amp; Sanitary Services</t>
        </is>
      </c>
      <c r="K18" s="265" t="n">
        <v>45842</v>
      </c>
    </row>
    <row r="19" ht="15" customHeight="1" s="147">
      <c r="A19" s="146" t="inlineStr">
        <is>
          <t>33</t>
        </is>
      </c>
      <c r="B19" s="146" t="inlineStr">
        <is>
          <t>Primary Metal Industries</t>
        </is>
      </c>
      <c r="C19" s="146" t="inlineStr">
        <is>
          <t>Manufacturing</t>
        </is>
      </c>
      <c r="E19" s="146" t="inlineStr">
        <is>
          <t>black flag funding</t>
        </is>
      </c>
      <c r="G19" s="146" t="inlineStr">
        <is>
          <t>Electronic &amp; Electrical Equipment</t>
        </is>
      </c>
      <c r="K19" s="265" t="n">
        <v>45901</v>
      </c>
    </row>
    <row r="20" ht="15" customHeight="1" s="147">
      <c r="A20" s="146" t="inlineStr">
        <is>
          <t>34</t>
        </is>
      </c>
      <c r="B20" s="146" t="inlineStr">
        <is>
          <t>Fabricated Metal Products</t>
        </is>
      </c>
      <c r="C20" s="146" t="inlineStr">
        <is>
          <t>Manufacturing</t>
        </is>
      </c>
      <c r="E20" s="146" t="inlineStr">
        <is>
          <t>Black Tie Funding</t>
        </is>
      </c>
      <c r="G20" s="146" t="inlineStr">
        <is>
          <t>Engineering, Accounting &amp; Management</t>
        </is>
      </c>
      <c r="K20" s="265" t="n">
        <v>45943</v>
      </c>
    </row>
    <row r="21" ht="15.75" customHeight="1" s="147">
      <c r="A21" s="146" t="inlineStr">
        <is>
          <t>35</t>
        </is>
      </c>
      <c r="B21" s="146" t="inlineStr">
        <is>
          <t>Industrial Machinery &amp; Equipment</t>
        </is>
      </c>
      <c r="C21" s="146" t="inlineStr">
        <is>
          <t>Manufacturing</t>
        </is>
      </c>
      <c r="E21" s="146" t="inlineStr">
        <is>
          <t>Blue Oak Advance</t>
        </is>
      </c>
      <c r="G21" s="146" t="inlineStr">
        <is>
          <t>Environmental Quality &amp; Housing</t>
        </is>
      </c>
      <c r="K21" s="265" t="n">
        <v>45972</v>
      </c>
    </row>
    <row r="22" ht="15.75" customHeight="1" s="147">
      <c r="A22" s="146" t="inlineStr">
        <is>
          <t>36</t>
        </is>
      </c>
      <c r="B22" s="146" t="inlineStr">
        <is>
          <t>Electronic &amp; Electrical Equipment</t>
        </is>
      </c>
      <c r="C22" s="146" t="inlineStr">
        <is>
          <t>Manufacturing</t>
        </is>
      </c>
      <c r="E22" s="146" t="inlineStr">
        <is>
          <t>bridge consolidation</t>
        </is>
      </c>
      <c r="G22" s="146" t="inlineStr">
        <is>
          <t>Fabricated Metal Products</t>
        </is>
      </c>
      <c r="K22" s="265" t="n">
        <v>45988</v>
      </c>
    </row>
    <row r="23" ht="15.75" customHeight="1" s="147">
      <c r="A23" s="146" t="inlineStr">
        <is>
          <t>37</t>
        </is>
      </c>
      <c r="B23" s="146" t="inlineStr">
        <is>
          <t>Transportation Equipment</t>
        </is>
      </c>
      <c r="C23" s="146" t="inlineStr">
        <is>
          <t>Manufacturing</t>
        </is>
      </c>
      <c r="E23" s="146" t="inlineStr">
        <is>
          <t>Broadway Advance LLC</t>
        </is>
      </c>
      <c r="G23" s="146" t="inlineStr">
        <is>
          <t>Food &amp; Kindred Products</t>
        </is>
      </c>
      <c r="K23" s="265" t="n">
        <v>46016</v>
      </c>
    </row>
    <row r="24" ht="15.75" customHeight="1" s="147">
      <c r="A24" s="146" t="inlineStr">
        <is>
          <t>38</t>
        </is>
      </c>
      <c r="B24" s="146" t="inlineStr">
        <is>
          <t>Instruments &amp; Related Products</t>
        </is>
      </c>
      <c r="C24" s="146" t="inlineStr">
        <is>
          <t>Manufacturing</t>
        </is>
      </c>
      <c r="E24" s="146" t="inlineStr">
        <is>
          <t>Business Fund USA 4</t>
        </is>
      </c>
      <c r="G24" s="146" t="inlineStr">
        <is>
          <t>Food Stores</t>
        </is>
      </c>
      <c r="K24" s="265" t="n">
        <v>46023</v>
      </c>
    </row>
    <row r="25" ht="15.75" customHeight="1" s="147">
      <c r="A25" s="146" t="inlineStr">
        <is>
          <t>39</t>
        </is>
      </c>
      <c r="B25" s="146" t="inlineStr">
        <is>
          <t>Miscellaneous Manufacturing</t>
        </is>
      </c>
      <c r="C25" s="146" t="inlineStr">
        <is>
          <t>Manufacturing</t>
        </is>
      </c>
      <c r="E25" s="146" t="inlineStr">
        <is>
          <t>Can I Have Money</t>
        </is>
      </c>
      <c r="G25" s="146" t="inlineStr">
        <is>
          <t>Forestry</t>
        </is>
      </c>
      <c r="K25" s="265" t="n">
        <v>46041</v>
      </c>
    </row>
    <row r="26" ht="15.75" customHeight="1" s="147">
      <c r="A26" s="146" t="inlineStr">
        <is>
          <t>41</t>
        </is>
      </c>
      <c r="B26" s="146" t="inlineStr">
        <is>
          <t>Local &amp; Interurban Passenger Transit</t>
        </is>
      </c>
      <c r="C26" s="146" t="inlineStr">
        <is>
          <t>Transportation &amp; Utilities</t>
        </is>
      </c>
      <c r="E26" s="146" t="inlineStr">
        <is>
          <t>Capfront Funding</t>
        </is>
      </c>
      <c r="G26" s="146" t="inlineStr">
        <is>
          <t>Furniture &amp; Fixtures</t>
        </is>
      </c>
      <c r="K26" s="265" t="n">
        <v>46069</v>
      </c>
    </row>
    <row r="27" ht="15.75" customHeight="1" s="147">
      <c r="A27" s="146" t="inlineStr">
        <is>
          <t>42</t>
        </is>
      </c>
      <c r="B27" s="146" t="inlineStr">
        <is>
          <t>Trucking &amp; Warehousing</t>
        </is>
      </c>
      <c r="C27" s="146" t="inlineStr">
        <is>
          <t>Transportation &amp; Utilities</t>
        </is>
      </c>
      <c r="E27" s="146" t="inlineStr">
        <is>
          <t>Capital 1 Group LLC DBA Tier One Financing LLC</t>
        </is>
      </c>
      <c r="G27" s="146" t="inlineStr">
        <is>
          <t>Furniture &amp; Home Furnishings Stores</t>
        </is>
      </c>
      <c r="K27" s="265" t="n">
        <v>46167</v>
      </c>
    </row>
    <row r="28" ht="15.75" customHeight="1" s="147">
      <c r="A28" s="146" t="inlineStr">
        <is>
          <t>44</t>
        </is>
      </c>
      <c r="B28" s="146" t="inlineStr">
        <is>
          <t>Water Transportation</t>
        </is>
      </c>
      <c r="C28" s="146" t="inlineStr">
        <is>
          <t>Transportation &amp; Utilities</t>
        </is>
      </c>
      <c r="E28" s="146" t="inlineStr">
        <is>
          <t>CARE FUNDING GROUP</t>
        </is>
      </c>
      <c r="G28" s="146" t="inlineStr">
        <is>
          <t>General Building Contractors</t>
        </is>
      </c>
      <c r="K28" s="265" t="n">
        <v>46192</v>
      </c>
    </row>
    <row r="29" ht="15.75" customHeight="1" s="147">
      <c r="A29" s="146" t="inlineStr">
        <is>
          <t>45</t>
        </is>
      </c>
      <c r="B29" s="146" t="inlineStr">
        <is>
          <t>Air Transportation</t>
        </is>
      </c>
      <c r="C29" s="146" t="inlineStr">
        <is>
          <t>Transportation &amp; Utilities</t>
        </is>
      </c>
      <c r="E29" s="146" t="inlineStr">
        <is>
          <t>cavala funding</t>
        </is>
      </c>
      <c r="G29" s="146" t="inlineStr">
        <is>
          <t>General Merchandise Stores</t>
        </is>
      </c>
      <c r="K29" s="265" t="n">
        <v>46272</v>
      </c>
    </row>
    <row r="30" ht="15.75" customHeight="1" s="147">
      <c r="A30" s="146" t="inlineStr">
        <is>
          <t>47</t>
        </is>
      </c>
      <c r="B30" s="146" t="inlineStr">
        <is>
          <t>Transportation Services</t>
        </is>
      </c>
      <c r="C30" s="146" t="inlineStr">
        <is>
          <t>Transportation &amp; Utilities</t>
        </is>
      </c>
      <c r="E30" s="146" t="inlineStr">
        <is>
          <t>cenitcapital</t>
        </is>
      </c>
      <c r="G30" s="146" t="inlineStr">
        <is>
          <t>Health Services</t>
        </is>
      </c>
      <c r="K30" s="265" t="n">
        <v>46307</v>
      </c>
    </row>
    <row r="31" ht="15.75" customHeight="1" s="147">
      <c r="A31" s="146" t="inlineStr">
        <is>
          <t>48</t>
        </is>
      </c>
      <c r="B31" s="146" t="inlineStr">
        <is>
          <t>Communications</t>
        </is>
      </c>
      <c r="C31" s="146" t="inlineStr">
        <is>
          <t>Transportation &amp; Utilities</t>
        </is>
      </c>
      <c r="E31" s="146" t="inlineStr">
        <is>
          <t>Choicecapital Solutions LLC</t>
        </is>
      </c>
      <c r="G31" s="146" t="inlineStr">
        <is>
          <t>Heavy Construction</t>
        </is>
      </c>
      <c r="K31" s="265" t="n">
        <v>46337</v>
      </c>
    </row>
    <row r="32" ht="15.75" customHeight="1" s="147">
      <c r="A32" s="146" t="inlineStr">
        <is>
          <t>49</t>
        </is>
      </c>
      <c r="B32" s="146" t="inlineStr">
        <is>
          <t>Electric, Gas &amp; Sanitary Services</t>
        </is>
      </c>
      <c r="C32" s="146" t="inlineStr">
        <is>
          <t>Transportation &amp; Utilities</t>
        </is>
      </c>
      <c r="E32" s="146" t="inlineStr">
        <is>
          <t>City Wide Capital</t>
        </is>
      </c>
      <c r="G32" s="146" t="inlineStr">
        <is>
          <t>Hotels &amp; Lodging</t>
        </is>
      </c>
      <c r="K32" s="265" t="n">
        <v>46352</v>
      </c>
    </row>
    <row r="33" ht="15.75" customHeight="1" s="147">
      <c r="A33" s="146" t="inlineStr">
        <is>
          <t>50</t>
        </is>
      </c>
      <c r="B33" s="146" t="inlineStr">
        <is>
          <t>Wholesale Trade - Durable Goods</t>
        </is>
      </c>
      <c r="C33" s="146" t="inlineStr">
        <is>
          <t>Wholesale Trade</t>
        </is>
      </c>
      <c r="E33" s="146" t="inlineStr">
        <is>
          <t>Clover Capital</t>
        </is>
      </c>
      <c r="G33" s="146" t="inlineStr">
        <is>
          <t>Industrial Machinery &amp; Equipment</t>
        </is>
      </c>
      <c r="K33" s="265" t="n">
        <v>46381</v>
      </c>
    </row>
    <row r="34" ht="15.75" customHeight="1" s="147">
      <c r="A34" s="146" t="inlineStr">
        <is>
          <t>51</t>
        </is>
      </c>
      <c r="B34" s="146" t="inlineStr">
        <is>
          <t>Wholesale Trade - Nondurable Goods</t>
        </is>
      </c>
      <c r="C34" s="146" t="inlineStr">
        <is>
          <t>Wholesale Trade</t>
        </is>
      </c>
      <c r="E34" s="146" t="inlineStr">
        <is>
          <t>CNL LOANS</t>
        </is>
      </c>
      <c r="G34" s="146" t="inlineStr">
        <is>
          <t>Instruments &amp; Related Products</t>
        </is>
      </c>
      <c r="K34" s="265" t="n">
        <v>46388</v>
      </c>
    </row>
    <row r="35" ht="15.75" customHeight="1" s="147">
      <c r="A35" s="146" t="inlineStr">
        <is>
          <t>52</t>
        </is>
      </c>
      <c r="B35" s="146" t="inlineStr">
        <is>
          <t>Building Materials &amp; Garden Supply</t>
        </is>
      </c>
      <c r="C35" s="146" t="inlineStr">
        <is>
          <t>Retail Trade</t>
        </is>
      </c>
      <c r="E35" s="146" t="inlineStr">
        <is>
          <t>Credibly</t>
        </is>
      </c>
      <c r="G35" s="146" t="inlineStr">
        <is>
          <t>Insurance Agents &amp; Brokers</t>
        </is>
      </c>
      <c r="K35" s="265" t="n">
        <v>46405</v>
      </c>
    </row>
    <row r="36" ht="15.75" customHeight="1" s="147">
      <c r="A36" s="146" t="inlineStr">
        <is>
          <t>53</t>
        </is>
      </c>
      <c r="B36" s="146" t="inlineStr">
        <is>
          <t>General Merchandise Stores</t>
        </is>
      </c>
      <c r="C36" s="146" t="inlineStr">
        <is>
          <t>Retail Trade</t>
        </is>
      </c>
      <c r="E36" s="146" t="inlineStr">
        <is>
          <t>DBS FUNDING GROUP</t>
        </is>
      </c>
      <c r="G36" s="146" t="inlineStr">
        <is>
          <t>Insurance Carriers</t>
        </is>
      </c>
      <c r="K36" s="265" t="n">
        <v>46433</v>
      </c>
    </row>
    <row r="37" ht="15.75" customHeight="1" s="147">
      <c r="A37" s="146" t="inlineStr">
        <is>
          <t>54</t>
        </is>
      </c>
      <c r="B37" s="146" t="inlineStr">
        <is>
          <t>Food Stores</t>
        </is>
      </c>
      <c r="C37" s="146" t="inlineStr">
        <is>
          <t>Retail Trade</t>
        </is>
      </c>
      <c r="E37" s="146" t="inlineStr">
        <is>
          <t>Deal Struck</t>
        </is>
      </c>
      <c r="G37" s="146" t="inlineStr">
        <is>
          <t>Justice, Public Order &amp; Safety</t>
        </is>
      </c>
      <c r="K37" s="265" t="n">
        <v>46538</v>
      </c>
    </row>
    <row r="38" ht="15.75" customHeight="1" s="147">
      <c r="A38" s="146" t="inlineStr">
        <is>
          <t>55</t>
        </is>
      </c>
      <c r="B38" s="146" t="inlineStr">
        <is>
          <t>Auto Dealers &amp; Gas Stations</t>
        </is>
      </c>
      <c r="C38" s="146" t="inlineStr">
        <is>
          <t>Retail Trade</t>
        </is>
      </c>
      <c r="E38" s="146" t="inlineStr">
        <is>
          <t>Diamond Bar Funding</t>
        </is>
      </c>
      <c r="G38" s="146" t="inlineStr">
        <is>
          <t>Legal Services</t>
        </is>
      </c>
      <c r="K38" s="265" t="n">
        <v>46573</v>
      </c>
    </row>
    <row r="39" ht="15.75" customHeight="1" s="147">
      <c r="A39" s="146" t="inlineStr">
        <is>
          <t>56</t>
        </is>
      </c>
      <c r="B39" s="146" t="inlineStr">
        <is>
          <t>Apparel &amp; Accessory Stores</t>
        </is>
      </c>
      <c r="C39" s="146" t="inlineStr">
        <is>
          <t>Retail Trade</t>
        </is>
      </c>
      <c r="E39" s="146" t="inlineStr">
        <is>
          <t>DIRECT CAPITAL SOURCE, INC.</t>
        </is>
      </c>
      <c r="G39" s="146" t="inlineStr">
        <is>
          <t>Local &amp; Interurban Passenger Transit</t>
        </is>
      </c>
      <c r="K39" s="265" t="n">
        <v>46636</v>
      </c>
    </row>
    <row r="40" ht="15.75" customHeight="1" s="147">
      <c r="A40" s="146" t="inlineStr">
        <is>
          <t>57</t>
        </is>
      </c>
      <c r="B40" s="146" t="inlineStr">
        <is>
          <t>Furniture &amp; Home Furnishings Stores</t>
        </is>
      </c>
      <c r="C40" s="146" t="inlineStr">
        <is>
          <t>Retail Trade</t>
        </is>
      </c>
      <c r="E40" s="146" t="inlineStr">
        <is>
          <t>Direct Funding LLC</t>
        </is>
      </c>
      <c r="G40" s="146" t="inlineStr">
        <is>
          <t>Lumber &amp; Wood Products</t>
        </is>
      </c>
      <c r="K40" s="265" t="n">
        <v>46671</v>
      </c>
    </row>
    <row r="41" ht="15.75" customHeight="1" s="147">
      <c r="A41" s="146" t="inlineStr">
        <is>
          <t>58</t>
        </is>
      </c>
      <c r="B41" s="146" t="inlineStr">
        <is>
          <t>Eating &amp; Drinking Places</t>
        </is>
      </c>
      <c r="C41" s="146" t="inlineStr">
        <is>
          <t>Retail Trade</t>
        </is>
      </c>
      <c r="E41" s="146" t="inlineStr">
        <is>
          <t>Dubbs holding</t>
        </is>
      </c>
      <c r="G41" s="146" t="inlineStr">
        <is>
          <t>Membership Organizations</t>
        </is>
      </c>
      <c r="K41" s="265" t="n">
        <v>46702</v>
      </c>
    </row>
    <row r="42" ht="15.75" customHeight="1" s="147">
      <c r="A42" s="146" t="inlineStr">
        <is>
          <t>59</t>
        </is>
      </c>
      <c r="B42" s="146" t="inlineStr">
        <is>
          <t>Miscellaneous Retail</t>
        </is>
      </c>
      <c r="C42" s="146" t="inlineStr">
        <is>
          <t>Retail Trade</t>
        </is>
      </c>
      <c r="E42" s="146" t="inlineStr">
        <is>
          <t>ecp business capital</t>
        </is>
      </c>
      <c r="G42" s="146" t="inlineStr">
        <is>
          <t>Miscellaneous Manufacturing</t>
        </is>
      </c>
      <c r="K42" s="265" t="n">
        <v>46716</v>
      </c>
    </row>
    <row r="43" ht="15.75" customHeight="1" s="147">
      <c r="A43" s="146" t="inlineStr">
        <is>
          <t>62</t>
        </is>
      </c>
      <c r="B43" s="146" t="inlineStr">
        <is>
          <t>Security &amp; Commodity Brokers</t>
        </is>
      </c>
      <c r="C43" s="146" t="inlineStr">
        <is>
          <t>Finance, Insurance &amp; Real Estate</t>
        </is>
      </c>
      <c r="E43" s="146" t="inlineStr">
        <is>
          <t>Elite Advance 5</t>
        </is>
      </c>
      <c r="G43" s="146" t="inlineStr">
        <is>
          <t>Miscellaneous Repair Services</t>
        </is>
      </c>
    </row>
    <row r="44" ht="15.75" customHeight="1" s="147">
      <c r="A44" s="146" t="inlineStr">
        <is>
          <t>63</t>
        </is>
      </c>
      <c r="B44" s="146" t="inlineStr">
        <is>
          <t>Insurance Carriers</t>
        </is>
      </c>
      <c r="C44" s="146" t="inlineStr">
        <is>
          <t>Finance, Insurance &amp; Real Estate</t>
        </is>
      </c>
      <c r="E44" s="146" t="inlineStr">
        <is>
          <t>elite finance team</t>
        </is>
      </c>
      <c r="G44" s="146" t="inlineStr">
        <is>
          <t>Miscellaneous Retail</t>
        </is>
      </c>
    </row>
    <row r="45" ht="15.75" customHeight="1" s="147">
      <c r="A45" s="146" t="inlineStr">
        <is>
          <t>64</t>
        </is>
      </c>
      <c r="B45" s="146" t="inlineStr">
        <is>
          <t>Insurance Agents &amp; Brokers</t>
        </is>
      </c>
      <c r="C45" s="146" t="inlineStr">
        <is>
          <t>Finance, Insurance &amp; Real Estate</t>
        </is>
      </c>
      <c r="E45" s="146" t="inlineStr">
        <is>
          <t>ELITE FUNDING PARTNERS LLC 6</t>
        </is>
      </c>
      <c r="G45" s="146" t="inlineStr">
        <is>
          <t>Motion Pictures</t>
        </is>
      </c>
    </row>
    <row r="46" ht="15.75" customHeight="1" s="147">
      <c r="A46" s="146" t="inlineStr">
        <is>
          <t>65</t>
        </is>
      </c>
      <c r="B46" s="146" t="inlineStr">
        <is>
          <t>Real Estate</t>
        </is>
      </c>
      <c r="C46" s="146" t="inlineStr">
        <is>
          <t>Finance, Insurance &amp; Real Estate</t>
        </is>
      </c>
      <c r="E46" s="146" t="inlineStr">
        <is>
          <t>EVR GREEN LLC</t>
        </is>
      </c>
      <c r="G46" s="146" t="inlineStr">
        <is>
          <t>Museums &amp; Botanical Gardens</t>
        </is>
      </c>
    </row>
    <row r="47" ht="15.75" customHeight="1" s="147">
      <c r="A47" s="146" t="inlineStr">
        <is>
          <t>70</t>
        </is>
      </c>
      <c r="B47" s="146" t="inlineStr">
        <is>
          <t>Hotels &amp; Lodging</t>
        </is>
      </c>
      <c r="C47" s="146" t="inlineStr">
        <is>
          <t>Services</t>
        </is>
      </c>
      <c r="E47" s="146" t="inlineStr">
        <is>
          <t>EZ ADVANCE LLC</t>
        </is>
      </c>
      <c r="G47" s="146" t="inlineStr">
        <is>
          <t>National Security &amp; Intl Affairs</t>
        </is>
      </c>
    </row>
    <row r="48" ht="15.75" customHeight="1" s="147">
      <c r="A48" s="146" t="inlineStr">
        <is>
          <t>72</t>
        </is>
      </c>
      <c r="B48" s="146" t="inlineStr">
        <is>
          <t>Personal Services</t>
        </is>
      </c>
      <c r="C48" s="146" t="inlineStr">
        <is>
          <t>Services</t>
        </is>
      </c>
      <c r="E48" s="146" t="inlineStr">
        <is>
          <t>ez alternative solutions</t>
        </is>
      </c>
      <c r="G48" s="146" t="inlineStr">
        <is>
          <t>Nonmetallic Minerals Mining</t>
        </is>
      </c>
    </row>
    <row r="49" ht="15.75" customHeight="1" s="147">
      <c r="A49" s="146" t="inlineStr">
        <is>
          <t>73</t>
        </is>
      </c>
      <c r="B49" s="146" t="inlineStr">
        <is>
          <t>Business Services</t>
        </is>
      </c>
      <c r="C49" s="146" t="inlineStr">
        <is>
          <t>Services</t>
        </is>
      </c>
      <c r="E49" s="146" t="inlineStr">
        <is>
          <t>FC ADVANCE</t>
        </is>
      </c>
      <c r="G49" s="146" t="inlineStr">
        <is>
          <t>Oil &amp; Gas Extraction</t>
        </is>
      </c>
    </row>
    <row r="50" ht="15.75" customHeight="1" s="147">
      <c r="A50" s="146" t="inlineStr">
        <is>
          <t>75</t>
        </is>
      </c>
      <c r="B50" s="146" t="inlineStr">
        <is>
          <t>Auto Repair &amp; Services</t>
        </is>
      </c>
      <c r="C50" s="146" t="inlineStr">
        <is>
          <t>Services</t>
        </is>
      </c>
      <c r="E50" s="146" t="inlineStr">
        <is>
          <t>Fidelity Funding</t>
        </is>
      </c>
      <c r="G50" s="146" t="inlineStr">
        <is>
          <t>Personal Services</t>
        </is>
      </c>
    </row>
    <row r="51" ht="15.75" customHeight="1" s="147">
      <c r="A51" s="146" t="inlineStr">
        <is>
          <t>76</t>
        </is>
      </c>
      <c r="B51" s="146" t="inlineStr">
        <is>
          <t>Miscellaneous Repair Services</t>
        </is>
      </c>
      <c r="C51" s="146" t="inlineStr">
        <is>
          <t>Services</t>
        </is>
      </c>
      <c r="E51" s="146" t="inlineStr">
        <is>
          <t>FIFTH VENTURE</t>
        </is>
      </c>
      <c r="G51" s="146" t="inlineStr">
        <is>
          <t>Primary Metal Industries</t>
        </is>
      </c>
    </row>
    <row r="52" ht="15.75" customHeight="1" s="147">
      <c r="A52" s="146" t="inlineStr">
        <is>
          <t>78</t>
        </is>
      </c>
      <c r="B52" s="146" t="inlineStr">
        <is>
          <t>Motion Pictures</t>
        </is>
      </c>
      <c r="C52" s="146" t="inlineStr">
        <is>
          <t>Services</t>
        </is>
      </c>
      <c r="E52" s="146" t="inlineStr">
        <is>
          <t>FIMACAP INC</t>
        </is>
      </c>
      <c r="G52" s="146" t="inlineStr">
        <is>
          <t>Printing &amp; Publishing</t>
        </is>
      </c>
    </row>
    <row r="53" ht="15.75" customHeight="1" s="147">
      <c r="A53" s="146" t="inlineStr">
        <is>
          <t>79</t>
        </is>
      </c>
      <c r="B53" s="146" t="inlineStr">
        <is>
          <t>Amusement &amp; Recreation Services</t>
        </is>
      </c>
      <c r="C53" s="146" t="inlineStr">
        <is>
          <t>Services</t>
        </is>
      </c>
      <c r="E53" s="146" t="inlineStr">
        <is>
          <t>Financial Express LLC</t>
        </is>
      </c>
      <c r="G53" s="146" t="inlineStr">
        <is>
          <t>Real Estate</t>
        </is>
      </c>
    </row>
    <row r="54" ht="15.75" customHeight="1" s="147">
      <c r="A54" s="146" t="inlineStr">
        <is>
          <t>80</t>
        </is>
      </c>
      <c r="B54" s="146" t="inlineStr">
        <is>
          <t>Health Services</t>
        </is>
      </c>
      <c r="C54" s="146" t="inlineStr">
        <is>
          <t>Services</t>
        </is>
      </c>
      <c r="E54" s="146" t="inlineStr">
        <is>
          <t>Financity</t>
        </is>
      </c>
      <c r="G54" s="146" t="inlineStr">
        <is>
          <t>Rubber &amp; Plastics</t>
        </is>
      </c>
    </row>
    <row r="55" ht="15.75" customHeight="1" s="147">
      <c r="A55" s="146" t="inlineStr">
        <is>
          <t>81</t>
        </is>
      </c>
      <c r="B55" s="146" t="inlineStr">
        <is>
          <t>Legal Services</t>
        </is>
      </c>
      <c r="C55" s="146" t="inlineStr">
        <is>
          <t>Services</t>
        </is>
      </c>
      <c r="E55" s="146" t="inlineStr">
        <is>
          <t>FireLine Funding</t>
        </is>
      </c>
      <c r="G55" s="146" t="inlineStr">
        <is>
          <t>Security &amp; Commodity Brokers</t>
        </is>
      </c>
    </row>
    <row r="56" ht="15.75" customHeight="1" s="147">
      <c r="A56" s="146" t="inlineStr">
        <is>
          <t>82</t>
        </is>
      </c>
      <c r="B56" s="146" t="inlineStr">
        <is>
          <t>Educational Services</t>
        </is>
      </c>
      <c r="C56" s="146" t="inlineStr">
        <is>
          <t>Services</t>
        </is>
      </c>
      <c r="E56" s="146" t="inlineStr">
        <is>
          <t>First Path Capital</t>
        </is>
      </c>
      <c r="G56" s="146" t="inlineStr">
        <is>
          <t>Services - Miscellaneous</t>
        </is>
      </c>
    </row>
    <row r="57" ht="15.75" customHeight="1" s="147">
      <c r="A57" s="146" t="inlineStr">
        <is>
          <t>83</t>
        </is>
      </c>
      <c r="B57" s="146" t="inlineStr">
        <is>
          <t>Social Services</t>
        </is>
      </c>
      <c r="C57" s="146" t="inlineStr">
        <is>
          <t>Services</t>
        </is>
      </c>
      <c r="E57" s="146" t="inlineStr">
        <is>
          <t>Fund Kite</t>
        </is>
      </c>
      <c r="G57" s="146" t="inlineStr">
        <is>
          <t>Social Services</t>
        </is>
      </c>
    </row>
    <row r="58" ht="15.75" customHeight="1" s="147">
      <c r="A58" s="146" t="inlineStr">
        <is>
          <t>84</t>
        </is>
      </c>
      <c r="B58" s="146" t="inlineStr">
        <is>
          <t>Museums &amp; Botanical Gardens</t>
        </is>
      </c>
      <c r="C58" s="146" t="inlineStr">
        <is>
          <t>Services</t>
        </is>
      </c>
      <c r="E58" s="146" t="inlineStr">
        <is>
          <t>Fund Max</t>
        </is>
      </c>
      <c r="G58" s="146" t="inlineStr">
        <is>
          <t>Special Trade Contractors</t>
        </is>
      </c>
    </row>
    <row r="59" ht="15.75" customHeight="1" s="147">
      <c r="A59" s="146" t="inlineStr">
        <is>
          <t>86</t>
        </is>
      </c>
      <c r="B59" s="146" t="inlineStr">
        <is>
          <t>Membership Organizations</t>
        </is>
      </c>
      <c r="C59" s="146" t="inlineStr">
        <is>
          <t>Services</t>
        </is>
      </c>
      <c r="E59" s="146" t="inlineStr">
        <is>
          <t>Fund Simple</t>
        </is>
      </c>
      <c r="G59" s="146" t="inlineStr">
        <is>
          <t>Stone, Clay, Glass &amp; Concrete</t>
        </is>
      </c>
    </row>
    <row r="60" ht="15.75" customHeight="1" s="147">
      <c r="A60" s="146" t="inlineStr">
        <is>
          <t>87</t>
        </is>
      </c>
      <c r="B60" s="146" t="inlineStr">
        <is>
          <t>Engineering, Accounting &amp; Management</t>
        </is>
      </c>
      <c r="C60" s="146" t="inlineStr">
        <is>
          <t>Services</t>
        </is>
      </c>
      <c r="E60" s="146" t="inlineStr">
        <is>
          <t>Fund Your Bizz</t>
        </is>
      </c>
      <c r="G60" s="146" t="inlineStr">
        <is>
          <t>Transportation Equipment</t>
        </is>
      </c>
    </row>
    <row r="61" ht="15.75" customHeight="1" s="147">
      <c r="A61" s="146" t="inlineStr">
        <is>
          <t>89</t>
        </is>
      </c>
      <c r="B61" s="146" t="inlineStr">
        <is>
          <t>Services - Miscellaneous</t>
        </is>
      </c>
      <c r="C61" s="146" t="inlineStr">
        <is>
          <t>Services</t>
        </is>
      </c>
      <c r="E61" s="146" t="inlineStr">
        <is>
          <t>FundFlex</t>
        </is>
      </c>
      <c r="G61" s="146" t="inlineStr">
        <is>
          <t>Transportation Services</t>
        </is>
      </c>
    </row>
    <row r="62" ht="15.75" customHeight="1" s="147">
      <c r="A62" s="146" t="inlineStr">
        <is>
          <t>92</t>
        </is>
      </c>
      <c r="B62" s="146" t="inlineStr">
        <is>
          <t>Justice, Public Order &amp; Safety</t>
        </is>
      </c>
      <c r="C62" s="146" t="inlineStr">
        <is>
          <t>Public Administration</t>
        </is>
      </c>
      <c r="E62" s="146" t="inlineStr">
        <is>
          <t>Fundible</t>
        </is>
      </c>
      <c r="G62" s="146" t="inlineStr">
        <is>
          <t>Trucking &amp; Warehousing</t>
        </is>
      </c>
    </row>
    <row r="63" ht="15.75" customHeight="1" s="147">
      <c r="A63" s="146" t="inlineStr">
        <is>
          <t>95</t>
        </is>
      </c>
      <c r="B63" s="146" t="inlineStr">
        <is>
          <t>Environmental Quality &amp; Housing</t>
        </is>
      </c>
      <c r="C63" s="146" t="inlineStr">
        <is>
          <t>Public Administration</t>
        </is>
      </c>
      <c r="E63" s="146" t="inlineStr">
        <is>
          <t>Fundward</t>
        </is>
      </c>
      <c r="G63" s="146" t="inlineStr">
        <is>
          <t>Water Transportation</t>
        </is>
      </c>
    </row>
    <row r="64" ht="15.75" customHeight="1" s="147">
      <c r="A64" s="146" t="inlineStr">
        <is>
          <t>96</t>
        </is>
      </c>
      <c r="B64" s="146" t="inlineStr">
        <is>
          <t>Administration of Economic Programs</t>
        </is>
      </c>
      <c r="C64" s="146" t="inlineStr">
        <is>
          <t>Public Administration</t>
        </is>
      </c>
      <c r="E64" s="146" t="inlineStr">
        <is>
          <t>Fundwell</t>
        </is>
      </c>
      <c r="G64" s="146" t="inlineStr">
        <is>
          <t>Wholesale Trade - Durable Goods</t>
        </is>
      </c>
    </row>
    <row r="65" ht="15.75" customHeight="1" s="147">
      <c r="A65" s="146" t="inlineStr">
        <is>
          <t>97</t>
        </is>
      </c>
      <c r="B65" s="146" t="inlineStr">
        <is>
          <t>National Security &amp; Intl Affairs</t>
        </is>
      </c>
      <c r="C65" s="146" t="inlineStr">
        <is>
          <t>Public Administration</t>
        </is>
      </c>
      <c r="E65" s="146" t="inlineStr">
        <is>
          <t>Go Ai Ez LLC Dba:Gova Funding</t>
        </is>
      </c>
      <c r="G65" s="146" t="inlineStr">
        <is>
          <t>Wholesale Trade - Nondurable Goods</t>
        </is>
      </c>
    </row>
    <row r="66" ht="15.75" customHeight="1" s="147">
      <c r="E66" s="146" t="inlineStr">
        <is>
          <t>GREYSTONE</t>
        </is>
      </c>
      <c r="G66" s="146" t="inlineStr">
        <is>
          <t>No SIC</t>
        </is>
      </c>
    </row>
    <row r="67" ht="15.75" customHeight="1" s="147">
      <c r="E67" s="146" t="inlineStr">
        <is>
          <t>GROWTH RATE CAPITAL INC</t>
        </is>
      </c>
      <c r="G67" s="146" t="inlineStr">
        <is>
          <t>Unclassified</t>
        </is>
      </c>
    </row>
    <row r="68" ht="15.75" customHeight="1" s="147">
      <c r="E68" s="146" t="inlineStr">
        <is>
          <t>Hero Advance Group</t>
        </is>
      </c>
    </row>
    <row r="69" ht="15.75" customHeight="1" s="147">
      <c r="E69" s="146" t="inlineStr">
        <is>
          <t>I burst funding</t>
        </is>
      </c>
    </row>
    <row r="70" ht="15.75" customHeight="1" s="147">
      <c r="E70" s="146" t="inlineStr">
        <is>
          <t>ICB FUNDING</t>
        </is>
      </c>
    </row>
    <row r="71" ht="15.75" customHeight="1" s="147">
      <c r="E71" s="146" t="inlineStr">
        <is>
          <t>ICG Funding</t>
        </is>
      </c>
    </row>
    <row r="72" ht="15.75" customHeight="1" s="147">
      <c r="E72" s="146" t="inlineStr">
        <is>
          <t>J Capital Solutions</t>
        </is>
      </c>
    </row>
    <row r="73" ht="15.75" customHeight="1" s="147">
      <c r="E73" s="146" t="inlineStr">
        <is>
          <t>JABSCAP</t>
        </is>
      </c>
    </row>
    <row r="74" ht="15.75" customHeight="1" s="147">
      <c r="E74" s="146" t="inlineStr">
        <is>
          <t>Kelly Kapital</t>
        </is>
      </c>
    </row>
    <row r="75" ht="15.75" customHeight="1" s="147">
      <c r="E75" s="146" t="inlineStr">
        <is>
          <t>Key Capital Funding</t>
        </is>
      </c>
    </row>
    <row r="76" ht="15.75" customHeight="1" s="147">
      <c r="E76" s="146" t="inlineStr">
        <is>
          <t>Klendify</t>
        </is>
      </c>
    </row>
    <row r="77" ht="15.75" customHeight="1" s="147">
      <c r="E77" s="146" t="inlineStr">
        <is>
          <t>langtech</t>
        </is>
      </c>
    </row>
    <row r="78" ht="15.75" customHeight="1" s="147">
      <c r="E78" s="146" t="inlineStr">
        <is>
          <t>legacy funding llc</t>
        </is>
      </c>
    </row>
    <row r="79" ht="15.75" customHeight="1" s="147">
      <c r="E79" s="146" t="inlineStr">
        <is>
          <t>Lemonaid</t>
        </is>
      </c>
    </row>
    <row r="80" ht="15.75" customHeight="1" s="147">
      <c r="E80" s="146" t="inlineStr">
        <is>
          <t>Lend Bull LLC</t>
        </is>
      </c>
    </row>
    <row r="81" ht="15.75" customHeight="1" s="147">
      <c r="E81" s="146" t="inlineStr">
        <is>
          <t>LENDCAP SOLUTIONS</t>
        </is>
      </c>
    </row>
    <row r="82" ht="15.75" customHeight="1" s="147">
      <c r="E82" s="146" t="inlineStr">
        <is>
          <t>level 3 funding</t>
        </is>
      </c>
    </row>
    <row r="83" ht="15.75" customHeight="1" s="147">
      <c r="E83" s="146" t="inlineStr">
        <is>
          <t>lexington capital holdings</t>
        </is>
      </c>
    </row>
    <row r="84" ht="15.75" customHeight="1" s="147">
      <c r="E84" s="146" t="inlineStr">
        <is>
          <t>Liberty Bell Capital</t>
        </is>
      </c>
    </row>
    <row r="85" ht="15.75" customHeight="1" s="147">
      <c r="E85" s="146" t="inlineStr">
        <is>
          <t>Lightning SBA Loans</t>
        </is>
      </c>
    </row>
    <row r="86" ht="15.75" customHeight="1" s="147">
      <c r="E86" s="146" t="inlineStr">
        <is>
          <t>lightningfundingsolutions</t>
        </is>
      </c>
    </row>
    <row r="87" ht="15.75" customHeight="1" s="147">
      <c r="E87" s="146" t="inlineStr">
        <is>
          <t>Linked In Funding</t>
        </is>
      </c>
    </row>
    <row r="88" ht="15.75" customHeight="1" s="147">
      <c r="E88" s="146" t="inlineStr">
        <is>
          <t>liquidity lending group</t>
        </is>
      </c>
    </row>
    <row r="89" ht="15.75" customHeight="1" s="147">
      <c r="E89" s="146" t="inlineStr">
        <is>
          <t>Llama Loan</t>
        </is>
      </c>
    </row>
    <row r="90" ht="15.75" customHeight="1" s="147">
      <c r="E90" s="146" t="inlineStr">
        <is>
          <t>MADVANCEGRP</t>
        </is>
      </c>
    </row>
    <row r="91" ht="15.75" customHeight="1" s="147">
      <c r="E91" s="146" t="inlineStr">
        <is>
          <t>Merchant Advance Now</t>
        </is>
      </c>
    </row>
    <row r="92" ht="15.75" customHeight="1" s="147">
      <c r="E92" s="146" t="inlineStr">
        <is>
          <t>Merchant ReFi</t>
        </is>
      </c>
    </row>
    <row r="93" ht="15.75" customHeight="1" s="147">
      <c r="E93" s="146" t="inlineStr">
        <is>
          <t>Milestone Capital Funding Inc</t>
        </is>
      </c>
    </row>
    <row r="94" ht="15.75" customHeight="1" s="147">
      <c r="E94" s="146" t="inlineStr">
        <is>
          <t>Mills  funding group</t>
        </is>
      </c>
    </row>
    <row r="95" ht="15.75" customHeight="1" s="147">
      <c r="E95" s="146" t="inlineStr">
        <is>
          <t>Monarch funding Group</t>
        </is>
      </c>
    </row>
    <row r="96" ht="15.75" customHeight="1" s="147">
      <c r="E96" s="146" t="inlineStr">
        <is>
          <t>MONETCAP</t>
        </is>
      </c>
    </row>
    <row r="97" ht="15.75" customHeight="1" s="147">
      <c r="E97" s="146" t="inlineStr">
        <is>
          <t>MZ ADVANCE</t>
        </is>
      </c>
    </row>
    <row r="98" ht="15.75" customHeight="1" s="147">
      <c r="E98" s="146" t="inlineStr">
        <is>
          <t>National Business Capital</t>
        </is>
      </c>
    </row>
    <row r="99" ht="15.75" customHeight="1" s="147">
      <c r="E99" s="146" t="inlineStr">
        <is>
          <t>NS PRO INC.</t>
        </is>
      </c>
    </row>
    <row r="100" ht="15.75" customHeight="1" s="147">
      <c r="E100" s="146" t="inlineStr">
        <is>
          <t>NY Tribeca Group</t>
        </is>
      </c>
    </row>
    <row r="101" ht="15.75" customHeight="1" s="147">
      <c r="E101" s="146" t="inlineStr">
        <is>
          <t>One Box Funding</t>
        </is>
      </c>
    </row>
    <row r="102" ht="15.75" customHeight="1" s="147">
      <c r="E102" s="146" t="inlineStr">
        <is>
          <t>ontime cap</t>
        </is>
      </c>
    </row>
    <row r="103" ht="15.75" customHeight="1" s="147">
      <c r="E103" s="146" t="inlineStr">
        <is>
          <t>Pathway Catalyst</t>
        </is>
      </c>
    </row>
    <row r="104" ht="15.75" customHeight="1" s="147">
      <c r="E104" s="146" t="inlineStr">
        <is>
          <t>PEACH STATE SOLUTIONS</t>
        </is>
      </c>
    </row>
    <row r="105" ht="15.75" customHeight="1" s="147">
      <c r="E105" s="146" t="inlineStr">
        <is>
          <t>peach tree capital</t>
        </is>
      </c>
    </row>
    <row r="106" ht="15.75" customHeight="1" s="147">
      <c r="E106" s="146" t="inlineStr">
        <is>
          <t>penco holdings</t>
        </is>
      </c>
    </row>
    <row r="107" ht="15.75" customHeight="1" s="147">
      <c r="E107" s="146" t="inlineStr">
        <is>
          <t>Pharoah Fund</t>
        </is>
      </c>
    </row>
    <row r="108" ht="15.75" customHeight="1" s="147">
      <c r="E108" s="146" t="inlineStr">
        <is>
          <t>Platform Funding</t>
        </is>
      </c>
    </row>
    <row r="109" ht="15.75" customHeight="1" s="147">
      <c r="E109" s="146" t="inlineStr">
        <is>
          <t>PMF</t>
        </is>
      </c>
    </row>
    <row r="110" ht="15.75" customHeight="1" s="147">
      <c r="E110" s="146" t="inlineStr">
        <is>
          <t>Premium Capital (AMRK)</t>
        </is>
      </c>
    </row>
    <row r="111" ht="15.75" customHeight="1" s="147">
      <c r="E111" s="146" t="inlineStr">
        <is>
          <t>Pro Source Lending Group</t>
        </is>
      </c>
    </row>
    <row r="112" ht="15.75" customHeight="1" s="147">
      <c r="E112" s="146" t="inlineStr">
        <is>
          <t>Pyn Capital</t>
        </is>
      </c>
    </row>
    <row r="113" ht="15.75" customHeight="1" s="147">
      <c r="E113" s="146" t="inlineStr">
        <is>
          <t>Qualifier</t>
        </is>
      </c>
    </row>
    <row r="114" ht="15.75" customHeight="1" s="147">
      <c r="E114" s="146" t="inlineStr">
        <is>
          <t>Redline Capital</t>
        </is>
      </c>
    </row>
    <row r="115" ht="15.75" customHeight="1" s="147">
      <c r="E115" s="146" t="inlineStr">
        <is>
          <t>ROK</t>
        </is>
      </c>
    </row>
    <row r="116" ht="15.75" customHeight="1" s="147">
      <c r="E116" s="146" t="inlineStr">
        <is>
          <t>ROYAL FUNDING GROUP</t>
        </is>
      </c>
    </row>
    <row r="117" ht="15.75" customHeight="1" s="147">
      <c r="E117" s="146" t="inlineStr">
        <is>
          <t>SABER ASSETS LLC</t>
        </is>
      </c>
    </row>
    <row r="118" ht="15.75" customHeight="1" s="147">
      <c r="E118" s="146" t="inlineStr">
        <is>
          <t>Samson Funding</t>
        </is>
      </c>
    </row>
    <row r="119" ht="15.75" customHeight="1" s="147">
      <c r="E119" s="146" t="inlineStr">
        <is>
          <t>Seacap</t>
        </is>
      </c>
    </row>
    <row r="120" ht="15.75" customHeight="1" s="147">
      <c r="E120" s="146" t="inlineStr">
        <is>
          <t>Secure Capital Solutions 7</t>
        </is>
      </c>
    </row>
    <row r="121" ht="15.75" customHeight="1" s="147">
      <c r="E121" s="146" t="inlineStr">
        <is>
          <t>secure way capital</t>
        </is>
      </c>
    </row>
    <row r="122" ht="15.75" customHeight="1" s="147">
      <c r="E122" s="146" t="inlineStr">
        <is>
          <t>Shield Funding</t>
        </is>
      </c>
    </row>
    <row r="123" ht="15.75" customHeight="1" s="147">
      <c r="E123" s="146" t="inlineStr">
        <is>
          <t>Shop Funder</t>
        </is>
      </c>
    </row>
    <row r="124" ht="15.75" customHeight="1" s="147">
      <c r="E124" s="146" t="inlineStr">
        <is>
          <t>Shore Funding USA</t>
        </is>
      </c>
    </row>
    <row r="125" ht="15.75" customHeight="1" s="147">
      <c r="E125" s="146" t="inlineStr">
        <is>
          <t>Simply capital source inc</t>
        </is>
      </c>
    </row>
    <row r="126" ht="15.75" customHeight="1" s="147">
      <c r="E126" s="146" t="inlineStr">
        <is>
          <t>Siriux internacional corp</t>
        </is>
      </c>
    </row>
    <row r="127" ht="15.75" customHeight="1" s="147">
      <c r="E127" s="146" t="inlineStr">
        <is>
          <t>Sky Advance</t>
        </is>
      </c>
    </row>
    <row r="128" ht="15.75" customHeight="1" s="147">
      <c r="E128" s="146" t="inlineStr">
        <is>
          <t>Smarter Credit Inc.</t>
        </is>
      </c>
    </row>
    <row r="129" ht="15.75" customHeight="1" s="147">
      <c r="E129" s="146" t="inlineStr">
        <is>
          <t>SNA Capital source</t>
        </is>
      </c>
    </row>
    <row r="130" ht="15.75" customHeight="1" s="147">
      <c r="E130" s="146" t="inlineStr">
        <is>
          <t>SNB CAPITAL 18 LLC</t>
        </is>
      </c>
    </row>
    <row r="131" ht="15.75" customHeight="1" s="147">
      <c r="E131" s="146" t="inlineStr">
        <is>
          <t>Splash</t>
        </is>
      </c>
    </row>
    <row r="132" ht="15.75" customHeight="1" s="147">
      <c r="E132" s="146" t="inlineStr">
        <is>
          <t>Springville Partners</t>
        </is>
      </c>
    </row>
    <row r="133" ht="15.75" customHeight="1" s="147">
      <c r="E133" s="146" t="inlineStr">
        <is>
          <t>Streamline Funding LLC</t>
        </is>
      </c>
    </row>
    <row r="134" ht="15.75" customHeight="1" s="147">
      <c r="E134" s="146" t="inlineStr">
        <is>
          <t>Supreme Capital Solutions</t>
        </is>
      </c>
    </row>
    <row r="135" ht="15.75" customHeight="1" s="147">
      <c r="E135" s="146" t="inlineStr">
        <is>
          <t>Swift Business Funding</t>
        </is>
      </c>
    </row>
    <row r="136" ht="15.75" customHeight="1" s="147">
      <c r="E136" s="146" t="inlineStr">
        <is>
          <t>Tech Consulting Pro LLC D/B/A: Nationwide Advance</t>
        </is>
      </c>
    </row>
    <row r="137" ht="15.75" customHeight="1" s="147">
      <c r="E137" s="146" t="inlineStr">
        <is>
          <t>The Funding Channel</t>
        </is>
      </c>
    </row>
    <row r="138" ht="15.75" customHeight="1" s="147">
      <c r="E138" s="146" t="inlineStr">
        <is>
          <t>The Funding Family</t>
        </is>
      </c>
    </row>
    <row r="139" ht="15.75" customHeight="1" s="147">
      <c r="E139" s="146" t="inlineStr">
        <is>
          <t>Tier one</t>
        </is>
      </c>
    </row>
    <row r="140" ht="15.75" customHeight="1" s="147">
      <c r="E140" s="146" t="inlineStr">
        <is>
          <t>Tip Top Capital</t>
        </is>
      </c>
    </row>
    <row r="141" ht="15.75" customHeight="1" s="147">
      <c r="E141" s="146" t="inlineStr">
        <is>
          <t>Top Floor Advance</t>
        </is>
      </c>
    </row>
    <row r="142" ht="15.75" customHeight="1" s="147">
      <c r="E142" s="146" t="inlineStr">
        <is>
          <t>Triumph Cap Fund</t>
        </is>
      </c>
    </row>
    <row r="143" ht="15.75" customHeight="1" s="147">
      <c r="E143" s="146" t="inlineStr">
        <is>
          <t>True Eagle Capital</t>
        </is>
      </c>
    </row>
    <row r="144" ht="15.75" customHeight="1" s="147">
      <c r="E144" s="146" t="inlineStr">
        <is>
          <t>True Path Funding</t>
        </is>
      </c>
    </row>
    <row r="145" ht="15.75" customHeight="1" s="147">
      <c r="E145" s="146" t="inlineStr">
        <is>
          <t>TRUSTFI</t>
        </is>
      </c>
    </row>
    <row r="146" ht="15.75" customHeight="1" s="147">
      <c r="E146" s="146" t="inlineStr">
        <is>
          <t>United Secured Capital 8</t>
        </is>
      </c>
    </row>
    <row r="147" ht="15.75" customHeight="1" s="147">
      <c r="E147" s="146" t="inlineStr">
        <is>
          <t>upcrunch</t>
        </is>
      </c>
    </row>
    <row r="148" ht="15.75" customHeight="1" s="147">
      <c r="E148" s="146" t="inlineStr">
        <is>
          <t>Upright Advance Corp</t>
        </is>
      </c>
    </row>
    <row r="149" ht="15.75" customHeight="1" s="147">
      <c r="E149" s="146" t="inlineStr">
        <is>
          <t>Upwise capital</t>
        </is>
      </c>
    </row>
    <row r="150" ht="15.75" customHeight="1" s="147">
      <c r="E150" s="146" t="inlineStr">
        <is>
          <t>Vanguard Equities</t>
        </is>
      </c>
    </row>
    <row r="151" ht="15.75" customHeight="1" s="147">
      <c r="E151" s="146" t="inlineStr">
        <is>
          <t>Vantage Cap Group</t>
        </is>
      </c>
    </row>
    <row r="152" ht="15.75" customHeight="1" s="147">
      <c r="E152" s="146" t="inlineStr">
        <is>
          <t>Viking Funding LLC</t>
        </is>
      </c>
    </row>
    <row r="153" ht="15.75" customHeight="1" s="147">
      <c r="E153" s="146" t="inlineStr">
        <is>
          <t>Vital Funding</t>
        </is>
      </c>
    </row>
    <row r="154" ht="15.75" customHeight="1" s="147">
      <c r="E154" s="146" t="inlineStr">
        <is>
          <t>Westwood</t>
        </is>
      </c>
    </row>
    <row r="155" ht="15.75" customHeight="1" s="147">
      <c r="E155" s="146" t="inlineStr">
        <is>
          <t>Wisco Capital</t>
        </is>
      </c>
    </row>
    <row r="156" ht="15.75" customHeight="1" s="147">
      <c r="E156" s="146" t="inlineStr">
        <is>
          <t>WOTR Enterprise LLC</t>
        </is>
      </c>
    </row>
    <row r="157" ht="15.75" customHeight="1" s="147">
      <c r="E157" s="146" t="inlineStr">
        <is>
          <t>YM ventures</t>
        </is>
      </c>
    </row>
    <row r="158" ht="15.75" customHeight="1" s="147"/>
    <row r="159" ht="15.75" customHeight="1" s="147"/>
    <row r="160" ht="15.75" customHeight="1" s="147"/>
    <row r="161" ht="15.75" customHeight="1" s="147"/>
    <row r="162" ht="15.75" customHeight="1" s="147"/>
    <row r="163" ht="15.75" customHeight="1" s="147"/>
    <row r="164" ht="15.75" customHeight="1" s="147"/>
    <row r="165" ht="15.75" customHeight="1" s="147"/>
    <row r="166" ht="15.75" customHeight="1" s="147"/>
    <row r="167" ht="15.75" customHeight="1" s="147"/>
    <row r="168" ht="15.75" customHeight="1" s="147"/>
    <row r="169" ht="15.75" customHeight="1" s="147"/>
    <row r="170" ht="15.75" customHeight="1" s="147"/>
    <row r="171" ht="15.75" customHeight="1" s="147"/>
    <row r="172" ht="15.75" customHeight="1" s="147"/>
    <row r="173" ht="15.75" customHeight="1" s="147"/>
    <row r="174" ht="15.75" customHeight="1" s="147"/>
    <row r="175" ht="15.75" customHeight="1" s="147"/>
    <row r="176" ht="15.75" customHeight="1" s="147"/>
    <row r="177" ht="15.75" customHeight="1" s="147"/>
    <row r="178" ht="15.75" customHeight="1" s="147"/>
    <row r="179" ht="15.75" customHeight="1" s="147"/>
    <row r="180" ht="15.75" customHeight="1" s="147"/>
    <row r="181" ht="15.75" customHeight="1" s="147"/>
    <row r="182" ht="15.75" customHeight="1" s="147"/>
    <row r="183" ht="15.75" customHeight="1" s="147"/>
    <row r="184" ht="15.75" customHeight="1" s="147"/>
    <row r="185" ht="15.75" customHeight="1" s="147"/>
    <row r="186" ht="15.75" customHeight="1" s="147"/>
    <row r="187" ht="15.75" customHeight="1" s="147"/>
    <row r="188" ht="15.75" customHeight="1" s="147"/>
    <row r="189" ht="15.75" customHeight="1" s="147"/>
    <row r="190" ht="15.75" customHeight="1" s="147"/>
    <row r="191" ht="15.75" customHeight="1" s="147"/>
    <row r="192" ht="15.75" customHeight="1" s="147"/>
    <row r="193" ht="15.75" customHeight="1" s="147"/>
    <row r="194" ht="15.75" customHeight="1" s="147"/>
    <row r="195" ht="15.75" customHeight="1" s="147"/>
    <row r="196" ht="15.75" customHeight="1" s="147"/>
    <row r="197" ht="15.75" customHeight="1" s="147"/>
    <row r="198" ht="15.75" customHeight="1" s="147"/>
    <row r="199" ht="15.75" customHeight="1" s="147"/>
    <row r="200" ht="15.75" customHeight="1" s="147"/>
    <row r="201" ht="15.75" customHeight="1" s="147"/>
    <row r="202" ht="15.75" customHeight="1" s="147"/>
    <row r="203" ht="15.75" customHeight="1" s="147"/>
    <row r="204" ht="15.75" customHeight="1" s="147"/>
    <row r="205" ht="15.75" customHeight="1" s="147"/>
    <row r="206" ht="15.75" customHeight="1" s="147"/>
    <row r="207" ht="15.75" customHeight="1" s="147"/>
    <row r="208" ht="15.75" customHeight="1" s="147"/>
    <row r="209" ht="15.75" customHeight="1" s="147"/>
    <row r="210" ht="15.75" customHeight="1" s="147"/>
    <row r="211" ht="15.75" customHeight="1" s="147"/>
    <row r="212" ht="15.75" customHeight="1" s="147"/>
    <row r="213" ht="15.75" customHeight="1" s="147"/>
    <row r="214" ht="15.75" customHeight="1" s="147"/>
    <row r="215" ht="15.75" customHeight="1" s="147"/>
    <row r="216" ht="15.75" customHeight="1" s="147"/>
    <row r="217" ht="15.75" customHeight="1" s="147"/>
    <row r="218" ht="15.75" customHeight="1" s="147"/>
    <row r="219" ht="15.75" customHeight="1" s="147"/>
    <row r="220" ht="15.75" customHeight="1" s="147"/>
    <row r="221" ht="15.75" customHeight="1" s="147"/>
    <row r="222" ht="15.75" customHeight="1" s="147"/>
    <row r="223" ht="15.75" customHeight="1" s="147"/>
    <row r="224" ht="15.75" customHeight="1" s="147"/>
    <row r="225" ht="15.75" customHeight="1" s="147"/>
    <row r="226" ht="15.75" customHeight="1" s="147"/>
    <row r="227" ht="15.75" customHeight="1" s="147"/>
    <row r="228" ht="15.75" customHeight="1" s="147"/>
    <row r="229" ht="15.75" customHeight="1" s="147"/>
    <row r="230" ht="15.75" customHeight="1" s="147"/>
    <row r="231" ht="15.75" customHeight="1" s="147"/>
    <row r="232" ht="15.75" customHeight="1" s="147"/>
    <row r="233" ht="15.75" customHeight="1" s="147"/>
    <row r="234" ht="15.75" customHeight="1" s="147"/>
    <row r="235" ht="15.75" customHeight="1" s="147"/>
    <row r="236" ht="15.75" customHeight="1" s="147"/>
    <row r="237" ht="15.75" customHeight="1" s="147"/>
    <row r="238" ht="15.75" customHeight="1" s="147"/>
    <row r="239" ht="15.75" customHeight="1" s="147"/>
    <row r="240" ht="15.75" customHeight="1" s="147"/>
    <row r="241" ht="15.75" customHeight="1" s="147"/>
    <row r="242" ht="15.75" customHeight="1" s="147"/>
    <row r="243" ht="15.75" customHeight="1" s="147"/>
    <row r="244" ht="15.75" customHeight="1" s="147"/>
    <row r="245" ht="15.75" customHeight="1" s="147"/>
    <row r="246" ht="15.75" customHeight="1" s="147"/>
    <row r="247" ht="15.75" customHeight="1" s="147"/>
    <row r="248" ht="15.75" customHeight="1" s="147"/>
    <row r="249" ht="15.75" customHeight="1" s="147"/>
    <row r="250" ht="15.75" customHeight="1" s="147"/>
    <row r="251" ht="15.75" customHeight="1" s="147"/>
    <row r="252" ht="15.75" customHeight="1" s="147"/>
    <row r="253" ht="15.75" customHeight="1" s="147"/>
    <row r="254" ht="15.75" customHeight="1" s="147"/>
    <row r="255" ht="15.75" customHeight="1" s="147"/>
    <row r="256" ht="15.75" customHeight="1" s="147"/>
    <row r="257" ht="15.75" customHeight="1" s="147"/>
    <row r="258" ht="15.75" customHeight="1" s="147"/>
    <row r="259" ht="15.75" customHeight="1" s="147"/>
    <row r="260" ht="15.75" customHeight="1" s="147"/>
    <row r="261" ht="15.75" customHeight="1" s="147"/>
    <row r="262" ht="15.75" customHeight="1" s="147"/>
    <row r="263" ht="15.75" customHeight="1" s="147"/>
    <row r="264" ht="15.75" customHeight="1" s="147"/>
    <row r="265" ht="15.75" customHeight="1" s="147"/>
    <row r="266" ht="15.75" customHeight="1" s="147"/>
    <row r="267" ht="15.75" customHeight="1" s="147"/>
    <row r="268" ht="15.75" customHeight="1" s="147"/>
    <row r="269" ht="15.75" customHeight="1" s="147"/>
    <row r="270" ht="15.75" customHeight="1" s="147"/>
    <row r="271" ht="15.75" customHeight="1" s="147"/>
    <row r="272" ht="15.75" customHeight="1" s="147"/>
    <row r="273" ht="15.75" customHeight="1" s="147"/>
    <row r="274" ht="15.75" customHeight="1" s="147"/>
    <row r="275" ht="15.75" customHeight="1" s="147"/>
    <row r="276" ht="15.75" customHeight="1" s="147"/>
    <row r="277" ht="15.75" customHeight="1" s="147"/>
    <row r="278" ht="15.75" customHeight="1" s="147"/>
    <row r="279" ht="15.75" customHeight="1" s="147"/>
    <row r="280" ht="15.75" customHeight="1" s="147"/>
    <row r="281" ht="15.75" customHeight="1" s="147"/>
    <row r="282" ht="15.75" customHeight="1" s="147"/>
    <row r="283" ht="15.75" customHeight="1" s="147"/>
    <row r="284" ht="15.75" customHeight="1" s="147"/>
    <row r="285" ht="15.75" customHeight="1" s="147"/>
    <row r="286" ht="15.75" customHeight="1" s="147"/>
    <row r="287" ht="15.75" customHeight="1" s="147"/>
    <row r="288" ht="15.75" customHeight="1" s="147"/>
    <row r="289" ht="15.75" customHeight="1" s="147"/>
    <row r="290" ht="15.75" customHeight="1" s="147"/>
    <row r="291" ht="15.75" customHeight="1" s="147"/>
    <row r="292" ht="15.75" customHeight="1" s="147"/>
    <row r="293" ht="15.75" customHeight="1" s="147"/>
    <row r="294" ht="15.75" customHeight="1" s="147"/>
    <row r="295" ht="15.75" customHeight="1" s="147"/>
    <row r="296" ht="15.75" customHeight="1" s="147"/>
    <row r="297" ht="15.75" customHeight="1" s="147"/>
    <row r="298" ht="15.75" customHeight="1" s="147"/>
    <row r="299" ht="15.75" customHeight="1" s="147"/>
    <row r="300" ht="15.75" customHeight="1" s="147"/>
    <row r="301" ht="15.75" customHeight="1" s="147"/>
    <row r="302" ht="15.75" customHeight="1" s="147"/>
    <row r="303" ht="15.75" customHeight="1" s="147"/>
    <row r="304" ht="15.75" customHeight="1" s="147"/>
    <row r="305" ht="15.75" customHeight="1" s="147"/>
    <row r="306" ht="15.75" customHeight="1" s="147"/>
    <row r="307" ht="15.75" customHeight="1" s="147"/>
    <row r="308" ht="15.75" customHeight="1" s="147"/>
    <row r="309" ht="15.75" customHeight="1" s="147"/>
    <row r="310" ht="15.75" customHeight="1" s="147"/>
    <row r="311" ht="15.75" customHeight="1" s="147"/>
    <row r="312" ht="15.75" customHeight="1" s="147"/>
    <row r="313" ht="15.75" customHeight="1" s="147"/>
    <row r="314" ht="15.75" customHeight="1" s="147"/>
    <row r="315" ht="15.75" customHeight="1" s="147"/>
    <row r="316" ht="15.75" customHeight="1" s="147"/>
    <row r="317" ht="15.75" customHeight="1" s="147"/>
    <row r="318" ht="15.75" customHeight="1" s="147"/>
    <row r="319" ht="15.75" customHeight="1" s="147"/>
    <row r="320" ht="15.75" customHeight="1" s="147"/>
    <row r="321" ht="15.75" customHeight="1" s="147"/>
    <row r="322" ht="15.75" customHeight="1" s="147"/>
    <row r="323" ht="15.75" customHeight="1" s="147"/>
    <row r="324" ht="15.75" customHeight="1" s="147"/>
    <row r="325" ht="15.75" customHeight="1" s="147"/>
    <row r="326" ht="15.75" customHeight="1" s="147"/>
    <row r="327" ht="15.75" customHeight="1" s="147"/>
    <row r="328" ht="15.75" customHeight="1" s="147"/>
    <row r="329" ht="15.75" customHeight="1" s="147"/>
    <row r="330" ht="15.75" customHeight="1" s="147"/>
    <row r="331" ht="15.75" customHeight="1" s="147"/>
    <row r="332" ht="15.75" customHeight="1" s="147"/>
    <row r="333" ht="15.75" customHeight="1" s="147"/>
    <row r="334" ht="15.75" customHeight="1" s="147"/>
    <row r="335" ht="15.75" customHeight="1" s="147"/>
    <row r="336" ht="15.75" customHeight="1" s="147"/>
    <row r="337" ht="15.75" customHeight="1" s="147"/>
    <row r="338" ht="15.75" customHeight="1" s="147"/>
    <row r="339" ht="15.75" customHeight="1" s="147"/>
    <row r="340" ht="15.75" customHeight="1" s="147"/>
    <row r="341" ht="15.75" customHeight="1" s="147"/>
    <row r="342" ht="15.75" customHeight="1" s="147"/>
    <row r="343" ht="15.75" customHeight="1" s="147"/>
    <row r="344" ht="15.75" customHeight="1" s="147"/>
    <row r="345" ht="15.75" customHeight="1" s="147"/>
    <row r="346" ht="15.75" customHeight="1" s="147"/>
    <row r="347" ht="15.75" customHeight="1" s="147"/>
    <row r="348" ht="15.75" customHeight="1" s="147"/>
    <row r="349" ht="15.75" customHeight="1" s="147"/>
    <row r="350" ht="15.75" customHeight="1" s="147"/>
    <row r="351" ht="15.75" customHeight="1" s="147"/>
    <row r="352" ht="15.75" customHeight="1" s="147"/>
    <row r="353" ht="15.75" customHeight="1" s="147"/>
    <row r="354" ht="15.75" customHeight="1" s="147"/>
    <row r="355" ht="15.75" customHeight="1" s="147"/>
    <row r="356" ht="15.75" customHeight="1" s="147"/>
    <row r="357" ht="15.75" customHeight="1" s="147"/>
    <row r="358" ht="15.75" customHeight="1" s="147"/>
    <row r="359" ht="15.75" customHeight="1" s="147"/>
    <row r="360" ht="15.75" customHeight="1" s="147"/>
    <row r="361" ht="15.75" customHeight="1" s="147"/>
    <row r="362" ht="15.75" customHeight="1" s="147"/>
    <row r="363" ht="15.75" customHeight="1" s="147"/>
    <row r="364" ht="15.75" customHeight="1" s="147"/>
    <row r="365" ht="15.75" customHeight="1" s="147"/>
    <row r="366" ht="15.75" customHeight="1" s="147"/>
    <row r="367" ht="15.75" customHeight="1" s="147"/>
    <row r="368" ht="15.75" customHeight="1" s="147"/>
    <row r="369" ht="15.75" customHeight="1" s="147"/>
    <row r="370" ht="15.75" customHeight="1" s="147"/>
    <row r="371" ht="15.75" customHeight="1" s="147"/>
    <row r="372" ht="15.75" customHeight="1" s="147"/>
    <row r="373" ht="15.75" customHeight="1" s="147"/>
    <row r="374" ht="15.75" customHeight="1" s="147"/>
    <row r="375" ht="15.75" customHeight="1" s="147"/>
    <row r="376" ht="15.75" customHeight="1" s="147"/>
    <row r="377" ht="15.75" customHeight="1" s="147"/>
    <row r="378" ht="15.75" customHeight="1" s="147"/>
    <row r="379" ht="15.75" customHeight="1" s="147"/>
    <row r="380" ht="15.75" customHeight="1" s="147"/>
    <row r="381" ht="15.75" customHeight="1" s="147"/>
    <row r="382" ht="15.75" customHeight="1" s="147"/>
    <row r="383" ht="15.75" customHeight="1" s="147"/>
    <row r="384" ht="15.75" customHeight="1" s="147"/>
    <row r="385" ht="15.75" customHeight="1" s="147"/>
    <row r="386" ht="15.75" customHeight="1" s="147"/>
    <row r="387" ht="15.75" customHeight="1" s="147"/>
    <row r="388" ht="15.75" customHeight="1" s="147"/>
    <row r="389" ht="15.75" customHeight="1" s="147"/>
    <row r="390" ht="15.75" customHeight="1" s="147"/>
    <row r="391" ht="15.75" customHeight="1" s="147"/>
    <row r="392" ht="15.75" customHeight="1" s="147"/>
    <row r="393" ht="15.75" customHeight="1" s="147"/>
    <row r="394" ht="15.75" customHeight="1" s="147"/>
    <row r="395" ht="15.75" customHeight="1" s="147"/>
    <row r="396" ht="15.75" customHeight="1" s="147"/>
    <row r="397" ht="15.75" customHeight="1" s="147"/>
    <row r="398" ht="15.75" customHeight="1" s="147"/>
    <row r="399" ht="15.75" customHeight="1" s="147"/>
    <row r="400" ht="15.75" customHeight="1" s="147"/>
    <row r="401" ht="15.75" customHeight="1" s="147"/>
    <row r="402" ht="15.75" customHeight="1" s="147"/>
    <row r="403" ht="15.75" customHeight="1" s="147"/>
    <row r="404" ht="15.75" customHeight="1" s="147"/>
    <row r="405" ht="15.75" customHeight="1" s="147"/>
    <row r="406" ht="15.75" customHeight="1" s="147"/>
    <row r="407" ht="15.75" customHeight="1" s="147"/>
    <row r="408" ht="15.75" customHeight="1" s="147"/>
    <row r="409" ht="15.75" customHeight="1" s="147"/>
    <row r="410" ht="15.75" customHeight="1" s="147"/>
    <row r="411" ht="15.75" customHeight="1" s="147"/>
    <row r="412" ht="15.75" customHeight="1" s="147"/>
    <row r="413" ht="15.75" customHeight="1" s="147"/>
    <row r="414" ht="15.75" customHeight="1" s="147"/>
    <row r="415" ht="15.75" customHeight="1" s="147"/>
    <row r="416" ht="15.75" customHeight="1" s="147"/>
    <row r="417" ht="15.75" customHeight="1" s="147"/>
    <row r="418" ht="15.75" customHeight="1" s="147"/>
    <row r="419" ht="15.75" customHeight="1" s="147"/>
    <row r="420" ht="15.75" customHeight="1" s="147"/>
    <row r="421" ht="15.75" customHeight="1" s="147"/>
    <row r="422" ht="15.75" customHeight="1" s="147"/>
    <row r="423" ht="15.75" customHeight="1" s="147"/>
    <row r="424" ht="15.75" customHeight="1" s="147"/>
    <row r="425" ht="15.75" customHeight="1" s="147"/>
    <row r="426" ht="15.75" customHeight="1" s="147"/>
    <row r="427" ht="15.75" customHeight="1" s="147"/>
    <row r="428" ht="15.75" customHeight="1" s="147"/>
    <row r="429" ht="15.75" customHeight="1" s="147"/>
    <row r="430" ht="15.75" customHeight="1" s="147"/>
    <row r="431" ht="15.75" customHeight="1" s="147"/>
    <row r="432" ht="15.75" customHeight="1" s="147"/>
    <row r="433" ht="15.75" customHeight="1" s="147"/>
    <row r="434" ht="15.75" customHeight="1" s="147"/>
    <row r="435" ht="15.75" customHeight="1" s="147"/>
    <row r="436" ht="15.75" customHeight="1" s="147"/>
    <row r="437" ht="15.75" customHeight="1" s="147"/>
    <row r="438" ht="15.75" customHeight="1" s="147"/>
    <row r="439" ht="15.75" customHeight="1" s="147"/>
    <row r="440" ht="15.75" customHeight="1" s="147"/>
    <row r="441" ht="15.75" customHeight="1" s="147"/>
    <row r="442" ht="15.75" customHeight="1" s="147"/>
    <row r="443" ht="15.75" customHeight="1" s="147"/>
    <row r="444" ht="15.75" customHeight="1" s="147"/>
    <row r="445" ht="15.75" customHeight="1" s="147"/>
    <row r="446" ht="15.75" customHeight="1" s="147"/>
    <row r="447" ht="15.75" customHeight="1" s="147"/>
    <row r="448" ht="15.75" customHeight="1" s="147"/>
    <row r="449" ht="15.75" customHeight="1" s="147"/>
    <row r="450" ht="15.75" customHeight="1" s="147"/>
    <row r="451" ht="15.75" customHeight="1" s="147"/>
    <row r="452" ht="15.75" customHeight="1" s="147"/>
    <row r="453" ht="15.75" customHeight="1" s="147"/>
    <row r="454" ht="15.75" customHeight="1" s="147"/>
    <row r="455" ht="15.75" customHeight="1" s="147"/>
    <row r="456" ht="15.75" customHeight="1" s="147"/>
    <row r="457" ht="15.75" customHeight="1" s="147"/>
    <row r="458" ht="15.75" customHeight="1" s="147"/>
    <row r="459" ht="15.75" customHeight="1" s="147"/>
    <row r="460" ht="15.75" customHeight="1" s="147"/>
    <row r="461" ht="15.75" customHeight="1" s="147"/>
    <row r="462" ht="15.75" customHeight="1" s="147"/>
    <row r="463" ht="15.75" customHeight="1" s="147"/>
    <row r="464" ht="15.75" customHeight="1" s="147"/>
    <row r="465" ht="15.75" customHeight="1" s="147"/>
    <row r="466" ht="15.75" customHeight="1" s="147"/>
    <row r="467" ht="15.75" customHeight="1" s="147"/>
    <row r="468" ht="15.75" customHeight="1" s="147"/>
    <row r="469" ht="15.75" customHeight="1" s="147"/>
    <row r="470" ht="15.75" customHeight="1" s="147"/>
    <row r="471" ht="15.75" customHeight="1" s="147"/>
    <row r="472" ht="15.75" customHeight="1" s="147"/>
    <row r="473" ht="15.75" customHeight="1" s="147"/>
    <row r="474" ht="15.75" customHeight="1" s="147"/>
    <row r="475" ht="15.75" customHeight="1" s="147"/>
    <row r="476" ht="15.75" customHeight="1" s="147"/>
    <row r="477" ht="15.75" customHeight="1" s="147"/>
    <row r="478" ht="15.75" customHeight="1" s="147"/>
    <row r="479" ht="15.75" customHeight="1" s="147"/>
    <row r="480" ht="15.75" customHeight="1" s="147"/>
    <row r="481" ht="15.75" customHeight="1" s="147"/>
    <row r="482" ht="15.75" customHeight="1" s="147"/>
    <row r="483" ht="15.75" customHeight="1" s="147"/>
    <row r="484" ht="15.75" customHeight="1" s="147"/>
    <row r="485" ht="15.75" customHeight="1" s="147"/>
    <row r="486" ht="15.75" customHeight="1" s="147"/>
    <row r="487" ht="15.75" customHeight="1" s="147"/>
    <row r="488" ht="15.75" customHeight="1" s="147"/>
    <row r="489" ht="15.75" customHeight="1" s="147"/>
    <row r="490" ht="15.75" customHeight="1" s="147"/>
    <row r="491" ht="15.75" customHeight="1" s="147"/>
    <row r="492" ht="15.75" customHeight="1" s="147"/>
    <row r="493" ht="15.75" customHeight="1" s="147"/>
    <row r="494" ht="15.75" customHeight="1" s="147"/>
    <row r="495" ht="15.75" customHeight="1" s="147"/>
    <row r="496" ht="15.75" customHeight="1" s="147"/>
    <row r="497" ht="15.75" customHeight="1" s="147"/>
    <row r="498" ht="15.75" customHeight="1" s="147"/>
    <row r="499" ht="15.75" customHeight="1" s="147"/>
    <row r="500" ht="15.75" customHeight="1" s="147"/>
    <row r="501" ht="15.75" customHeight="1" s="147"/>
    <row r="502" ht="15.75" customHeight="1" s="147"/>
    <row r="503" ht="15.75" customHeight="1" s="147"/>
    <row r="504" ht="15.75" customHeight="1" s="147"/>
    <row r="505" ht="15.75" customHeight="1" s="147"/>
    <row r="506" ht="15.75" customHeight="1" s="147"/>
    <row r="507" ht="15.75" customHeight="1" s="147"/>
    <row r="508" ht="15.75" customHeight="1" s="147"/>
    <row r="509" ht="15.75" customHeight="1" s="147"/>
    <row r="510" ht="15.75" customHeight="1" s="147"/>
    <row r="511" ht="15.75" customHeight="1" s="147"/>
    <row r="512" ht="15.75" customHeight="1" s="147"/>
    <row r="513" ht="15.75" customHeight="1" s="147"/>
    <row r="514" ht="15.75" customHeight="1" s="147"/>
    <row r="515" ht="15.75" customHeight="1" s="147"/>
    <row r="516" ht="15.75" customHeight="1" s="147"/>
    <row r="517" ht="15.75" customHeight="1" s="147"/>
    <row r="518" ht="15.75" customHeight="1" s="147"/>
    <row r="519" ht="15.75" customHeight="1" s="147"/>
    <row r="520" ht="15.75" customHeight="1" s="147"/>
    <row r="521" ht="15.75" customHeight="1" s="147"/>
    <row r="522" ht="15.75" customHeight="1" s="147"/>
    <row r="523" ht="15.75" customHeight="1" s="147"/>
    <row r="524" ht="15.75" customHeight="1" s="147"/>
    <row r="525" ht="15.75" customHeight="1" s="147"/>
    <row r="526" ht="15.75" customHeight="1" s="147"/>
    <row r="527" ht="15.75" customHeight="1" s="147"/>
    <row r="528" ht="15.75" customHeight="1" s="147"/>
    <row r="529" ht="15.75" customHeight="1" s="147"/>
    <row r="530" ht="15.75" customHeight="1" s="147"/>
    <row r="531" ht="15.75" customHeight="1" s="147"/>
    <row r="532" ht="15.75" customHeight="1" s="147"/>
    <row r="533" ht="15.75" customHeight="1" s="147"/>
    <row r="534" ht="15.75" customHeight="1" s="147"/>
    <row r="535" ht="15.75" customHeight="1" s="147"/>
    <row r="536" ht="15.75" customHeight="1" s="147"/>
    <row r="537" ht="15.75" customHeight="1" s="147"/>
    <row r="538" ht="15.75" customHeight="1" s="147"/>
    <row r="539" ht="15.75" customHeight="1" s="147"/>
    <row r="540" ht="15.75" customHeight="1" s="147"/>
    <row r="541" ht="15.75" customHeight="1" s="147"/>
    <row r="542" ht="15.75" customHeight="1" s="147"/>
    <row r="543" ht="15.75" customHeight="1" s="147"/>
    <row r="544" ht="15.75" customHeight="1" s="147"/>
    <row r="545" ht="15.75" customHeight="1" s="147"/>
    <row r="546" ht="15.75" customHeight="1" s="147"/>
    <row r="547" ht="15.75" customHeight="1" s="147"/>
    <row r="548" ht="15.75" customHeight="1" s="147"/>
    <row r="549" ht="15.75" customHeight="1" s="147"/>
    <row r="550" ht="15.75" customHeight="1" s="147"/>
    <row r="551" ht="15.75" customHeight="1" s="147"/>
    <row r="552" ht="15.75" customHeight="1" s="147"/>
    <row r="553" ht="15.75" customHeight="1" s="147"/>
    <row r="554" ht="15.75" customHeight="1" s="147"/>
    <row r="555" ht="15.75" customHeight="1" s="147"/>
    <row r="556" ht="15.75" customHeight="1" s="147"/>
    <row r="557" ht="15.75" customHeight="1" s="147"/>
    <row r="558" ht="15.75" customHeight="1" s="147"/>
    <row r="559" ht="15.75" customHeight="1" s="147"/>
    <row r="560" ht="15.75" customHeight="1" s="147"/>
    <row r="561" ht="15.75" customHeight="1" s="147"/>
    <row r="562" ht="15.75" customHeight="1" s="147"/>
    <row r="563" ht="15.75" customHeight="1" s="147"/>
    <row r="564" ht="15.75" customHeight="1" s="147"/>
    <row r="565" ht="15.75" customHeight="1" s="147"/>
    <row r="566" ht="15.75" customHeight="1" s="147"/>
    <row r="567" ht="15.75" customHeight="1" s="147"/>
    <row r="568" ht="15.75" customHeight="1" s="147"/>
    <row r="569" ht="15.75" customHeight="1" s="147"/>
    <row r="570" ht="15.75" customHeight="1" s="147"/>
    <row r="571" ht="15.75" customHeight="1" s="147"/>
    <row r="572" ht="15.75" customHeight="1" s="147"/>
    <row r="573" ht="15.75" customHeight="1" s="147"/>
    <row r="574" ht="15.75" customHeight="1" s="147"/>
    <row r="575" ht="15.75" customHeight="1" s="147"/>
    <row r="576" ht="15.75" customHeight="1" s="147"/>
    <row r="577" ht="15.75" customHeight="1" s="147"/>
    <row r="578" ht="15.75" customHeight="1" s="147"/>
    <row r="579" ht="15.75" customHeight="1" s="147"/>
    <row r="580" ht="15.75" customHeight="1" s="147"/>
    <row r="581" ht="15.75" customHeight="1" s="147"/>
    <row r="582" ht="15.75" customHeight="1" s="147"/>
    <row r="583" ht="15.75" customHeight="1" s="147"/>
    <row r="584" ht="15.75" customHeight="1" s="147"/>
    <row r="585" ht="15.75" customHeight="1" s="147"/>
    <row r="586" ht="15.75" customHeight="1" s="147"/>
    <row r="587" ht="15.75" customHeight="1" s="147"/>
    <row r="588" ht="15.75" customHeight="1" s="147"/>
    <row r="589" ht="15.75" customHeight="1" s="147"/>
    <row r="590" ht="15.75" customHeight="1" s="147"/>
    <row r="591" ht="15.75" customHeight="1" s="147"/>
    <row r="592" ht="15.75" customHeight="1" s="147"/>
    <row r="593" ht="15.75" customHeight="1" s="147"/>
    <row r="594" ht="15.75" customHeight="1" s="147"/>
    <row r="595" ht="15.75" customHeight="1" s="147"/>
    <row r="596" ht="15.75" customHeight="1" s="147"/>
    <row r="597" ht="15.75" customHeight="1" s="147"/>
    <row r="598" ht="15.75" customHeight="1" s="147"/>
    <row r="599" ht="15.75" customHeight="1" s="147"/>
    <row r="600" ht="15.75" customHeight="1" s="147"/>
    <row r="601" ht="15.75" customHeight="1" s="147"/>
    <row r="602" ht="15.75" customHeight="1" s="147"/>
    <row r="603" ht="15.75" customHeight="1" s="147"/>
    <row r="604" ht="15.75" customHeight="1" s="147"/>
    <row r="605" ht="15.75" customHeight="1" s="147"/>
    <row r="606" ht="15.75" customHeight="1" s="147"/>
    <row r="607" ht="15.75" customHeight="1" s="147"/>
    <row r="608" ht="15.75" customHeight="1" s="147"/>
    <row r="609" ht="15.75" customHeight="1" s="147"/>
    <row r="610" ht="15.75" customHeight="1" s="147"/>
    <row r="611" ht="15.75" customHeight="1" s="147"/>
    <row r="612" ht="15.75" customHeight="1" s="147"/>
    <row r="613" ht="15.75" customHeight="1" s="147"/>
    <row r="614" ht="15.75" customHeight="1" s="147"/>
    <row r="615" ht="15.75" customHeight="1" s="147"/>
    <row r="616" ht="15.75" customHeight="1" s="147"/>
    <row r="617" ht="15.75" customHeight="1" s="147"/>
    <row r="618" ht="15.75" customHeight="1" s="147"/>
    <row r="619" ht="15.75" customHeight="1" s="147"/>
    <row r="620" ht="15.75" customHeight="1" s="147"/>
    <row r="621" ht="15.75" customHeight="1" s="147"/>
    <row r="622" ht="15.75" customHeight="1" s="147"/>
    <row r="623" ht="15.75" customHeight="1" s="147"/>
    <row r="624" ht="15.75" customHeight="1" s="147"/>
    <row r="625" ht="15.75" customHeight="1" s="147"/>
    <row r="626" ht="15.75" customHeight="1" s="147"/>
    <row r="627" ht="15.75" customHeight="1" s="147"/>
    <row r="628" ht="15.75" customHeight="1" s="147"/>
    <row r="629" ht="15.75" customHeight="1" s="147"/>
    <row r="630" ht="15.75" customHeight="1" s="147"/>
    <row r="631" ht="15.75" customHeight="1" s="147"/>
    <row r="632" ht="15.75" customHeight="1" s="147"/>
    <row r="633" ht="15.75" customHeight="1" s="147"/>
    <row r="634" ht="15.75" customHeight="1" s="147"/>
    <row r="635" ht="15.75" customHeight="1" s="147"/>
    <row r="636" ht="15.75" customHeight="1" s="147"/>
    <row r="637" ht="15.75" customHeight="1" s="147"/>
    <row r="638" ht="15.75" customHeight="1" s="147"/>
    <row r="639" ht="15.75" customHeight="1" s="147"/>
    <row r="640" ht="15.75" customHeight="1" s="147"/>
    <row r="641" ht="15.75" customHeight="1" s="147"/>
    <row r="642" ht="15.75" customHeight="1" s="147"/>
    <row r="643" ht="15.75" customHeight="1" s="147"/>
    <row r="644" ht="15.75" customHeight="1" s="147"/>
    <row r="645" ht="15.75" customHeight="1" s="147"/>
    <row r="646" ht="15.75" customHeight="1" s="147"/>
    <row r="647" ht="15.75" customHeight="1" s="147"/>
    <row r="648" ht="15.75" customHeight="1" s="147"/>
    <row r="649" ht="15.75" customHeight="1" s="147"/>
    <row r="650" ht="15.75" customHeight="1" s="147"/>
    <row r="651" ht="15.75" customHeight="1" s="147"/>
    <row r="652" ht="15.75" customHeight="1" s="147"/>
    <row r="653" ht="15.75" customHeight="1" s="147"/>
    <row r="654" ht="15.75" customHeight="1" s="147"/>
    <row r="655" ht="15.75" customHeight="1" s="147"/>
    <row r="656" ht="15.75" customHeight="1" s="147"/>
    <row r="657" ht="15.75" customHeight="1" s="147"/>
    <row r="658" ht="15.75" customHeight="1" s="147"/>
    <row r="659" ht="15.75" customHeight="1" s="147"/>
    <row r="660" ht="15.75" customHeight="1" s="147"/>
    <row r="661" ht="15.75" customHeight="1" s="147"/>
    <row r="662" ht="15.75" customHeight="1" s="147"/>
    <row r="663" ht="15.75" customHeight="1" s="147"/>
    <row r="664" ht="15.75" customHeight="1" s="147"/>
    <row r="665" ht="15.75" customHeight="1" s="147"/>
    <row r="666" ht="15.75" customHeight="1" s="147"/>
    <row r="667" ht="15.75" customHeight="1" s="147"/>
    <row r="668" ht="15.75" customHeight="1" s="147"/>
    <row r="669" ht="15.75" customHeight="1" s="147"/>
    <row r="670" ht="15.75" customHeight="1" s="147"/>
    <row r="671" ht="15.75" customHeight="1" s="147"/>
    <row r="672" ht="15.75" customHeight="1" s="147"/>
    <row r="673" ht="15.75" customHeight="1" s="147"/>
    <row r="674" ht="15.75" customHeight="1" s="147"/>
    <row r="675" ht="15.75" customHeight="1" s="147"/>
    <row r="676" ht="15.75" customHeight="1" s="147"/>
    <row r="677" ht="15.75" customHeight="1" s="147"/>
    <row r="678" ht="15.75" customHeight="1" s="147"/>
    <row r="679" ht="15.75" customHeight="1" s="147"/>
    <row r="680" ht="15.75" customHeight="1" s="147"/>
    <row r="681" ht="15.75" customHeight="1" s="147"/>
    <row r="682" ht="15.75" customHeight="1" s="147"/>
    <row r="683" ht="15.75" customHeight="1" s="147"/>
    <row r="684" ht="15.75" customHeight="1" s="147"/>
    <row r="685" ht="15.75" customHeight="1" s="147"/>
    <row r="686" ht="15.75" customHeight="1" s="147"/>
    <row r="687" ht="15.75" customHeight="1" s="147"/>
    <row r="688" ht="15.75" customHeight="1" s="147"/>
    <row r="689" ht="15.75" customHeight="1" s="147"/>
    <row r="690" ht="15.75" customHeight="1" s="147"/>
    <row r="691" ht="15.75" customHeight="1" s="147"/>
    <row r="692" ht="15.75" customHeight="1" s="147"/>
    <row r="693" ht="15.75" customHeight="1" s="147"/>
    <row r="694" ht="15.75" customHeight="1" s="147"/>
    <row r="695" ht="15.75" customHeight="1" s="147"/>
    <row r="696" ht="15.75" customHeight="1" s="147"/>
    <row r="697" ht="15.75" customHeight="1" s="147"/>
    <row r="698" ht="15.75" customHeight="1" s="147"/>
    <row r="699" ht="15.75" customHeight="1" s="147"/>
    <row r="700" ht="15.75" customHeight="1" s="147"/>
    <row r="701" ht="15.75" customHeight="1" s="147"/>
    <row r="702" ht="15.75" customHeight="1" s="147"/>
    <row r="703" ht="15.75" customHeight="1" s="147"/>
    <row r="704" ht="15.75" customHeight="1" s="147"/>
    <row r="705" ht="15.75" customHeight="1" s="147"/>
    <row r="706" ht="15.75" customHeight="1" s="147"/>
    <row r="707" ht="15.75" customHeight="1" s="147"/>
    <row r="708" ht="15.75" customHeight="1" s="147"/>
    <row r="709" ht="15.75" customHeight="1" s="147"/>
    <row r="710" ht="15.75" customHeight="1" s="147"/>
    <row r="711" ht="15.75" customHeight="1" s="147"/>
    <row r="712" ht="15.75" customHeight="1" s="147"/>
    <row r="713" ht="15.75" customHeight="1" s="147"/>
    <row r="714" ht="15.75" customHeight="1" s="147"/>
    <row r="715" ht="15.75" customHeight="1" s="147"/>
    <row r="716" ht="15.75" customHeight="1" s="147"/>
    <row r="717" ht="15.75" customHeight="1" s="147"/>
    <row r="718" ht="15.75" customHeight="1" s="147"/>
    <row r="719" ht="15.75" customHeight="1" s="147"/>
    <row r="720" ht="15.75" customHeight="1" s="147"/>
    <row r="721" ht="15.75" customHeight="1" s="147"/>
    <row r="722" ht="15.75" customHeight="1" s="147"/>
    <row r="723" ht="15.75" customHeight="1" s="147"/>
    <row r="724" ht="15.75" customHeight="1" s="147"/>
    <row r="725" ht="15.75" customHeight="1" s="147"/>
    <row r="726" ht="15.75" customHeight="1" s="147"/>
    <row r="727" ht="15.75" customHeight="1" s="147"/>
    <row r="728" ht="15.75" customHeight="1" s="147"/>
    <row r="729" ht="15.75" customHeight="1" s="147"/>
    <row r="730" ht="15.75" customHeight="1" s="147"/>
    <row r="731" ht="15.75" customHeight="1" s="147"/>
    <row r="732" ht="15.75" customHeight="1" s="147"/>
    <row r="733" ht="15.75" customHeight="1" s="147"/>
    <row r="734" ht="15.75" customHeight="1" s="147"/>
    <row r="735" ht="15.75" customHeight="1" s="147"/>
    <row r="736" ht="15.75" customHeight="1" s="147"/>
    <row r="737" ht="15.75" customHeight="1" s="147"/>
    <row r="738" ht="15.75" customHeight="1" s="147"/>
    <row r="739" ht="15.75" customHeight="1" s="147"/>
    <row r="740" ht="15.75" customHeight="1" s="147"/>
    <row r="741" ht="15.75" customHeight="1" s="147"/>
    <row r="742" ht="15.75" customHeight="1" s="147"/>
    <row r="743" ht="15.75" customHeight="1" s="147"/>
    <row r="744" ht="15.75" customHeight="1" s="147"/>
    <row r="745" ht="15.75" customHeight="1" s="147"/>
    <row r="746" ht="15.75" customHeight="1" s="147"/>
    <row r="747" ht="15.75" customHeight="1" s="147"/>
    <row r="748" ht="15.75" customHeight="1" s="147"/>
    <row r="749" ht="15.75" customHeight="1" s="147"/>
    <row r="750" ht="15.75" customHeight="1" s="147"/>
    <row r="751" ht="15.75" customHeight="1" s="147"/>
    <row r="752" ht="15.75" customHeight="1" s="147"/>
    <row r="753" ht="15.75" customHeight="1" s="147"/>
    <row r="754" ht="15.75" customHeight="1" s="147"/>
    <row r="755" ht="15.75" customHeight="1" s="147"/>
    <row r="756" ht="15.75" customHeight="1" s="147"/>
    <row r="757" ht="15.75" customHeight="1" s="147"/>
    <row r="758" ht="15.75" customHeight="1" s="147"/>
    <row r="759" ht="15.75" customHeight="1" s="147"/>
    <row r="760" ht="15.75" customHeight="1" s="147"/>
    <row r="761" ht="15.75" customHeight="1" s="147"/>
    <row r="762" ht="15.75" customHeight="1" s="147"/>
    <row r="763" ht="15.75" customHeight="1" s="147"/>
    <row r="764" ht="15.75" customHeight="1" s="147"/>
    <row r="765" ht="15.75" customHeight="1" s="147"/>
    <row r="766" ht="15.75" customHeight="1" s="147"/>
    <row r="767" ht="15.75" customHeight="1" s="147"/>
    <row r="768" ht="15.75" customHeight="1" s="147"/>
    <row r="769" ht="15.75" customHeight="1" s="147"/>
    <row r="770" ht="15.75" customHeight="1" s="147"/>
    <row r="771" ht="15.75" customHeight="1" s="147"/>
    <row r="772" ht="15.75" customHeight="1" s="147"/>
    <row r="773" ht="15.75" customHeight="1" s="147"/>
    <row r="774" ht="15.75" customHeight="1" s="147"/>
    <row r="775" ht="15.75" customHeight="1" s="147"/>
    <row r="776" ht="15.75" customHeight="1" s="147"/>
    <row r="777" ht="15.75" customHeight="1" s="147"/>
    <row r="778" ht="15.75" customHeight="1" s="147"/>
    <row r="779" ht="15.75" customHeight="1" s="147"/>
    <row r="780" ht="15.75" customHeight="1" s="147"/>
    <row r="781" ht="15.75" customHeight="1" s="147"/>
    <row r="782" ht="15.75" customHeight="1" s="147"/>
    <row r="783" ht="15.75" customHeight="1" s="147"/>
    <row r="784" ht="15.75" customHeight="1" s="147"/>
    <row r="785" ht="15.75" customHeight="1" s="147"/>
    <row r="786" ht="15.75" customHeight="1" s="147"/>
    <row r="787" ht="15.75" customHeight="1" s="147"/>
    <row r="788" ht="15.75" customHeight="1" s="147"/>
    <row r="789" ht="15.75" customHeight="1" s="147"/>
    <row r="790" ht="15.75" customHeight="1" s="147"/>
    <row r="791" ht="15.75" customHeight="1" s="147"/>
    <row r="792" ht="15.75" customHeight="1" s="147"/>
    <row r="793" ht="15.75" customHeight="1" s="147"/>
    <row r="794" ht="15.75" customHeight="1" s="147"/>
    <row r="795" ht="15.75" customHeight="1" s="147"/>
    <row r="796" ht="15.75" customHeight="1" s="147"/>
    <row r="797" ht="15.75" customHeight="1" s="147"/>
    <row r="798" ht="15.75" customHeight="1" s="147"/>
    <row r="799" ht="15.75" customHeight="1" s="147"/>
    <row r="800" ht="15.75" customHeight="1" s="147"/>
    <row r="801" ht="15.75" customHeight="1" s="147"/>
    <row r="802" ht="15.75" customHeight="1" s="147"/>
    <row r="803" ht="15.75" customHeight="1" s="147"/>
    <row r="804" ht="15.75" customHeight="1" s="147"/>
    <row r="805" ht="15.75" customHeight="1" s="147"/>
    <row r="806" ht="15.75" customHeight="1" s="147"/>
    <row r="807" ht="15.75" customHeight="1" s="147"/>
    <row r="808" ht="15.75" customHeight="1" s="147"/>
    <row r="809" ht="15.75" customHeight="1" s="147"/>
    <row r="810" ht="15.75" customHeight="1" s="147"/>
    <row r="811" ht="15.75" customHeight="1" s="147"/>
    <row r="812" ht="15.75" customHeight="1" s="147"/>
    <row r="813" ht="15.75" customHeight="1" s="147"/>
    <row r="814" ht="15.75" customHeight="1" s="147"/>
    <row r="815" ht="15.75" customHeight="1" s="147"/>
    <row r="816" ht="15.75" customHeight="1" s="147"/>
    <row r="817" ht="15.75" customHeight="1" s="147"/>
    <row r="818" ht="15.75" customHeight="1" s="147"/>
    <row r="819" ht="15.75" customHeight="1" s="147"/>
    <row r="820" ht="15.75" customHeight="1" s="147"/>
    <row r="821" ht="15.75" customHeight="1" s="147"/>
    <row r="822" ht="15.75" customHeight="1" s="147"/>
    <row r="823" ht="15.75" customHeight="1" s="147"/>
    <row r="824" ht="15.75" customHeight="1" s="147"/>
    <row r="825" ht="15.75" customHeight="1" s="147"/>
    <row r="826" ht="15.75" customHeight="1" s="147"/>
    <row r="827" ht="15.75" customHeight="1" s="147"/>
    <row r="828" ht="15.75" customHeight="1" s="147"/>
    <row r="829" ht="15.75" customHeight="1" s="147"/>
    <row r="830" ht="15.75" customHeight="1" s="147"/>
    <row r="831" ht="15.75" customHeight="1" s="147"/>
    <row r="832" ht="15.75" customHeight="1" s="147"/>
    <row r="833" ht="15.75" customHeight="1" s="147"/>
    <row r="834" ht="15.75" customHeight="1" s="147"/>
    <row r="835" ht="15.75" customHeight="1" s="147"/>
    <row r="836" ht="15.75" customHeight="1" s="147"/>
    <row r="837" ht="15.75" customHeight="1" s="147"/>
    <row r="838" ht="15.75" customHeight="1" s="147"/>
    <row r="839" ht="15.75" customHeight="1" s="147"/>
    <row r="840" ht="15.75" customHeight="1" s="147"/>
    <row r="841" ht="15.75" customHeight="1" s="147"/>
    <row r="842" ht="15.75" customHeight="1" s="147"/>
    <row r="843" ht="15.75" customHeight="1" s="147"/>
    <row r="844" ht="15.75" customHeight="1" s="147"/>
    <row r="845" ht="15.75" customHeight="1" s="147"/>
    <row r="846" ht="15.75" customHeight="1" s="147"/>
    <row r="847" ht="15.75" customHeight="1" s="147"/>
    <row r="848" ht="15.75" customHeight="1" s="147"/>
    <row r="849" ht="15.75" customHeight="1" s="147"/>
    <row r="850" ht="15.75" customHeight="1" s="147"/>
    <row r="851" ht="15.75" customHeight="1" s="147"/>
    <row r="852" ht="15.75" customHeight="1" s="147"/>
    <row r="853" ht="15.75" customHeight="1" s="147"/>
    <row r="854" ht="15.75" customHeight="1" s="147"/>
    <row r="855" ht="15.75" customHeight="1" s="147"/>
    <row r="856" ht="15.75" customHeight="1" s="147"/>
    <row r="857" ht="15.75" customHeight="1" s="147"/>
    <row r="858" ht="15.75" customHeight="1" s="147"/>
    <row r="859" ht="15.75" customHeight="1" s="147"/>
    <row r="860" ht="15.75" customHeight="1" s="147"/>
    <row r="861" ht="15.75" customHeight="1" s="147"/>
    <row r="862" ht="15.75" customHeight="1" s="147"/>
    <row r="863" ht="15.75" customHeight="1" s="147"/>
    <row r="864" ht="15.75" customHeight="1" s="147"/>
    <row r="865" ht="15.75" customHeight="1" s="147"/>
    <row r="866" ht="15.75" customHeight="1" s="147"/>
    <row r="867" ht="15.75" customHeight="1" s="147"/>
    <row r="868" ht="15.75" customHeight="1" s="147"/>
    <row r="869" ht="15.75" customHeight="1" s="147"/>
    <row r="870" ht="15.75" customHeight="1" s="147"/>
    <row r="871" ht="15.75" customHeight="1" s="147"/>
    <row r="872" ht="15.75" customHeight="1" s="147"/>
    <row r="873" ht="15.75" customHeight="1" s="147"/>
    <row r="874" ht="15.75" customHeight="1" s="147"/>
    <row r="875" ht="15.75" customHeight="1" s="147"/>
    <row r="876" ht="15.75" customHeight="1" s="147"/>
    <row r="877" ht="15.75" customHeight="1" s="147"/>
    <row r="878" ht="15.75" customHeight="1" s="147"/>
    <row r="879" ht="15.75" customHeight="1" s="147"/>
    <row r="880" ht="15.75" customHeight="1" s="147"/>
    <row r="881" ht="15.75" customHeight="1" s="147"/>
    <row r="882" ht="15.75" customHeight="1" s="147"/>
    <row r="883" ht="15.75" customHeight="1" s="147"/>
    <row r="884" ht="15.75" customHeight="1" s="147"/>
    <row r="885" ht="15.75" customHeight="1" s="147"/>
    <row r="886" ht="15.75" customHeight="1" s="147"/>
    <row r="887" ht="15.75" customHeight="1" s="147"/>
    <row r="888" ht="15.75" customHeight="1" s="147"/>
    <row r="889" ht="15.75" customHeight="1" s="147"/>
    <row r="890" ht="15.75" customHeight="1" s="147"/>
    <row r="891" ht="15.75" customHeight="1" s="147"/>
    <row r="892" ht="15.75" customHeight="1" s="147"/>
    <row r="893" ht="15.75" customHeight="1" s="147"/>
    <row r="894" ht="15.75" customHeight="1" s="147"/>
    <row r="895" ht="15.75" customHeight="1" s="147"/>
    <row r="896" ht="15.75" customHeight="1" s="147"/>
    <row r="897" ht="15.75" customHeight="1" s="147"/>
    <row r="898" ht="15.75" customHeight="1" s="147"/>
    <row r="899" ht="15.75" customHeight="1" s="147"/>
    <row r="900" ht="15.75" customHeight="1" s="147"/>
    <row r="901" ht="15.75" customHeight="1" s="147"/>
    <row r="902" ht="15.75" customHeight="1" s="147"/>
    <row r="903" ht="15.75" customHeight="1" s="147"/>
    <row r="904" ht="15.75" customHeight="1" s="147"/>
    <row r="905" ht="15.75" customHeight="1" s="147"/>
    <row r="906" ht="15.75" customHeight="1" s="147"/>
    <row r="907" ht="15.75" customHeight="1" s="147"/>
    <row r="908" ht="15.75" customHeight="1" s="147"/>
    <row r="909" ht="15.75" customHeight="1" s="147"/>
    <row r="910" ht="15.75" customHeight="1" s="147"/>
    <row r="911" ht="15.75" customHeight="1" s="147"/>
    <row r="912" ht="15.75" customHeight="1" s="147"/>
    <row r="913" ht="15.75" customHeight="1" s="147"/>
    <row r="914" ht="15.75" customHeight="1" s="147"/>
    <row r="915" ht="15.75" customHeight="1" s="147"/>
    <row r="916" ht="15.75" customHeight="1" s="147"/>
    <row r="917" ht="15.75" customHeight="1" s="147"/>
    <row r="918" ht="15.75" customHeight="1" s="147"/>
    <row r="919" ht="15.75" customHeight="1" s="147"/>
    <row r="920" ht="15.75" customHeight="1" s="147"/>
    <row r="921" ht="15.75" customHeight="1" s="147"/>
    <row r="922" ht="15.75" customHeight="1" s="147"/>
    <row r="923" ht="15.75" customHeight="1" s="147"/>
    <row r="924" ht="15.75" customHeight="1" s="147"/>
    <row r="925" ht="15.75" customHeight="1" s="147"/>
    <row r="926" ht="15.75" customHeight="1" s="147"/>
    <row r="927" ht="15.75" customHeight="1" s="147"/>
    <row r="928" ht="15.75" customHeight="1" s="147"/>
    <row r="929" ht="15.75" customHeight="1" s="147"/>
    <row r="930" ht="15.75" customHeight="1" s="147"/>
    <row r="931" ht="15.75" customHeight="1" s="147"/>
    <row r="932" ht="15.75" customHeight="1" s="147"/>
    <row r="933" ht="15.75" customHeight="1" s="147"/>
    <row r="934" ht="15.75" customHeight="1" s="147"/>
    <row r="935" ht="15.75" customHeight="1" s="147"/>
    <row r="936" ht="15.75" customHeight="1" s="147"/>
    <row r="937" ht="15.75" customHeight="1" s="147"/>
    <row r="938" ht="15.75" customHeight="1" s="147"/>
    <row r="939" ht="15.75" customHeight="1" s="147"/>
    <row r="940" ht="15.75" customHeight="1" s="147"/>
    <row r="941" ht="15.75" customHeight="1" s="147"/>
    <row r="942" ht="15.75" customHeight="1" s="147"/>
    <row r="943" ht="15.75" customHeight="1" s="147"/>
    <row r="944" ht="15.75" customHeight="1" s="147"/>
    <row r="945" ht="15.75" customHeight="1" s="147"/>
    <row r="946" ht="15.75" customHeight="1" s="147"/>
    <row r="947" ht="15.75" customHeight="1" s="147"/>
    <row r="948" ht="15.75" customHeight="1" s="147"/>
    <row r="949" ht="15.75" customHeight="1" s="147"/>
    <row r="950" ht="15.75" customHeight="1" s="147"/>
    <row r="951" ht="15.75" customHeight="1" s="147"/>
    <row r="952" ht="15.75" customHeight="1" s="147"/>
    <row r="953" ht="15.75" customHeight="1" s="147"/>
    <row r="954" ht="15.75" customHeight="1" s="147"/>
    <row r="955" ht="15.75" customHeight="1" s="147"/>
    <row r="956" ht="15.75" customHeight="1" s="147"/>
    <row r="957" ht="15.75" customHeight="1" s="147"/>
    <row r="958" ht="15.75" customHeight="1" s="147"/>
    <row r="959" ht="15.75" customHeight="1" s="147"/>
    <row r="960" ht="15.75" customHeight="1" s="147"/>
    <row r="961" ht="15.75" customHeight="1" s="147"/>
    <row r="962" ht="15.75" customHeight="1" s="147"/>
    <row r="963" ht="15.75" customHeight="1" s="147"/>
    <row r="964" ht="15.75" customHeight="1" s="147"/>
    <row r="965" ht="15.75" customHeight="1" s="147"/>
    <row r="966" ht="15.75" customHeight="1" s="147"/>
    <row r="967" ht="15.75" customHeight="1" s="147"/>
    <row r="968" ht="15.75" customHeight="1" s="147"/>
    <row r="969" ht="15.75" customHeight="1" s="147"/>
    <row r="970" ht="15.75" customHeight="1" s="147"/>
    <row r="971" ht="15.75" customHeight="1" s="147"/>
    <row r="972" ht="15.75" customHeight="1" s="147"/>
    <row r="973" ht="15.75" customHeight="1" s="147"/>
    <row r="974" ht="15.75" customHeight="1" s="147"/>
    <row r="975" ht="15.75" customHeight="1" s="147"/>
    <row r="976" ht="15.75" customHeight="1" s="147"/>
    <row r="977" ht="15.75" customHeight="1" s="147"/>
    <row r="978" ht="15.75" customHeight="1" s="147"/>
    <row r="979" ht="15.75" customHeight="1" s="147"/>
    <row r="980" ht="15.75" customHeight="1" s="147"/>
    <row r="981" ht="15.75" customHeight="1" s="147"/>
    <row r="982" ht="15.75" customHeight="1" s="147"/>
    <row r="983" ht="15.75" customHeight="1" s="147"/>
    <row r="984" ht="15.75" customHeight="1" s="147"/>
    <row r="985" ht="15.75" customHeight="1" s="147"/>
    <row r="986" ht="15.75" customHeight="1" s="147"/>
    <row r="987" ht="15.75" customHeight="1" s="147"/>
    <row r="988" ht="15.75" customHeight="1" s="147"/>
    <row r="989" ht="15.75" customHeight="1" s="147"/>
    <row r="990" ht="15.75" customHeight="1" s="147"/>
    <row r="991" ht="15.75" customHeight="1" s="147"/>
    <row r="992" ht="15.75" customHeight="1" s="147"/>
    <row r="993" ht="15.75" customHeight="1" s="147"/>
    <row r="994" ht="15.75" customHeight="1" s="147"/>
    <row r="995" ht="15.75" customHeight="1" s="147"/>
    <row r="996" ht="15.75" customHeight="1" s="147"/>
    <row r="997" ht="15.75" customHeight="1" s="147"/>
    <row r="998" ht="15.75" customHeight="1" s="147"/>
    <row r="999" ht="15.75" customHeight="1" s="147"/>
    <row r="1000" ht="15.75" customHeight="1" s="147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2026-09-07T23:52:22Z</dcterms:created>
  <dcterms:modified xmlns:dcterms="http://purl.org/dc/terms/" xmlns:xsi="http://www.w3.org/2001/XMLSchema-instance" xsi:type="dcterms:W3CDTF">2026-09-08T19:08:42Z</dcterms:modified>
  <cp:revision>0</cp:revision>
</cp:coreProperties>
</file>