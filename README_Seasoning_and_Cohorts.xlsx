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475569"/>
      <sz val="9"/>
    </font>
    <font>
      <sz val="10"/>
    </font>
    <font>
      <i val="1"/>
      <color rgb="FF64748B"/>
      <sz val="9"/>
    </font>
    <font>
      <b val="1"/>
      <color rgb="FFFFFFFF"/>
      <sz val="20"/>
    </font>
    <font>
      <i val="1"/>
      <color rgb="FF64748B"/>
      <sz val="10"/>
    </font>
    <font>
      <b val="1"/>
      <color rgb="FFFFFFFF"/>
      <sz val="12"/>
    </font>
    <font>
      <color rgb="FF1F2937"/>
      <sz val="10"/>
    </font>
    <font>
      <b val="1"/>
      <color rgb="FF64748B"/>
      <sz val="10"/>
    </font>
    <font>
      <b val="1"/>
      <color rgb="FF1D4ED8"/>
      <sz val="10"/>
      <u val="single"/>
    </font>
    <font>
      <b val="1"/>
      <color rgb="FF1F2937"/>
      <sz val="10"/>
    </font>
  </fonts>
  <fills count="8">
    <fill>
      <patternFill/>
    </fill>
    <fill>
      <patternFill patternType="gray125"/>
    </fill>
    <fill>
      <patternFill patternType="solid">
        <fgColor rgb="FF334155"/>
      </patternFill>
    </fill>
    <fill>
      <patternFill patternType="solid">
        <fgColor rgb="FFFFF7CC"/>
      </patternFill>
    </fill>
    <fill>
      <patternFill patternType="solid">
        <fgColor rgb="FF1F2937"/>
      </patternFill>
    </fill>
    <fill>
      <patternFill patternType="solid">
        <fgColor rgb="FFFEF3C7"/>
      </patternFill>
    </fill>
    <fill>
      <patternFill patternType="solid">
        <fgColor rgb="FFF1F5F9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5" fillId="4" borderId="0" applyAlignment="1" pivotButton="0" quotePrefix="0" xfId="0">
      <alignment vertical="center"/>
    </xf>
    <xf numFmtId="0" fontId="0" fillId="4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6" fillId="0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0" fillId="3" borderId="2" pivotButton="0" quotePrefix="0" xfId="0"/>
    <xf numFmtId="0" fontId="4" fillId="0" borderId="0" pivotButton="0" quotePrefix="0" xfId="0"/>
    <xf numFmtId="0" fontId="7" fillId="2" borderId="0" applyAlignment="1" pivotButton="0" quotePrefix="0" xfId="0">
      <alignment vertical="center" inden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9" fillId="5" borderId="0" applyAlignment="1" pivotButton="0" quotePrefix="0" xfId="0">
      <alignment horizontal="right" vertical="top"/>
    </xf>
    <xf numFmtId="0" fontId="8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pivotButton="0" quotePrefix="0" xfId="0"/>
    <xf numFmtId="0" fontId="11" fillId="6" borderId="0" applyAlignment="1" pivotButton="0" quotePrefix="0" xfId="0">
      <alignment vertical="top" wrapText="1"/>
    </xf>
    <xf numFmtId="0" fontId="8" fillId="6" borderId="0" applyAlignment="1" pivotButton="0" quotePrefix="0" xfId="0">
      <alignment vertical="top" wrapText="1"/>
    </xf>
    <xf numFmtId="0" fontId="0" fillId="7" borderId="0" pivotButton="0" quotePrefix="0" xfId="0"/>
    <xf numFmtId="0" fontId="8" fillId="7" borderId="0" applyAlignment="1" pivotButton="0" quotePrefix="0" xfId="0">
      <alignment vertical="top" wrapText="1"/>
    </xf>
    <xf numFmtId="0" fontId="10" fillId="6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6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4" customWidth="1" min="2" max="2"/>
    <col width="112" customWidth="1" min="3" max="3"/>
    <col width="26" customWidth="1" min="4" max="4"/>
    <col width="46" customWidth="1" min="5" max="5"/>
    <col width="2" customWidth="1" min="6" max="6"/>
    <col width="22" customWidth="1" min="8" max="8"/>
    <col width="16" customWidth="1" min="9" max="9"/>
    <col width="40" customWidth="1" min="10" max="10"/>
    <col hidden="1" width="20" customWidth="1" min="16" max="16"/>
    <col hidden="1" width="12" customWidth="1" min="17" max="17"/>
  </cols>
  <sheetData>
    <row r="1" ht="34" customHeight="1">
      <c r="B1" s="1" t="inlineStr">
        <is>
          <t>Seasoning &amp; the Primary Combination</t>
        </is>
      </c>
      <c r="C1" s="2" t="n"/>
      <c r="D1" s="2" t="n"/>
      <c r="E1" s="2" t="n"/>
      <c r="H1" s="3" t="inlineStr">
        <is>
          <t>JUMP-TO SETUP</t>
        </is>
      </c>
      <c r="I1" s="4" t="n"/>
      <c r="J1" s="4" t="n"/>
    </row>
    <row r="2">
      <c r="B2" s="5" t="inlineStr">
        <is>
          <t>How the house book decides which past deals count, and which of them resemble the deal in front of you.</t>
        </is>
      </c>
      <c r="H2" s="6" t="inlineStr">
        <is>
          <t>Sheet</t>
        </is>
      </c>
      <c r="I2" s="6" t="inlineStr">
        <is>
          <t>gid</t>
        </is>
      </c>
      <c r="J2" s="6" t="inlineStr">
        <is>
          <t>how to get it</t>
        </is>
      </c>
    </row>
    <row r="3">
      <c r="H3" s="7" t="inlineStr">
        <is>
          <t>Deal</t>
        </is>
      </c>
      <c r="I3" s="8" t="n"/>
      <c r="J3" s="9" t="inlineStr">
        <is>
          <t>Click the tab. The URL ends #gid=1234567890 - paste that number here, once.</t>
        </is>
      </c>
    </row>
    <row r="4">
      <c r="H4" s="7" t="inlineStr">
        <is>
          <t>Historical Data</t>
        </is>
      </c>
      <c r="I4" s="8" t="n"/>
    </row>
    <row r="5" ht="24" customHeight="1">
      <c r="B5" s="10" t="inlineStr">
        <is>
          <t>1.  SEASONING  -  WHY</t>
        </is>
      </c>
      <c r="C5" s="4" t="n"/>
      <c r="D5" s="4" t="n"/>
      <c r="E5" s="4" t="n"/>
      <c r="H5" s="7" t="inlineStr">
        <is>
          <t>Historical Score</t>
        </is>
      </c>
      <c r="I5" s="8" t="n"/>
    </row>
    <row r="6">
      <c r="C6" s="11" t="inlineStr">
        <is>
          <t>We only want to look at seasoned deals when historical data is adjusting the recommended offer. A deal funded last month has not had time to fail yet. If it sits in the same loss rate as a deal that ran its full term, it drags the loss rate down and makes the book look safer than it is.</t>
        </is>
      </c>
      <c r="H6" s="7" t="inlineStr">
        <is>
          <t>Controls</t>
        </is>
      </c>
      <c r="I6" s="8" t="n"/>
    </row>
    <row r="7">
      <c r="H7" s="7" t="inlineStr">
        <is>
          <t>Ref</t>
        </is>
      </c>
      <c r="I7" s="8" t="n"/>
    </row>
    <row r="8" ht="24" customHeight="1">
      <c r="B8" s="10" t="inlineStr">
        <is>
          <t>2.  SEASONING  -  HOW IT WORKS</t>
        </is>
      </c>
      <c r="C8" s="4" t="n"/>
      <c r="D8" s="4" t="n"/>
      <c r="E8" s="4" t="n"/>
      <c r="H8" s="7" t="inlineStr">
        <is>
          <t>README</t>
        </is>
      </c>
      <c r="I8" s="8" t="n"/>
    </row>
    <row r="9">
      <c r="B9" s="12" t="inlineStr">
        <is>
          <t>1</t>
        </is>
      </c>
      <c r="C9" s="11" t="inlineStr">
        <is>
          <t>Work out the actual term in business days. MCA Track gives duration in months for a daily deal and in weeks for a weekly one, in the same column - so the unit has to be inferred.</t>
        </is>
      </c>
      <c r="D9" s="13">
        <f>IF(IFERROR(VLOOKUP($P9,$H$3:$I$9,2,FALSE),"")="",$P9&amp;"!"&amp;$Q9,HYPERLINK("#gid="&amp;VLOOKUP($P9,$H$3:$I$9,2,FALSE)&amp;"&amp;range="&amp;$Q9,$P9&amp;"!"&amp;$Q9))</f>
        <v/>
      </c>
      <c r="E9" s="14" t="inlineStr">
        <is>
          <t>raw duration from the export</t>
        </is>
      </c>
      <c r="J9" s="9" t="inlineStr">
        <is>
          <t>Until a gid is filled in, the link shows as plain text - nothing breaks.</t>
        </is>
      </c>
      <c r="P9" t="inlineStr">
        <is>
          <t>Historical Data</t>
        </is>
      </c>
      <c r="Q9" t="inlineStr">
        <is>
          <t>T</t>
        </is>
      </c>
    </row>
    <row r="10">
      <c r="B10" s="12" t="inlineStr">
        <is>
          <t>2</t>
        </is>
      </c>
      <c r="C10" s="11" t="inlineStr">
        <is>
          <t>The formula tells them apart by size: 12 or more means weeks, under 12 means months. Weeks get multiplied by 5. Months get multiplied by business days per month.</t>
        </is>
      </c>
      <c r="D10" s="13">
        <f>IF(IFERROR(VLOOKUP($P10,$H$3:$I$9,2,FALSE),"")="",$P10&amp;"!"&amp;$Q10,HYPERLINK("#gid="&amp;VLOOKUP($P10,$H$3:$I$9,2,FALSE)&amp;"&amp;range="&amp;$Q10,$P10&amp;"!"&amp;$Q10))</f>
        <v/>
      </c>
      <c r="E10" s="14" t="inlineStr">
        <is>
          <t>term, converted to business days</t>
        </is>
      </c>
      <c r="P10" t="inlineStr">
        <is>
          <t>Historical Data</t>
        </is>
      </c>
      <c r="Q10" t="inlineStr">
        <is>
          <t>AA</t>
        </is>
      </c>
    </row>
    <row r="11">
      <c r="C11" s="11" t="inlineStr">
        <is>
          <t>Business days per month is editable - we use 21.655.</t>
        </is>
      </c>
      <c r="D11" s="13">
        <f>IF(IFERROR(VLOOKUP($P11,$H$3:$I$9,2,FALSE),"")="",$P11&amp;"!"&amp;$Q11,HYPERLINK("#gid="&amp;VLOOKUP($P11,$H$3:$I$9,2,FALSE)&amp;"&amp;range="&amp;$Q11,$P11&amp;"!"&amp;$Q11))</f>
        <v/>
      </c>
      <c r="E11" s="14" t="inlineStr">
        <is>
          <t>260 business days / 12</t>
        </is>
      </c>
      <c r="P11" t="inlineStr">
        <is>
          <t>Controls</t>
        </is>
      </c>
      <c r="Q11" t="inlineStr">
        <is>
          <t>B13</t>
        </is>
      </c>
    </row>
    <row r="12">
      <c r="B12" s="12" t="inlineStr">
        <is>
          <t>3</t>
        </is>
      </c>
      <c r="C12" s="11" t="inlineStr">
        <is>
          <t>Work out how much time has actually passed. NETWORKDAYS counts business days from the funded date to the as-of date, skipping weekends and bank holidays.</t>
        </is>
      </c>
      <c r="D12" s="13">
        <f>IF(IFERROR(VLOOKUP($P12,$H$3:$I$9,2,FALSE),"")="",$P12&amp;"!"&amp;$Q12,HYPERLINK("#gid="&amp;VLOOKUP($P12,$H$3:$I$9,2,FALSE)&amp;"&amp;range="&amp;$Q12,$P12&amp;"!"&amp;$Q12))</f>
        <v/>
      </c>
      <c r="E12" s="14" t="inlineStr">
        <is>
          <t>age in business days</t>
        </is>
      </c>
      <c r="P12" t="inlineStr">
        <is>
          <t>Historical Data</t>
        </is>
      </c>
      <c r="Q12" t="inlineStr">
        <is>
          <t>AB</t>
        </is>
      </c>
    </row>
    <row r="13">
      <c r="C13" s="11" t="inlineStr">
        <is>
          <t>The as-of date is 'today' as far as the book is concerned - set it to the date the data was pulled.</t>
        </is>
      </c>
      <c r="D13" s="13">
        <f>IF(IFERROR(VLOOKUP($P13,$H$3:$I$9,2,FALSE),"")="",$P13&amp;"!"&amp;$Q13,HYPERLINK("#gid="&amp;VLOOKUP($P13,$H$3:$I$9,2,FALSE)&amp;"&amp;range="&amp;$Q13,$P13&amp;"!"&amp;$Q13))</f>
        <v/>
      </c>
      <c r="P13" t="inlineStr">
        <is>
          <t>Controls</t>
        </is>
      </c>
      <c r="Q13" t="inlineStr">
        <is>
          <t>B20</t>
        </is>
      </c>
    </row>
    <row r="14">
      <c r="B14" s="12" t="inlineStr">
        <is>
          <t>4</t>
        </is>
      </c>
      <c r="C14" s="11" t="inlineStr">
        <is>
          <t>Compare the two. If the age is smaller than the term, not enough time has passed and the deal is not seasoned. If the age is larger, it is.</t>
        </is>
      </c>
    </row>
    <row r="15">
      <c r="B15" s="12" t="inlineStr">
        <is>
          <t>5</t>
        </is>
      </c>
      <c r="C15" s="11" t="inlineStr">
        <is>
          <t>Add a cushion. The bar is not the term itself but the term multiplied by 1.25, so a seasoned deal has genuinely had time to go wrong rather than only just reaching the finish line.</t>
        </is>
      </c>
      <c r="D15" s="13">
        <f>IF(IFERROR(VLOOKUP($P15,$H$3:$I$9,2,FALSE),"")="",$P15&amp;"!"&amp;$Q15,HYPERLINK("#gid="&amp;VLOOKUP($P15,$H$3:$I$9,2,FALSE)&amp;"&amp;range="&amp;$Q15,$P15&amp;"!"&amp;$Q15))</f>
        <v/>
      </c>
      <c r="E15" s="14" t="inlineStr">
        <is>
          <t>seasoning multiple</t>
        </is>
      </c>
      <c r="P15" t="inlineStr">
        <is>
          <t>Controls</t>
        </is>
      </c>
      <c r="Q15" t="inlineStr">
        <is>
          <t>B22</t>
        </is>
      </c>
    </row>
    <row r="16">
      <c r="B16" s="15" t="inlineStr">
        <is>
          <t>6</t>
        </is>
      </c>
      <c r="C16" s="16" t="inlineStr">
        <is>
          <t>Override: any deal that has already resolved counts as seasoned regardless of age. I noticed closed deals that were fully paid off were being left out of the evaluation, which is counterintuitive - a finished deal is evidence whether it finished early or not.</t>
        </is>
      </c>
      <c r="D16" s="17" t="n"/>
      <c r="E16" s="17" t="n"/>
    </row>
    <row r="17">
      <c r="B17" s="18" t="n"/>
      <c r="C17" s="19" t="inlineStr">
        <is>
          <t>Seasoned  =  resolved   OR   age &gt;= 1.25 x term</t>
        </is>
      </c>
      <c r="D17" s="18" t="n"/>
      <c r="E17" s="18" t="n"/>
    </row>
    <row r="19" ht="24" customHeight="1">
      <c r="B19" s="10" t="inlineStr">
        <is>
          <t>3.  FINDING COMPARABLE DEALS</t>
        </is>
      </c>
      <c r="C19" s="4" t="n"/>
      <c r="D19" s="4" t="n"/>
      <c r="E19" s="4" t="n"/>
    </row>
    <row r="20">
      <c r="C20" s="11" t="inlineStr">
        <is>
          <t>Four columns check, row by row, whether that past deal matches what was entered on the Deal sheet. Each outputs 1 for a match and 0 for no match.</t>
        </is>
      </c>
    </row>
    <row r="21">
      <c r="C21" s="6" t="inlineStr">
        <is>
          <t>Column</t>
        </is>
      </c>
      <c r="D21" s="6" t="inlineStr">
        <is>
          <t>Jumps to</t>
        </is>
      </c>
      <c r="E21" s="6" t="inlineStr">
        <is>
          <t>Checks</t>
        </is>
      </c>
    </row>
    <row r="22">
      <c r="C22" s="11" t="inlineStr">
        <is>
          <t>AQ</t>
        </is>
      </c>
      <c r="D22" s="13">
        <f>IF(IFERROR(VLOOKUP($P22,$H$3:$I$9,2,FALSE),"")="",$P22&amp;"!"&amp;$Q22,HYPERLINK("#gid="&amp;VLOOKUP($P22,$H$3:$I$9,2,FALSE)&amp;"&amp;range="&amp;$Q22,$P22&amp;"!"&amp;$Q22))</f>
        <v/>
      </c>
      <c r="E22" s="14" t="inlineStr">
        <is>
          <t>same position as the deal being underwritten</t>
        </is>
      </c>
      <c r="P22" t="inlineStr">
        <is>
          <t>Historical Data</t>
        </is>
      </c>
      <c r="Q22" t="inlineStr">
        <is>
          <t>AQ</t>
        </is>
      </c>
    </row>
    <row r="23">
      <c r="C23" s="11" t="inlineStr">
        <is>
          <t>AR</t>
        </is>
      </c>
      <c r="D23" s="13">
        <f>IF(IFERROR(VLOOKUP($P23,$H$3:$I$9,2,FALSE),"")="",$P23&amp;"!"&amp;$Q23,HYPERLINK("#gid="&amp;VLOOKUP($P23,$H$3:$I$9,2,FALSE)&amp;"&amp;range="&amp;$Q23,$P23&amp;"!"&amp;$Q23))</f>
        <v/>
      </c>
      <c r="E23" s="14" t="inlineStr">
        <is>
          <t>new deal vs renewal</t>
        </is>
      </c>
      <c r="P23" t="inlineStr">
        <is>
          <t>Historical Data</t>
        </is>
      </c>
      <c r="Q23" t="inlineStr">
        <is>
          <t>AR</t>
        </is>
      </c>
    </row>
    <row r="24">
      <c r="C24" s="11" t="inlineStr">
        <is>
          <t>AS</t>
        </is>
      </c>
      <c r="D24" s="13">
        <f>IF(IFERROR(VLOOKUP($P24,$H$3:$I$9,2,FALSE),"")="",$P24&amp;"!"&amp;$Q24,HYPERLINK("#gid="&amp;VLOOKUP($P24,$H$3:$I$9,2,FALSE)&amp;"&amp;range="&amp;$Q24,$P24&amp;"!"&amp;$Q24))</f>
        <v/>
      </c>
      <c r="E24" s="14" t="inlineStr">
        <is>
          <t>same industry</t>
        </is>
      </c>
      <c r="P24" t="inlineStr">
        <is>
          <t>Historical Data</t>
        </is>
      </c>
      <c r="Q24" t="inlineStr">
        <is>
          <t>AS</t>
        </is>
      </c>
    </row>
    <row r="25">
      <c r="C25" s="11" t="inlineStr">
        <is>
          <t>AT</t>
        </is>
      </c>
      <c r="D25" s="13">
        <f>IF(IFERROR(VLOOKUP($P25,$H$3:$I$9,2,FALSE),"")="",$P25&amp;"!"&amp;$Q25,HYPERLINK("#gid="&amp;VLOOKUP($P25,$H$3:$I$9,2,FALSE)&amp;"&amp;range="&amp;$Q25,$P25&amp;"!"&amp;$Q25))</f>
        <v/>
      </c>
      <c r="E25" s="14" t="inlineStr">
        <is>
          <t>same ISO</t>
        </is>
      </c>
      <c r="P25" t="inlineStr">
        <is>
          <t>Historical Data</t>
        </is>
      </c>
      <c r="Q25" t="inlineStr">
        <is>
          <t>AT</t>
        </is>
      </c>
    </row>
    <row r="26">
      <c r="B26" s="18" t="n"/>
      <c r="C26" s="20" t="inlineStr">
        <is>
          <t>Worked example - deal profile: Westwood / Eating &amp; Drinking Places / Renewal / Position 1.</t>
        </is>
      </c>
      <c r="D26" s="18" t="n"/>
      <c r="E26" s="18" t="n"/>
    </row>
    <row r="27">
      <c r="B27" s="17" t="n"/>
      <c r="C27" s="16" t="inlineStr">
        <is>
          <t>We cannot just take every 1 in those columns. That would give us 'comparable' deals that match on Westwood but are a 7th position in construction. What matters is which deals match on the best COMBINATION of these, not on any one of them.</t>
        </is>
      </c>
      <c r="D27" s="17" t="n"/>
      <c r="E27" s="17" t="n"/>
    </row>
    <row r="29" ht="24" customHeight="1">
      <c r="B29" s="10" t="inlineStr">
        <is>
          <t>4.  SINGLE-DIMENSION EVIDENCE</t>
        </is>
      </c>
      <c r="C29" s="4" t="n"/>
      <c r="D29" s="4" t="n"/>
      <c r="E29" s="4" t="n"/>
    </row>
    <row r="30">
      <c r="C30" s="11" t="inlineStr">
        <is>
          <t>Before combining anything, each dimension is measured on its own. Column C counts the 1s for that one metric, multiplied by the eligibility flag so only seasoned, in-scope deals are counted.</t>
        </is>
      </c>
      <c r="D30" s="13">
        <f>IF(IFERROR(VLOOKUP($P30,$H$3:$I$9,2,FALSE),"")="",$P30&amp;"!"&amp;$Q30,HYPERLINK("#gid="&amp;VLOOKUP($P30,$H$3:$I$9,2,FALSE)&amp;"&amp;range="&amp;$Q30,$P30&amp;"!"&amp;$Q30))</f>
        <v/>
      </c>
      <c r="E30" s="14" t="inlineStr">
        <is>
          <t>count of matching deals</t>
        </is>
      </c>
      <c r="P30" t="inlineStr">
        <is>
          <t>Historical Score</t>
        </is>
      </c>
      <c r="Q30" t="inlineStr">
        <is>
          <t>C23</t>
        </is>
      </c>
    </row>
    <row r="31">
      <c r="C31" s="11" t="inlineStr">
        <is>
          <t>Column D does the same but sums the funded dollars instead of counting deals. Principal lost rate and return on funded follow the same pattern.</t>
        </is>
      </c>
      <c r="D31" s="13">
        <f>IF(IFERROR(VLOOKUP($P31,$H$3:$I$9,2,FALSE),"")="",$P31&amp;"!"&amp;$Q31,HYPERLINK("#gid="&amp;VLOOKUP($P31,$H$3:$I$9,2,FALSE)&amp;"&amp;range="&amp;$Q31,$P31&amp;"!"&amp;$Q31))</f>
        <v/>
      </c>
      <c r="P31" t="inlineStr">
        <is>
          <t>Historical Score</t>
        </is>
      </c>
      <c r="Q31" t="inlineStr">
        <is>
          <t>D23</t>
        </is>
      </c>
    </row>
    <row r="32">
      <c r="C32" s="11" t="inlineStr">
        <is>
          <t>AP is the eligibility flag - seasoned AND inside the date window. Multiplying by it is what keeps unseasoned deals out of every number downstream.</t>
        </is>
      </c>
      <c r="D32" s="13">
        <f>IF(IFERROR(VLOOKUP($P32,$H$3:$I$9,2,FALSE),"")="",$P32&amp;"!"&amp;$Q32,HYPERLINK("#gid="&amp;VLOOKUP($P32,$H$3:$I$9,2,FALSE)&amp;"&amp;range="&amp;$Q32,$P32&amp;"!"&amp;$Q32))</f>
        <v/>
      </c>
      <c r="P32" t="inlineStr">
        <is>
          <t>Historical Data</t>
        </is>
      </c>
      <c r="Q32" t="inlineStr">
        <is>
          <t>AP</t>
        </is>
      </c>
    </row>
    <row r="34" ht="24" customHeight="1">
      <c r="B34" s="10" t="inlineStr">
        <is>
          <t>5.  THE PRIMARY COMBINATION</t>
        </is>
      </c>
      <c r="C34" s="4" t="n"/>
      <c r="D34" s="4" t="n"/>
      <c r="E34" s="4" t="n"/>
    </row>
    <row r="35">
      <c r="C35" s="11" t="inlineStr">
        <is>
          <t>There are 7 tiers, each combining a different set of metrics. They are ordered from least common to most common: Tier 1 is the hardest combination to match, Tier 7 the easiest.</t>
        </is>
      </c>
      <c r="D35" s="13">
        <f>IF(IFERROR(VLOOKUP($P35,$H$3:$I$9,2,FALSE),"")="",$P35&amp;"!"&amp;$Q35,HYPERLINK("#gid="&amp;VLOOKUP($P35,$H$3:$I$9,2,FALSE)&amp;"&amp;range="&amp;$Q35,$P35&amp;"!"&amp;$Q35))</f>
        <v/>
      </c>
      <c r="E35" s="14" t="inlineStr">
        <is>
          <t>the tier table</t>
        </is>
      </c>
      <c r="P35" t="inlineStr">
        <is>
          <t>Historical Score</t>
        </is>
      </c>
      <c r="Q35" t="inlineStr">
        <is>
          <t>B14</t>
        </is>
      </c>
    </row>
    <row r="36">
      <c r="B36" s="18" t="n"/>
      <c r="C36" s="19" t="inlineStr">
        <is>
          <t>The FIRST tier that clears the minimum becomes the primary combination, and the recommendation uses that tier's numbers. The search starts at Tier 1, so if Tier 1 qualifies we have found the most specific set of comparable deals available.</t>
        </is>
      </c>
      <c r="D36" s="18" t="n"/>
      <c r="E36" s="18" t="n"/>
    </row>
    <row r="37">
      <c r="B37" s="18" t="n"/>
      <c r="C37" s="20" t="inlineStr">
        <is>
          <t>Tier 1 in our example is New/Renewal + ISO + Industry. Only 3 seasoned, in-scope deals match all three - an unlikely combination, which is exactly why it is Tier 1. Tier 6 is New/Renewal + Position and matches 14. The tiers get broader as you go down.</t>
        </is>
      </c>
      <c r="D37" s="18" t="n"/>
      <c r="E37" s="18" t="n"/>
    </row>
    <row r="39" ht="24" customHeight="1">
      <c r="B39" s="10" t="inlineStr">
        <is>
          <t>6.  HOW A TIER IS COUNTED</t>
        </is>
      </c>
      <c r="C39" s="4" t="n"/>
      <c r="D39" s="4" t="n"/>
      <c r="E39" s="4" t="n"/>
    </row>
    <row r="40">
      <c r="C40" s="11" t="inlineStr">
        <is>
          <t>Take Tier 1, row 14. For each row of the book the formula asks:</t>
        </is>
      </c>
      <c r="D40" s="13">
        <f>IF(IFERROR(VLOOKUP($P40,$H$3:$I$9,2,FALSE),"")="",$P40&amp;"!"&amp;$Q40,HYPERLINK("#gid="&amp;VLOOKUP($P40,$H$3:$I$9,2,FALSE)&amp;"&amp;range="&amp;$Q40,$P40&amp;"!"&amp;$Q40))</f>
        <v/>
      </c>
      <c r="P40" t="inlineStr">
        <is>
          <t>Historical Score</t>
        </is>
      </c>
      <c r="Q40" t="inlineStr">
        <is>
          <t>C14</t>
        </is>
      </c>
    </row>
    <row r="41">
      <c r="B41" s="12" t="inlineStr">
        <is>
          <t>1</t>
        </is>
      </c>
      <c r="C41" s="11" t="inlineStr">
        <is>
          <t>Is AP a 1?  Seasoned and in scope. If not, move to the next row.</t>
        </is>
      </c>
    </row>
    <row r="42">
      <c r="B42" s="12" t="inlineStr">
        <is>
          <t>2</t>
        </is>
      </c>
      <c r="C42" s="11" t="inlineStr">
        <is>
          <t>Is AR a 1?  New/renewal matches. Multiply the two.</t>
        </is>
      </c>
    </row>
    <row r="43">
      <c r="B43" s="12" t="inlineStr">
        <is>
          <t>3</t>
        </is>
      </c>
      <c r="C43" s="11" t="inlineStr">
        <is>
          <t>Does this tier actually require new/renewal?  That is what the flag table answers.</t>
        </is>
      </c>
      <c r="D43" s="13">
        <f>IF(IFERROR(VLOOKUP($P43,$H$3:$I$9,2,FALSE),"")="",$P43&amp;"!"&amp;$Q43,HYPERLINK("#gid="&amp;VLOOKUP($P43,$H$3:$I$9,2,FALSE)&amp;"&amp;range="&amp;$Q43,$P43&amp;"!"&amp;$Q43))</f>
        <v/>
      </c>
      <c r="E43" s="14" t="inlineStr">
        <is>
          <t>req NR / req ISO / req Ind / req Pos</t>
        </is>
      </c>
      <c r="P43" t="inlineStr">
        <is>
          <t>Historical Score</t>
        </is>
      </c>
      <c r="Q43" t="inlineStr">
        <is>
          <t>K13</t>
        </is>
      </c>
    </row>
    <row r="44">
      <c r="B44" s="12" t="inlineStr">
        <is>
          <t>4</t>
        </is>
      </c>
      <c r="C44" s="11" t="inlineStr">
        <is>
          <t>K14 is set to 1 by hand because Tier 1 requires new/renewal. Multiply the running result by K14. If the answer is still 1, the deal is counted.</t>
        </is>
      </c>
      <c r="D44" s="13">
        <f>IF(IFERROR(VLOOKUP($P44,$H$3:$I$9,2,FALSE),"")="",$P44&amp;"!"&amp;$Q44,HYPERLINK("#gid="&amp;VLOOKUP($P44,$H$3:$I$9,2,FALSE)&amp;"&amp;range="&amp;$Q44,$P44&amp;"!"&amp;$Q44))</f>
        <v/>
      </c>
      <c r="P44" t="inlineStr">
        <is>
          <t>Historical Score</t>
        </is>
      </c>
      <c r="Q44" t="inlineStr">
        <is>
          <t>K14</t>
        </is>
      </c>
    </row>
    <row r="45">
      <c r="B45" s="21" t="n"/>
      <c r="C45" s="22" t="inlineStr">
        <is>
          <t>A flag of 0 makes that dimension drop out of the test entirely - so the same formula covers every tier, and a new tier is a row of 1s and 0s rather than a new formula.</t>
        </is>
      </c>
      <c r="D45" s="21" t="n"/>
      <c r="E45" s="21" t="n"/>
    </row>
    <row r="46">
      <c r="C46" s="11" t="inlineStr">
        <is>
          <t>Columns F and G run the identical test, then divide - principal lost rate and return on funded instead of a count.</t>
        </is>
      </c>
      <c r="D46" s="13">
        <f>IF(IFERROR(VLOOKUP($P46,$H$3:$I$9,2,FALSE),"")="",$P46&amp;"!"&amp;$Q46,HYPERLINK("#gid="&amp;VLOOKUP($P46,$H$3:$I$9,2,FALSE)&amp;"&amp;range="&amp;$Q46,$P46&amp;"!"&amp;$Q46))</f>
        <v/>
      </c>
      <c r="P46" t="inlineStr">
        <is>
          <t>Historical Score</t>
        </is>
      </c>
      <c r="Q46" t="inlineStr">
        <is>
          <t>F14</t>
        </is>
      </c>
    </row>
    <row r="48" ht="24" customHeight="1">
      <c r="B48" s="10" t="inlineStr">
        <is>
          <t>7.  MEETING THE MINIMUM</t>
        </is>
      </c>
      <c r="C48" s="4" t="n"/>
      <c r="D48" s="4" t="n"/>
      <c r="E48" s="4" t="n"/>
    </row>
    <row r="49">
      <c r="C49" s="11" t="inlineStr">
        <is>
          <t>A combination with only a handful of deals behind it should not become the primary combination, however well it matches. Both thresholds are editable.</t>
        </is>
      </c>
    </row>
    <row r="50">
      <c r="C50" s="6" t="inlineStr">
        <is>
          <t>Threshold</t>
        </is>
      </c>
      <c r="D50" s="6" t="inlineStr">
        <is>
          <t>Jumps to</t>
        </is>
      </c>
      <c r="E50" s="6" t="inlineStr">
        <is>
          <t>Set to</t>
        </is>
      </c>
    </row>
    <row r="51">
      <c r="C51" s="11" t="inlineStr">
        <is>
          <t>Minimum seasoned deals</t>
        </is>
      </c>
      <c r="D51" s="13">
        <f>IF(IFERROR(VLOOKUP($P51,$H$3:$I$9,2,FALSE),"")="",$P51&amp;"!"&amp;$Q51,HYPERLINK("#gid="&amp;VLOOKUP($P51,$H$3:$I$9,2,FALSE)&amp;"&amp;range="&amp;$Q51,$P51&amp;"!"&amp;$Q51))</f>
        <v/>
      </c>
      <c r="E51" s="14" t="inlineStr">
        <is>
          <t>30</t>
        </is>
      </c>
      <c r="P51" t="inlineStr">
        <is>
          <t>Controls</t>
        </is>
      </c>
      <c r="Q51" t="inlineStr">
        <is>
          <t>B23</t>
        </is>
      </c>
    </row>
    <row r="52">
      <c r="C52" s="11" t="inlineStr">
        <is>
          <t>Minimum funded dollars</t>
        </is>
      </c>
      <c r="D52" s="13">
        <f>IF(IFERROR(VLOOKUP($P52,$H$3:$I$9,2,FALSE),"")="",$P52&amp;"!"&amp;$Q52,HYPERLINK("#gid="&amp;VLOOKUP($P52,$H$3:$I$9,2,FALSE)&amp;"&amp;range="&amp;$Q52,$P52&amp;"!"&amp;$Q52))</f>
        <v/>
      </c>
      <c r="E52" s="14" t="inlineStr">
        <is>
          <t>$150,000</t>
        </is>
      </c>
      <c r="P52" t="inlineStr">
        <is>
          <t>Controls</t>
        </is>
      </c>
      <c r="Q52" t="inlineStr">
        <is>
          <t>B24</t>
        </is>
      </c>
    </row>
    <row r="53">
      <c r="C53" s="11" t="inlineStr">
        <is>
          <t>The first tier whose 'Meets min?' reads Yes becomes the primary combination.</t>
        </is>
      </c>
      <c r="D53" s="13">
        <f>IF(IFERROR(VLOOKUP($P53,$H$3:$I$9,2,FALSE),"")="",$P53&amp;"!"&amp;$Q53,HYPERLINK("#gid="&amp;VLOOKUP($P53,$H$3:$I$9,2,FALSE)&amp;"&amp;range="&amp;$Q53,$P53&amp;"!"&amp;$Q53))</f>
        <v/>
      </c>
      <c r="P53" t="inlineStr">
        <is>
          <t>Historical Score</t>
        </is>
      </c>
      <c r="Q53" t="inlineStr">
        <is>
          <t>E14</t>
        </is>
      </c>
    </row>
    <row r="55" ht="24" customHeight="1">
      <c r="B55" s="10" t="inlineStr">
        <is>
          <t>8.  SUPPORTIVE, NEUTRAL OR NEGATIVE</t>
        </is>
      </c>
      <c r="C55" s="4" t="n"/>
      <c r="D55" s="4" t="n"/>
      <c r="E55" s="4" t="n"/>
    </row>
    <row r="56">
      <c r="C56" s="11" t="inlineStr">
        <is>
          <t>The whole outcome rests on one number - the index. It measures how far this combination's principal lost rate sits from the seasoned book as a whole.</t>
        </is>
      </c>
    </row>
    <row r="57">
      <c r="B57" s="18" t="n"/>
      <c r="C57" s="19" t="inlineStr">
        <is>
          <t>index   =   combination's principal lost rate   /   whole seasoned book's principal lost rate</t>
        </is>
      </c>
      <c r="D57" s="18" t="n"/>
      <c r="E57" s="18" t="n"/>
    </row>
    <row r="58">
      <c r="B58" s="18" t="n"/>
      <c r="C58" s="20" t="inlineStr">
        <is>
          <t>In our example Tier 7 (New/renewal only) is the primary combination. Its principal lost rate is 8.5% across 127 deals - all seasoned renewals. The seasoned book runs at 16.6%. So the index is 8.5 / 16.6 = 0.51.</t>
        </is>
      </c>
      <c r="D58" s="23">
        <f>IF(IFERROR(VLOOKUP($P58,$H$3:$I$9,2,FALSE),"")="",$P58&amp;"!"&amp;$Q58,HYPERLINK("#gid="&amp;VLOOKUP($P58,$H$3:$I$9,2,FALSE)&amp;"&amp;range="&amp;$Q58,$P58&amp;"!"&amp;$Q58))</f>
        <v/>
      </c>
      <c r="E58" s="18" t="n"/>
      <c r="P58" t="inlineStr">
        <is>
          <t>Historical Score</t>
        </is>
      </c>
      <c r="Q58" t="inlineStr">
        <is>
          <t>C33</t>
        </is>
      </c>
    </row>
    <row r="59">
      <c r="C59" s="11" t="inlineStr">
        <is>
          <t>An index of 1.00 means this combination performs exactly like the book. Lower is better - it is losing less than the book. Higher is worse.</t>
        </is>
      </c>
    </row>
    <row r="60">
      <c r="C60" s="6" t="inlineStr">
        <is>
          <t>Outcome</t>
        </is>
      </c>
      <c r="D60" s="6" t="inlineStr">
        <is>
          <t>Jumps to</t>
        </is>
      </c>
      <c r="E60" s="6" t="inlineStr">
        <is>
          <t>Index</t>
        </is>
      </c>
    </row>
    <row r="61">
      <c r="C61" s="11" t="inlineStr">
        <is>
          <t>SUPPORTIVE</t>
        </is>
      </c>
      <c r="D61" s="13">
        <f>IF(IFERROR(VLOOKUP($P61,$H$3:$I$9,2,FALSE),"")="",$P61&amp;"!"&amp;$Q61,HYPERLINK("#gid="&amp;VLOOKUP($P61,$H$3:$I$9,2,FALSE)&amp;"&amp;range="&amp;$Q61,$P61&amp;"!"&amp;$Q61))</f>
        <v/>
      </c>
      <c r="E61" s="14" t="inlineStr">
        <is>
          <t>at or below 0.85</t>
        </is>
      </c>
      <c r="P61" t="inlineStr">
        <is>
          <t>Controls</t>
        </is>
      </c>
      <c r="Q61" t="inlineStr">
        <is>
          <t>B27</t>
        </is>
      </c>
    </row>
    <row r="62">
      <c r="C62" s="11" t="inlineStr">
        <is>
          <t>NEUTRAL</t>
        </is>
      </c>
      <c r="E62" s="14" t="inlineStr">
        <is>
          <t>between the two</t>
        </is>
      </c>
    </row>
    <row r="63">
      <c r="C63" s="11" t="inlineStr">
        <is>
          <t>NEGATIVE</t>
        </is>
      </c>
      <c r="D63" s="13">
        <f>IF(IFERROR(VLOOKUP($P63,$H$3:$I$9,2,FALSE),"")="",$P63&amp;"!"&amp;$Q63,HYPERLINK("#gid="&amp;VLOOKUP($P63,$H$3:$I$9,2,FALSE)&amp;"&amp;range="&amp;$Q63,$P63&amp;"!"&amp;$Q63))</f>
        <v/>
      </c>
      <c r="E63" s="14" t="inlineStr">
        <is>
          <t>above 1.15</t>
        </is>
      </c>
      <c r="P63" t="inlineStr">
        <is>
          <t>Controls</t>
        </is>
      </c>
      <c r="Q63" t="inlineStr">
        <is>
          <t>B28</t>
        </is>
      </c>
    </row>
    <row r="64">
      <c r="C64" s="11" t="inlineStr">
        <is>
          <t>Both cut-offs are editable, so how much evidence it takes to move an offer is a setting, not something buried in a formula.</t>
        </is>
      </c>
    </row>
  </sheetData>
  <mergeCells count="10">
    <mergeCell ref="B1:E1"/>
    <mergeCell ref="B8:E8"/>
    <mergeCell ref="B48:E48"/>
    <mergeCell ref="B29:E29"/>
    <mergeCell ref="B39:E39"/>
    <mergeCell ref="B55:E55"/>
    <mergeCell ref="B19:E19"/>
    <mergeCell ref="B5:E5"/>
    <mergeCell ref="B2:E2"/>
    <mergeCell ref="B34:E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2026-09-14T19:40:29Z</dcterms:created>
  <dcterms:modified xmlns:dcterms="http://purl.org/dc/terms/" xmlns:xsi="http://www.w3.org/2001/XMLSchema-instance" xsi:type="dcterms:W3CDTF">2026-09-14T19:40:29Z</dcterms:modified>
</cp:coreProperties>
</file>