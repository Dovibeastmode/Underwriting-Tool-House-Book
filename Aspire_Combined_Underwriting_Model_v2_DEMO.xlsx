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al" sheetId="2" state="visible" r:id="rId4"/>
    <sheet name="Decision Summary" sheetId="3" state="visible" r:id="rId5"/>
    <sheet name="Offer Engine" sheetId="4" state="visible" r:id="rId6"/>
    <sheet name="Historical Score" sheetId="5" state="visible" r:id="rId7"/>
    <sheet name="Comparable Deals" sheetId="6" state="visible" r:id="rId8"/>
    <sheet name="Historical Data" sheetId="7" state="visible" r:id="rId9"/>
    <sheet name="Controls" sheetId="8" state="visible" r:id="rId10"/>
    <sheet name="Checks" sheetId="9" state="visible" r:id="rId11"/>
    <sheet name="Ref" sheetId="10" state="visible" r:id="rId12"/>
  </sheets>
  <definedNames>
    <definedName function="false" hidden="false" name="D26D33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<sst xmlns="http://schemas.openxmlformats.org/spreadsheetml/2006/main" count="1192" uniqueCount="841">
  <si>
    <t xml:space="preserve">ASPIRE COMBINED UNDERWRITING MODEL  v2  -  DEMO: 8 sample deals, Deal sheet populated</t>
  </si>
  <si>
    <t xml:space="preserve">HOW TO RUN A DEAL</t>
  </si>
  <si>
    <t xml:space="preserve">Deal sheet: sections A, B and existing positions as always; DEAL PROFILE (right of the bank data): ISO, industry, new/renewal, credit score. State is optional and only informational. Position comes from C42.</t>
  </si>
  <si>
    <t xml:space="preserve">Read section C (cash flow), C2 (house-book indicators, same colour code), D (decision on the requested offer), E (max offer at the sizing line), F (final offer). Decision Summary has the full read-out; Comparable Deals lists the deals behind it.</t>
  </si>
  <si>
    <t xml:space="preserve">HOW THE HOUSE BOOK CHANGES THE OFFER</t>
  </si>
  <si>
    <t xml:space="preserve">1. Historical Score matches the deal to seven cohorts (new/renewal + industry + position ... down to the whole seasoned book) and picks the first one with enough seasoned deals and dollars.</t>
  </si>
  <si>
    <t xml:space="preserve">2. Its principal lost rate is blended toward the book by credibility Z = n/(n+K) and divided by the book rate -&gt; relative index (1.00 = book).</t>
  </si>
  <si>
    <t xml:space="preserve">3. The index lands on a row of the modifier table (Controls section 5). Supportive book -&gt; SIZING FLEX moves the sizing lines toward the red lines (recommended 90% for Strong positive, 45% for Mild positive), so the max offer is larger and metrics may show YELLOW. Neutral -&gt; flex 0 = the tool exactly as built. Negative -&gt; green lines plus a fund multiplier, shorter band, higher factor tier, weekly.</t>
  </si>
  <si>
    <t xml:space="preserve">4. Section E sizes the max offer at the sizing lines (column H of section C). Offer Engine shows green-line base vs sized vs final side by side and re-checks every metric at the final offer: yellow is allowed, red never.</t>
  </si>
  <si>
    <t xml:space="preserve">HARD RULES</t>
  </si>
  <si>
    <t xml:space="preserve">History never removes a knockout, never turns a metric red (flex is capped below 100%), never exceeds the sized max, and is Neutral whenever no cohort meets the minimums.</t>
  </si>
  <si>
    <t xml:space="preserve">COLOUR KEY</t>
  </si>
  <si>
    <t xml:space="preserve">Blue on yellow = input. Green font = link to Controls. Purple bold (column H, section C) = sizing line in use. Same GREEN / YELLOW / RED cells in C2 as in C.</t>
  </si>
  <si>
    <t xml:space="preserve"> UNDERWRITING TOOL</t>
  </si>
  <si>
    <t xml:space="preserve">DECISION</t>
  </si>
  <si>
    <t xml:space="preserve">A.  OFFER</t>
  </si>
  <si>
    <t xml:space="preserve">MONEYBADGER CROSS-CHECK</t>
  </si>
  <si>
    <t xml:space="preserve">Fund $</t>
  </si>
  <si>
    <t xml:space="preserve">Factor</t>
  </si>
  <si>
    <t xml:space="preserve">Freq</t>
  </si>
  <si>
    <t xml:space="preserve">Fee %</t>
  </si>
  <si>
    <t xml:space="preserve">Metric</t>
  </si>
  <si>
    <t xml:space="preserve">This tool</t>
  </si>
  <si>
    <t xml:space="preserve">MoneyBadger</t>
  </si>
  <si>
    <t xml:space="preserve">Diff</t>
  </si>
  <si>
    <t xml:space="preserve">Weekly</t>
  </si>
  <si>
    <t xml:space="preserve">Payback</t>
  </si>
  <si>
    <t xml:space="preserve">Daily $</t>
  </si>
  <si>
    <t xml:space="preserve">Weekly $</t>
  </si>
  <si>
    <t xml:space="preserve">Monthly $</t>
  </si>
  <si>
    <t xml:space="preserve">Term (mo)</t>
  </si>
  <si>
    <t xml:space="preserve">Net $</t>
  </si>
  <si>
    <t xml:space="preserve">Holdback %</t>
  </si>
  <si>
    <t xml:space="preserve">Weeks / month</t>
  </si>
  <si>
    <t xml:space="preserve">Days / month</t>
  </si>
  <si>
    <t xml:space="preserve">B.  BANK DATA  (up to 12 months)</t>
  </si>
  <si>
    <t xml:space="preserve">Month - NEWEST FIRST</t>
  </si>
  <si>
    <t xml:space="preserve">True rev $</t>
  </si>
  <si>
    <t xml:space="preserve">Avg daily bal $</t>
  </si>
  <si>
    <t xml:space="preserve">Neg days</t>
  </si>
  <si>
    <t xml:space="preserve">NSFs</t>
  </si>
  <si>
    <t xml:space="preserve">MoM %</t>
  </si>
  <si>
    <t xml:space="preserve">DEAL PROFILE  (house-book match inputs)</t>
  </si>
  <si>
    <t xml:space="preserve">Aug</t>
  </si>
  <si>
    <t xml:space="preserve">ISO</t>
  </si>
  <si>
    <t xml:space="preserve">Fundwell</t>
  </si>
  <si>
    <t xml:space="preserve">Jul</t>
  </si>
  <si>
    <t xml:space="preserve">Industry (SIC major group)</t>
  </si>
  <si>
    <t xml:space="preserve">Eating &amp; Drinking Places</t>
  </si>
  <si>
    <t xml:space="preserve">Jun</t>
  </si>
  <si>
    <t xml:space="preserve">State  (optional - informational only)</t>
  </si>
  <si>
    <t xml:space="preserve">NJ</t>
  </si>
  <si>
    <t xml:space="preserve">May</t>
  </si>
  <si>
    <t xml:space="preserve">New deal or renewal</t>
  </si>
  <si>
    <t xml:space="preserve">New Deal</t>
  </si>
  <si>
    <t xml:space="preserve">Credit score (FICO)</t>
  </si>
  <si>
    <t xml:space="preserve">Position for matching = C42 (existing positions + 1). Bands and thresholds: Controls.</t>
  </si>
  <si>
    <t xml:space="preserve">AVG / TOTAL (months entered)</t>
  </si>
  <si>
    <t xml:space="preserve">EXISTING POSITIONS   (freq Monthly = leverage only, NOT a position)</t>
  </si>
  <si>
    <t xml:space="preserve">Funder</t>
  </si>
  <si>
    <t xml:space="preserve">Funded $</t>
  </si>
  <si>
    <t xml:space="preserve">Payment</t>
  </si>
  <si>
    <t xml:space="preserve">Daily equiv</t>
  </si>
  <si>
    <t xml:space="preserve">Start Date</t>
  </si>
  <si>
    <t xml:space="preserve">Est Term</t>
  </si>
  <si>
    <t xml:space="preserve">Est term (mo)</t>
  </si>
  <si>
    <t xml:space="preserve">Mo. remaining</t>
  </si>
  <si>
    <t xml:space="preserve">Positions (excl. Monthly)</t>
  </si>
  <si>
    <t xml:space="preserve">Total existing daily</t>
  </si>
  <si>
    <t xml:space="preserve">/month</t>
  </si>
  <si>
    <t xml:space="preserve">C.  METRICS</t>
  </si>
  <si>
    <t xml:space="preserve">Value</t>
  </si>
  <si>
    <t xml:space="preserve">Green</t>
  </si>
  <si>
    <t xml:space="preserve">Red</t>
  </si>
  <si>
    <t xml:space="preserve">Status</t>
  </si>
  <si>
    <t xml:space="preserve">Knockout</t>
  </si>
  <si>
    <t xml:space="preserve">Sizing line</t>
  </si>
  <si>
    <t xml:space="preserve">Total LVG (all debt / rev)</t>
  </si>
  <si>
    <t xml:space="preserve">New holdback SP%</t>
  </si>
  <si>
    <t xml:space="preserve">Daily debt / balance</t>
  </si>
  <si>
    <t xml:space="preserve">Fund / revenue</t>
  </si>
  <si>
    <t xml:space="preserve"># positions (incl. new)</t>
  </si>
  <si>
    <t xml:space="preserve">Revenue trend (avg MoM)</t>
  </si>
  <si>
    <t xml:space="preserve">Neg days + NSFs (total)</t>
  </si>
  <si>
    <t xml:space="preserve">Existing leverage (before new)</t>
  </si>
  <si>
    <t xml:space="preserve">-</t>
  </si>
  <si>
    <t xml:space="preserve">INFO</t>
  </si>
  <si>
    <t xml:space="preserve">Balance / revenue</t>
  </si>
  <si>
    <t xml:space="preserve">C2.  HOUSE-BOOK INDICATORS   (set the sizing line + modifier; NOT counted in the cash-flow score)</t>
  </si>
  <si>
    <t xml:space="preserve">Cohort</t>
  </si>
  <si>
    <t xml:space="preserve">Blended lost rate</t>
  </si>
  <si>
    <t xml:space="preserve">Green &lt;=</t>
  </si>
  <si>
    <t xml:space="preserve">Red &gt;</t>
  </si>
  <si>
    <t xml:space="preserve">Seasoned n</t>
  </si>
  <si>
    <t xml:space="preserve">Industry</t>
  </si>
  <si>
    <t xml:space="preserve">New deal / renewal</t>
  </si>
  <si>
    <t xml:space="preserve">Position</t>
  </si>
  <si>
    <t xml:space="preserve">State  (informational - never sizes the offer)</t>
  </si>
  <si>
    <t xml:space="preserve">Seasoned deals behind the primary cohort</t>
  </si>
  <si>
    <t xml:space="preserve">D.  DECISION  (cash-flow layer, on the requested offer)</t>
  </si>
  <si>
    <t xml:space="preserve">Red flags</t>
  </si>
  <si>
    <t xml:space="preserve">Knockouts</t>
  </si>
  <si>
    <t xml:space="preserve">Decline if red flags &gt;=  (Controls)</t>
  </si>
  <si>
    <t xml:space="preserve">Minimum fund $</t>
  </si>
  <si>
    <t xml:space="preserve">E.  DEAL QUALITY  &amp;  MAXIMUM OFFER at the sizing line  (green line unless the house book is supportive)</t>
  </si>
  <si>
    <t xml:space="preserve">Score (G=1, Y=0.5, R=0)</t>
  </si>
  <si>
    <t xml:space="preserve">scored metrics</t>
  </si>
  <si>
    <t xml:space="preserve">Tier  (score scaled to 7 for the bands)</t>
  </si>
  <si>
    <t xml:space="preserve">Max daily by SP% sizing line</t>
  </si>
  <si>
    <t xml:space="preserve">scaled score /7</t>
  </si>
  <si>
    <t xml:space="preserve">Max daily by Total LVG sizing line</t>
  </si>
  <si>
    <t xml:space="preserve">Max daily by Daily/Balance sizing line</t>
  </si>
  <si>
    <t xml:space="preserve">MAX DAILY  (weakest link)</t>
  </si>
  <si>
    <t xml:space="preserve">Weekly / monthly equivalent</t>
  </si>
  <si>
    <t xml:space="preserve">Term (daily pmts) / factor from bands</t>
  </si>
  <si>
    <t xml:space="preserve">MAX FUND at the sizing line</t>
  </si>
  <si>
    <t xml:space="preserve">F.  FINAL OFFER  (max at the sizing line, then the modifier)   -   full detail on Decision Summary</t>
  </si>
  <si>
    <t xml:space="preserve">Item</t>
  </si>
  <si>
    <t xml:space="preserve">Detail</t>
  </si>
  <si>
    <t xml:space="preserve">FINAL DECISION</t>
  </si>
  <si>
    <t xml:space="preserve">Recommended fund</t>
  </si>
  <si>
    <t xml:space="preserve">Term</t>
  </si>
  <si>
    <t xml:space="preserve">Frequency</t>
  </si>
  <si>
    <t xml:space="preserve">Sizing line used</t>
  </si>
  <si>
    <t xml:space="preserve">Holdback % at final offer</t>
  </si>
  <si>
    <t xml:space="preserve">Historical modifier</t>
  </si>
  <si>
    <t xml:space="preserve">Comparable deals (seasoned / all)</t>
  </si>
  <si>
    <t xml:space="preserve">Cohort principal lost rate</t>
  </si>
  <si>
    <t xml:space="preserve">Manual-review triggers</t>
  </si>
  <si>
    <t xml:space="preserve">Layer 1 stays the ceiling: the sizing line never reaches the red line, knockouts are never removed, the final fund never exceeds the max at the sizing line. See Checks.</t>
  </si>
  <si>
    <t xml:space="preserve">DECISION SUMMARY</t>
  </si>
  <si>
    <t xml:space="preserve">Recommended funding amount</t>
  </si>
  <si>
    <t xml:space="preserve">Recommended factor rate</t>
  </si>
  <si>
    <t xml:space="preserve">Recommended term</t>
  </si>
  <si>
    <t xml:space="preserve">Daily or weekly</t>
  </si>
  <si>
    <t xml:space="preserve">Total leverage (all debt / revenue)</t>
  </si>
  <si>
    <t xml:space="preserve">Funding-to-revenue</t>
  </si>
  <si>
    <t xml:space="preserve">Daily debt-to-balance</t>
  </si>
  <si>
    <t xml:space="preserve">Number of positions (incl. new)</t>
  </si>
  <si>
    <t xml:space="preserve">Cash-flow risk score</t>
  </si>
  <si>
    <t xml:space="preserve">Number of comparable deals (seasoned / all)</t>
  </si>
  <si>
    <t xml:space="preserve">Percentage of comparable deals seasoned</t>
  </si>
  <si>
    <t xml:space="preserve">Comparable-cohort principal lost rate</t>
  </si>
  <si>
    <t xml:space="preserve">Comparable-cohort return on funded capital</t>
  </si>
  <si>
    <t xml:space="preserve">Largest historical impact</t>
  </si>
  <si>
    <t xml:space="preserve">Metric that limited the offer</t>
  </si>
  <si>
    <t xml:space="preserve">Manual-review triggers fired</t>
  </si>
  <si>
    <t xml:space="preserve">Evidence: ISO</t>
  </si>
  <si>
    <t xml:space="preserve">Evidence: industry</t>
  </si>
  <si>
    <t xml:space="preserve">Evidence: new deal / renewal</t>
  </si>
  <si>
    <t xml:space="preserve">Evidence: position</t>
  </si>
  <si>
    <t xml:space="preserve">Evidence: state (informational)</t>
  </si>
  <si>
    <t xml:space="preserve">Warnings</t>
  </si>
  <si>
    <t xml:space="preserve">Reds at the requested offer</t>
  </si>
  <si>
    <t xml:space="preserve">Greens at the requested offer</t>
  </si>
  <si>
    <t xml:space="preserve">OFFER ENGINE  -  green-line base  -&gt;  sized at the house-book sizing line  -&gt;  final after the modifier</t>
  </si>
  <si>
    <t xml:space="preserve">Base = the cash-flow tool exactly as built (green lines). Sized = Deal section E (sizing line, moved toward the red line only when the book is supportive). Final = sized x multiplier, term / factor steps. Final daily payment never exceeds the sized max daily.</t>
  </si>
  <si>
    <t xml:space="preserve">Base (green line)</t>
  </si>
  <si>
    <t xml:space="preserve">Sized (sizing line)</t>
  </si>
  <si>
    <t xml:space="preserve">Final (modifier)</t>
  </si>
  <si>
    <t xml:space="preserve">How</t>
  </si>
  <si>
    <t xml:space="preserve">Max daily payment</t>
  </si>
  <si>
    <t xml:space="preserve">weakest of holdback / total LVG / daily-debt-to-balance at that line</t>
  </si>
  <si>
    <t xml:space="preserve">Term (daily payments)</t>
  </si>
  <si>
    <t xml:space="preserve">band term; final steps down the band table</t>
  </si>
  <si>
    <t xml:space="preserve">next approved tier when stepped; never above 1.49</t>
  </si>
  <si>
    <t xml:space="preserve">final = MIN(sized x multiplier, sized max daily x final term / final factor)</t>
  </si>
  <si>
    <t xml:space="preserve">Daily payment</t>
  </si>
  <si>
    <t xml:space="preserve">fund x factor / term</t>
  </si>
  <si>
    <t xml:space="preserve">Fund multiplier (Controls)</t>
  </si>
  <si>
    <t xml:space="preserve">Term step</t>
  </si>
  <si>
    <t xml:space="preserve">Factor step</t>
  </si>
  <si>
    <t xml:space="preserve">Frequency rule</t>
  </si>
  <si>
    <t xml:space="preserve">Manual review flag</t>
  </si>
  <si>
    <t xml:space="preserve">Sizing flex</t>
  </si>
  <si>
    <t xml:space="preserve">share of the way from the green line to the red line used for sizing</t>
  </si>
  <si>
    <t xml:space="preserve">Frequency (final)</t>
  </si>
  <si>
    <t xml:space="preserve">Term in final units</t>
  </si>
  <si>
    <t xml:space="preserve">weeks or daily payments</t>
  </si>
  <si>
    <t xml:space="preserve">Payment in final units</t>
  </si>
  <si>
    <t xml:space="preserve">Monthly payment</t>
  </si>
  <si>
    <t xml:space="preserve">Net disbursed</t>
  </si>
  <si>
    <t xml:space="preserve">Term (months)</t>
  </si>
  <si>
    <t xml:space="preserve">METRICS AT THE FINAL OFFER  (yellow allowed when the book is supportive; RED / KNOCKOUT never)</t>
  </si>
  <si>
    <t xml:space="preserve">Base</t>
  </si>
  <si>
    <t xml:space="preserve">Sized</t>
  </si>
  <si>
    <t xml:space="preserve">Final</t>
  </si>
  <si>
    <t xml:space="preserve">Status (final)</t>
  </si>
  <si>
    <t xml:space="preserve">Green / Red / Knockout</t>
  </si>
  <si>
    <t xml:space="preserve">merchant-side, unchanged by the offer</t>
  </si>
  <si>
    <t xml:space="preserve">SAFETY PROOF</t>
  </si>
  <si>
    <t xml:space="preserve">Final fund &lt;= sized max fund</t>
  </si>
  <si>
    <t xml:space="preserve">Final daily payment &lt;= sized max daily</t>
  </si>
  <si>
    <t xml:space="preserve">No offer-side metric RED / KNOCKOUT at the final offer</t>
  </si>
  <si>
    <t xml:space="preserve">Merchant knockouts untouched</t>
  </si>
  <si>
    <t xml:space="preserve">Sizing flex below 100% (sizing line never reaches the red line)</t>
  </si>
  <si>
    <t xml:space="preserve">Red flags at the final offer (offer-side + merchant-side)</t>
  </si>
  <si>
    <t xml:space="preserve">HISTORICAL SCORE  -  comparable cohorts, credibility and the modifier</t>
  </si>
  <si>
    <t xml:space="preserve">Rates use SEASONED deals only (age &gt;= multiple x contracted term). Blended = Z x cohort + (1-Z) x seasoned book, Z = n/(n+K). Index = blended / book.</t>
  </si>
  <si>
    <t xml:space="preserve">DEAL BEING MATCHED</t>
  </si>
  <si>
    <t xml:space="preserve">Position (Deal C42)</t>
  </si>
  <si>
    <t xml:space="preserve">State (informational)</t>
  </si>
  <si>
    <t xml:space="preserve">Seasoned-book principal lost rate (baseline)</t>
  </si>
  <si>
    <t xml:space="preserve">Seasoned-book deals / funded</t>
  </si>
  <si>
    <t xml:space="preserve">Tier</t>
  </si>
  <si>
    <t xml:space="preserve">Keys</t>
  </si>
  <si>
    <t xml:space="preserve">Deals (all)</t>
  </si>
  <si>
    <t xml:space="preserve">Seasoned</t>
  </si>
  <si>
    <t xml:space="preserve">% seasoned</t>
  </si>
  <si>
    <t xml:space="preserve">Funded $ (seasoned)</t>
  </si>
  <si>
    <t xml:space="preserve">Open n</t>
  </si>
  <si>
    <t xml:space="preserve">Open %</t>
  </si>
  <si>
    <t xml:space="preserve">Default n</t>
  </si>
  <si>
    <t xml:space="preserve">Default %</t>
  </si>
  <si>
    <t xml:space="preserve">Principal lost rate</t>
  </si>
  <si>
    <t xml:space="preserve">Collected on defaults</t>
  </si>
  <si>
    <t xml:space="preserve">Return on funded</t>
  </si>
  <si>
    <t xml:space="preserve">Avg adv/rev</t>
  </si>
  <si>
    <t xml:space="preserve">Avg term (bd)</t>
  </si>
  <si>
    <t xml:space="preserve">Avg factor</t>
  </si>
  <si>
    <t xml:space="preserve">Avg deal size</t>
  </si>
  <si>
    <t xml:space="preserve">Avg days on book</t>
  </si>
  <si>
    <t xml:space="preserve">Renewal share</t>
  </si>
  <si>
    <t xml:space="preserve">Meets minimums?</t>
  </si>
  <si>
    <t xml:space="preserve">Credibility Z</t>
  </si>
  <si>
    <t xml:space="preserve">Relative index</t>
  </si>
  <si>
    <t xml:space="preserve">Meets min (1/0)</t>
  </si>
  <si>
    <t xml:space="preserve">Impact vs book</t>
  </si>
  <si>
    <t xml:space="preserve">Rate shown?</t>
  </si>
  <si>
    <t xml:space="preserve">T1: new/renewal + industry + position</t>
  </si>
  <si>
    <t xml:space="preserve">NR + industry + position</t>
  </si>
  <si>
    <t xml:space="preserve">T2: new/renewal + ISO + position</t>
  </si>
  <si>
    <t xml:space="preserve">NR + ISO + position</t>
  </si>
  <si>
    <t xml:space="preserve">T3: new/renewal + industry</t>
  </si>
  <si>
    <t xml:space="preserve">NR + industry</t>
  </si>
  <si>
    <t xml:space="preserve">T4: new/renewal + ISO</t>
  </si>
  <si>
    <t xml:space="preserve">NR + ISO</t>
  </si>
  <si>
    <t xml:space="preserve">T5: new/renewal + position</t>
  </si>
  <si>
    <t xml:space="preserve">NR + position</t>
  </si>
  <si>
    <t xml:space="preserve">T6: new/renewal only</t>
  </si>
  <si>
    <t xml:space="preserve">NR</t>
  </si>
  <si>
    <t xml:space="preserve">T7: seasoned book (baseline)</t>
  </si>
  <si>
    <t xml:space="preserve">all seasoned deals in window</t>
  </si>
  <si>
    <t xml:space="preserve">SINGLE-DIMENSION EVIDENCE  (C2 block on Deal; largest-impact test)</t>
  </si>
  <si>
    <t xml:space="preserve">S1</t>
  </si>
  <si>
    <t xml:space="preserve">Position only</t>
  </si>
  <si>
    <t xml:space="preserve">S2</t>
  </si>
  <si>
    <t xml:space="preserve">New/renewal only</t>
  </si>
  <si>
    <t xml:space="preserve">S3</t>
  </si>
  <si>
    <t xml:space="preserve">Industry only</t>
  </si>
  <si>
    <t xml:space="preserve">S4</t>
  </si>
  <si>
    <t xml:space="preserve">ISO only</t>
  </si>
  <si>
    <t xml:space="preserve">S5</t>
  </si>
  <si>
    <t xml:space="preserve">State only (INFORMATIONAL)</t>
  </si>
  <si>
    <t xml:space="preserve">RESULT</t>
  </si>
  <si>
    <t xml:space="preserve">Primary tier (first tier meeting the minimums)</t>
  </si>
  <si>
    <t xml:space="preserve">Primary cohort</t>
  </si>
  <si>
    <t xml:space="preserve">Seasoned deals / all matches</t>
  </si>
  <si>
    <t xml:space="preserve">% of comparable deals seasoned</t>
  </si>
  <si>
    <t xml:space="preserve">Cohort principal lost rate (seasoned)</t>
  </si>
  <si>
    <t xml:space="preserve">Cohort open share</t>
  </si>
  <si>
    <t xml:space="preserve">Cohort return on funded capital</t>
  </si>
  <si>
    <t xml:space="preserve">Cohort collected on defaults</t>
  </si>
  <si>
    <t xml:space="preserve">Relative index (blended / book)</t>
  </si>
  <si>
    <t xml:space="preserve">Modifier level (1 strong positive .. 3 neutral .. 6 severe)</t>
  </si>
  <si>
    <t xml:space="preserve">Modifier level name</t>
  </si>
  <si>
    <t xml:space="preserve">Sizing flex (0 = green line, 1 = red line)</t>
  </si>
  <si>
    <t xml:space="preserve">Fund multiplier</t>
  </si>
  <si>
    <t xml:space="preserve">Term step (bands)</t>
  </si>
  <si>
    <t xml:space="preserve">Factor step (tiers)</t>
  </si>
  <si>
    <t xml:space="preserve">Manual review flag from modifier</t>
  </si>
  <si>
    <t xml:space="preserve">Largest-impact variable (position / NR / industry / ISO)</t>
  </si>
  <si>
    <t xml:space="preserve">   its blended lost rate vs book</t>
  </si>
  <si>
    <t xml:space="preserve">State (informational only)</t>
  </si>
  <si>
    <t xml:space="preserve">Conflicting signals? (ISO vs industry on opposite sides)</t>
  </si>
  <si>
    <t xml:space="preserve">COMPARABLE DEALS  -  every house-book deal in the primary cohort</t>
  </si>
  <si>
    <t xml:space="preserve">#</t>
  </si>
  <si>
    <t xml:space="preserve">Contract ID</t>
  </si>
  <si>
    <t xml:space="preserve">DBA</t>
  </si>
  <si>
    <t xml:space="preserve">Funded</t>
  </si>
  <si>
    <t xml:space="preserve">State</t>
  </si>
  <si>
    <t xml:space="preserve">New/renewal</t>
  </si>
  <si>
    <t xml:space="preserve">Advance</t>
  </si>
  <si>
    <t xml:space="preserve">Collected</t>
  </si>
  <si>
    <t xml:space="preserve">% paid</t>
  </si>
  <si>
    <t xml:space="preserve">Net cash</t>
  </si>
  <si>
    <t xml:space="preserve">Principal lost</t>
  </si>
  <si>
    <t xml:space="preserve">Term (bd)</t>
  </si>
  <si>
    <t xml:space="preserve">Age (bd)</t>
  </si>
  <si>
    <t xml:space="preserve">Days on book</t>
  </si>
  <si>
    <t xml:space="preserve">Default</t>
  </si>
  <si>
    <t xml:space="preserve">Open</t>
  </si>
  <si>
    <t xml:space="preserve">Similarity tier</t>
  </si>
  <si>
    <t xml:space="preserve">Why included</t>
  </si>
  <si>
    <t xml:space="preserve">Legal name</t>
  </si>
  <si>
    <t xml:space="preserve">Start date</t>
  </si>
  <si>
    <t xml:space="preserve">Last active</t>
  </si>
  <si>
    <t xml:space="preserve">SIC</t>
  </si>
  <si>
    <t xml:space="preserve">SIC2</t>
  </si>
  <si>
    <t xml:space="preserve">New or renewal</t>
  </si>
  <si>
    <t xml:space="preserve">Commission</t>
  </si>
  <si>
    <t xml:space="preserve">Balance</t>
  </si>
  <si>
    <t xml:space="preserve">Exp dur (raw)</t>
  </si>
  <si>
    <t xml:space="preserve">NSF count</t>
  </si>
  <si>
    <t xml:space="preserve">Avg rev/mo</t>
  </si>
  <si>
    <t xml:space="preserve">Biz start</t>
  </si>
  <si>
    <t xml:space="preserve">Pay frequency</t>
  </si>
  <si>
    <t xml:space="preserve">Term (bus. days)</t>
  </si>
  <si>
    <t xml:space="preserve">Age at as-of (bus. days)</t>
  </si>
  <si>
    <t xml:space="preserve">In window</t>
  </si>
  <si>
    <t xml:space="preserve">Resolved</t>
  </si>
  <si>
    <t xml:space="preserve">Closed family</t>
  </si>
  <si>
    <t xml:space="preserve">Status valid</t>
  </si>
  <si>
    <t xml:space="preserve">Adv / revenue</t>
  </si>
  <si>
    <t xml:space="preserve">Has revenue</t>
  </si>
  <si>
    <t xml:space="preserve">Days on book (bus.)</t>
  </si>
  <si>
    <t xml:space="preserve">Renewal</t>
  </si>
  <si>
    <t xml:space="preserve">Eligible (seasoned &amp; in window)</t>
  </si>
  <si>
    <t xml:space="preserve">m: position</t>
  </si>
  <si>
    <t xml:space="preserve">m: new/renewal</t>
  </si>
  <si>
    <t xml:space="preserve">m: industry</t>
  </si>
  <si>
    <t xml:space="preserve">m: ISO</t>
  </si>
  <si>
    <t xml:space="preserve">m: state</t>
  </si>
  <si>
    <t xml:space="preserve">T1 NR+Ind+Pos</t>
  </si>
  <si>
    <t xml:space="preserve">T2 NR+ISO+Pos</t>
  </si>
  <si>
    <t xml:space="preserve">T3 NR+Ind</t>
  </si>
  <si>
    <t xml:space="preserve">T4 NR+ISO</t>
  </si>
  <si>
    <t xml:space="preserve">T5 NR+Pos</t>
  </si>
  <si>
    <t xml:space="preserve">T6 NR</t>
  </si>
  <si>
    <t xml:space="preserve">T7 Book</t>
  </si>
  <si>
    <t xml:space="preserve">Best tier</t>
  </si>
  <si>
    <t xml:space="preserve">In primary cohort</t>
  </si>
  <si>
    <t xml:space="preserve">Seq</t>
  </si>
  <si>
    <t xml:space="preserve">A-001</t>
  </si>
  <si>
    <t xml:space="preserve">Ridgeline Cafe</t>
  </si>
  <si>
    <t xml:space="preserve">Ridgeline Cafe LLC</t>
  </si>
  <si>
    <t xml:space="preserve">Closed</t>
  </si>
  <si>
    <t xml:space="preserve">5812</t>
  </si>
  <si>
    <t xml:space="preserve">58</t>
  </si>
  <si>
    <t xml:space="preserve">A-002</t>
  </si>
  <si>
    <t xml:space="preserve">Delta Freight</t>
  </si>
  <si>
    <t xml:space="preserve">Delta Freight Group LLC</t>
  </si>
  <si>
    <t xml:space="preserve">4213</t>
  </si>
  <si>
    <t xml:space="preserve">42</t>
  </si>
  <si>
    <t xml:space="preserve">TX</t>
  </si>
  <si>
    <t xml:space="preserve">Westwood</t>
  </si>
  <si>
    <t xml:space="preserve">A-003</t>
  </si>
  <si>
    <t xml:space="preserve">Kane Construction</t>
  </si>
  <si>
    <t xml:space="preserve">Kane Construction Inc</t>
  </si>
  <si>
    <t xml:space="preserve">Legal</t>
  </si>
  <si>
    <t xml:space="preserve">1542</t>
  </si>
  <si>
    <t xml:space="preserve">15</t>
  </si>
  <si>
    <t xml:space="preserve">A-004</t>
  </si>
  <si>
    <t xml:space="preserve">Baymont Auto Body</t>
  </si>
  <si>
    <t xml:space="preserve">Baymont Auto Body LLC</t>
  </si>
  <si>
    <t xml:space="preserve">In House Collection</t>
  </si>
  <si>
    <t xml:space="preserve">7538</t>
  </si>
  <si>
    <t xml:space="preserve">75</t>
  </si>
  <si>
    <t xml:space="preserve">A-005</t>
  </si>
  <si>
    <t xml:space="preserve">Sunset Nails</t>
  </si>
  <si>
    <t xml:space="preserve">Sunset Nails Corp</t>
  </si>
  <si>
    <t xml:space="preserve">Written-Off</t>
  </si>
  <si>
    <t xml:space="preserve">7231</t>
  </si>
  <si>
    <t xml:space="preserve">72</t>
  </si>
  <si>
    <t xml:space="preserve">A-006</t>
  </si>
  <si>
    <t xml:space="preserve">Orchard Supply</t>
  </si>
  <si>
    <t xml:space="preserve">Orchard Supply Co LLC</t>
  </si>
  <si>
    <t xml:space="preserve">Bankruptcy</t>
  </si>
  <si>
    <t xml:space="preserve">A-007</t>
  </si>
  <si>
    <t xml:space="preserve">Pinewood Dental</t>
  </si>
  <si>
    <t xml:space="preserve">Pinewood Dental PC</t>
  </si>
  <si>
    <t xml:space="preserve">8021</t>
  </si>
  <si>
    <t xml:space="preserve">80</t>
  </si>
  <si>
    <t xml:space="preserve">A-008</t>
  </si>
  <si>
    <t xml:space="preserve">Harbor Cleaning</t>
  </si>
  <si>
    <t xml:space="preserve">Harbor Cleaning Services LLC</t>
  </si>
  <si>
    <t xml:space="preserve">Closed/NSF Unpaid</t>
  </si>
  <si>
    <t xml:space="preserve">7349</t>
  </si>
  <si>
    <t xml:space="preserve">73</t>
  </si>
  <si>
    <t xml:space="preserve">CONTROLS  -  every editable threshold, tier, historical weight and rule</t>
  </si>
  <si>
    <t xml:space="preserve">Blue = editable. Do not insert or delete rows; formulas reference fixed cells.</t>
  </si>
  <si>
    <t xml:space="preserve">1. CASH-FLOW THRESHOLDS</t>
  </si>
  <si>
    <t xml:space="preserve">Green (at or better)</t>
  </si>
  <si>
    <t xml:space="preserve">Red (at or worse)</t>
  </si>
  <si>
    <t xml:space="preserve">Direction</t>
  </si>
  <si>
    <t xml:space="preserve">Note</t>
  </si>
  <si>
    <t xml:space="preserve">higher is worse</t>
  </si>
  <si>
    <t xml:space="preserve">lower is worse</t>
  </si>
  <si>
    <t xml:space="preserve">total across all months entered</t>
  </si>
  <si>
    <t xml:space="preserve">650+ green, 630-649 yellow, below 630 red; knockout 0 = off</t>
  </si>
  <si>
    <t xml:space="preserve">Decline if red flags (RED + KNOCKOUT) &gt;=</t>
  </si>
  <si>
    <t xml:space="preserve">Underwriting fee %</t>
  </si>
  <si>
    <t xml:space="preserve">2. PRICING BANDS</t>
  </si>
  <si>
    <t xml:space="preserve">Score &gt;=</t>
  </si>
  <si>
    <t xml:space="preserve">Term cap (daily pmts)</t>
  </si>
  <si>
    <t xml:space="preserve">Max term (months)</t>
  </si>
  <si>
    <t xml:space="preserve">Approved factor tiers (low -&gt; high)</t>
  </si>
  <si>
    <t xml:space="preserve">Tier cut-offs on 7-point scale: Strong / Solid / Moderate</t>
  </si>
  <si>
    <t xml:space="preserve">3. CONVERSION CONSTANTS</t>
  </si>
  <si>
    <t xml:space="preserve">Weeks per month (ours)</t>
  </si>
  <si>
    <t xml:space="preserve">Business days per month (ours)</t>
  </si>
  <si>
    <t xml:space="preserve">MoneyBadger weeks per month</t>
  </si>
  <si>
    <t xml:space="preserve">MoneyBadger business days per month</t>
  </si>
  <si>
    <t xml:space="preserve">Calendar days per month</t>
  </si>
  <si>
    <t xml:space="preserve">Assumed factor on existing positions</t>
  </si>
  <si>
    <t xml:space="preserve">4. HISTORICAL EVIDENCE SETTINGS</t>
  </si>
  <si>
    <t xml:space="preserve">As-of date for seasoning (date of the CRM export)</t>
  </si>
  <si>
    <t xml:space="preserve">Window: funded on or after</t>
  </si>
  <si>
    <t xml:space="preserve">Window: funded on or before</t>
  </si>
  <si>
    <t xml:space="preserve">12/31/2025 = settled book</t>
  </si>
  <si>
    <t xml:space="preserve">Seasoning multiple (age &gt;= multiple x contracted term)</t>
  </si>
  <si>
    <t xml:space="preserve">Minimum seasoned deals for a cohort to be PRIMARY</t>
  </si>
  <si>
    <t xml:space="preserve">RECOMMENDED for the full book: 10</t>
  </si>
  <si>
    <t xml:space="preserve">Minimum seasoned funded $ for a cohort to be PRIMARY</t>
  </si>
  <si>
    <t xml:space="preserve">RECOMMENDED for the full book: $150,000</t>
  </si>
  <si>
    <t xml:space="preserve">Credibility constant K (seasoned deals for half weight)</t>
  </si>
  <si>
    <t xml:space="preserve">Z = n / (n + K); small cohorts are pulled toward the book</t>
  </si>
  <si>
    <t xml:space="preserve">Minimum seasoned deals before a rate is shown</t>
  </si>
  <si>
    <t xml:space="preserve">RECOMMENDED for the full book: 5</t>
  </si>
  <si>
    <t xml:space="preserve">Seasoned deals for the sample-size indicator to be GREEN</t>
  </si>
  <si>
    <t xml:space="preserve">RECOMMENDED for the full book: 30</t>
  </si>
  <si>
    <t xml:space="preserve">5. HISTORICAL MODIFIER TABLE   index = blended cohort lost rate / seasoned-book lost rate  (1.00 = book)</t>
  </si>
  <si>
    <t xml:space="preserve">Index at or below</t>
  </si>
  <si>
    <t xml:space="preserve">Level</t>
  </si>
  <si>
    <t xml:space="preserve">Manual review?</t>
  </si>
  <si>
    <t xml:space="preserve">Strong positive</t>
  </si>
  <si>
    <t xml:space="preserve">As proposed</t>
  </si>
  <si>
    <t xml:space="preserve">N</t>
  </si>
  <si>
    <t xml:space="preserve">RECOMMENDED: size 90% of the way to the red line - metrics may go yellow, never red</t>
  </si>
  <si>
    <t xml:space="preserve">Mild positive</t>
  </si>
  <si>
    <t xml:space="preserve">half-way to the red line</t>
  </si>
  <si>
    <t xml:space="preserve">Neutral</t>
  </si>
  <si>
    <t xml:space="preserve">equals the cash-flow tool exactly as built</t>
  </si>
  <si>
    <t xml:space="preserve">Mild negative</t>
  </si>
  <si>
    <t xml:space="preserve">Negative</t>
  </si>
  <si>
    <t xml:space="preserve">Severe</t>
  </si>
  <si>
    <t xml:space="preserve">Y</t>
  </si>
  <si>
    <t xml:space="preserve">sent to manual review</t>
  </si>
  <si>
    <t xml:space="preserve">The C2 block on the Deal sheet uses A50 (0.85) and A51 (1.15) as its GREEN / RED lines for every house-book indicator. Modifier = Neutral whenever no cohort meets the minimums.</t>
  </si>
  <si>
    <t xml:space="preserve">6. STATUS MAPPING</t>
  </si>
  <si>
    <t xml:space="preserve">Default?</t>
  </si>
  <si>
    <t xml:space="preserve">Resolved?</t>
  </si>
  <si>
    <t xml:space="preserve">Closed?</t>
  </si>
  <si>
    <t xml:space="preserve">Open?</t>
  </si>
  <si>
    <t xml:space="preserve">Deals in file</t>
  </si>
  <si>
    <t xml:space="preserve">No</t>
  </si>
  <si>
    <t xml:space="preserve">Yes</t>
  </si>
  <si>
    <t xml:space="preserve">Lowered Payments</t>
  </si>
  <si>
    <t xml:space="preserve">Settlement Agreement</t>
  </si>
  <si>
    <t xml:space="preserve">Closed/NSF</t>
  </si>
  <si>
    <t xml:space="preserve">At-Risk</t>
  </si>
  <si>
    <t xml:space="preserve">7. MANUAL-REVIEW TRIGGERS  (Y = active)</t>
  </si>
  <si>
    <t xml:space="preserve">Trigger</t>
  </si>
  <si>
    <t xml:space="preserve">Active?</t>
  </si>
  <si>
    <t xml:space="preserve">Parameter</t>
  </si>
  <si>
    <t xml:space="preserve">Historical modifier is Severe</t>
  </si>
  <si>
    <t xml:space="preserve">Credit score RED AND another metric RED</t>
  </si>
  <si>
    <t xml:space="preserve">Positions incl. new at or above</t>
  </si>
  <si>
    <t xml:space="preserve">fund up to a 4th</t>
  </si>
  <si>
    <t xml:space="preserve">New deal, position at/above parameter, construction industry</t>
  </si>
  <si>
    <t xml:space="preserve">ISO or industry has no deals in the house book</t>
  </si>
  <si>
    <t xml:space="preserve">Final fund below minimum fund $</t>
  </si>
  <si>
    <t xml:space="preserve">No cohort met the minimums (book baseline in use)</t>
  </si>
  <si>
    <t xml:space="preserve">off by default</t>
  </si>
  <si>
    <t xml:space="preserve">CHECKS / AUDIT</t>
  </si>
  <si>
    <t xml:space="preserve">Check</t>
  </si>
  <si>
    <t xml:space="preserve">Result</t>
  </si>
  <si>
    <t xml:space="preserve">MISSING INPUTS</t>
  </si>
  <si>
    <t xml:space="preserve">Bank data entered</t>
  </si>
  <si>
    <t xml:space="preserve">Average daily balance entered</t>
  </si>
  <si>
    <t xml:space="preserve">New deal or renewal entered</t>
  </si>
  <si>
    <t xml:space="preserve">ISO entered and found in the house book</t>
  </si>
  <si>
    <t xml:space="preserve">Industry entered and found in the house book</t>
  </si>
  <si>
    <t xml:space="preserve">Credit score entered</t>
  </si>
  <si>
    <t xml:space="preserve">Requested factor is an approved tier</t>
  </si>
  <si>
    <t xml:space="preserve">FORMULA ERRORS</t>
  </si>
  <si>
    <t xml:space="preserve">Deal sheet</t>
  </si>
  <si>
    <t xml:space="preserve">Historical Data</t>
  </si>
  <si>
    <t xml:space="preserve">Historical Score</t>
  </si>
  <si>
    <t xml:space="preserve">Offer Engine / Decision Summary</t>
  </si>
  <si>
    <t xml:space="preserve">SAFETY</t>
  </si>
  <si>
    <t xml:space="preserve">Final daily &lt;= sized max daily</t>
  </si>
  <si>
    <t xml:space="preserve">No offer-side metric red/knockout at the final offer</t>
  </si>
  <si>
    <t xml:space="preserve">Sizing flex below 100%</t>
  </si>
  <si>
    <t xml:space="preserve">COHORT QUALITY</t>
  </si>
  <si>
    <t xml:space="preserve">Primary cohort met the minimums</t>
  </si>
  <si>
    <t xml:space="preserve">Conflicting ISO vs industry signals</t>
  </si>
  <si>
    <t xml:space="preserve">Tighter cohorts skipped for being too small</t>
  </si>
  <si>
    <t xml:space="preserve">DATA QUALITY (house book)</t>
  </si>
  <si>
    <t xml:space="preserve">Deals loaded</t>
  </si>
  <si>
    <t xml:space="preserve">Statuses not in the Controls mapping</t>
  </si>
  <si>
    <t xml:space="preserve">Deals with no revenue figure</t>
  </si>
  <si>
    <t xml:space="preserve">Never-paid deals (collected &lt;= 0)</t>
  </si>
  <si>
    <t xml:space="preserve">Open status but 99.9%+ paid</t>
  </si>
  <si>
    <t xml:space="preserve">Open deals older than 1.5x contracted term</t>
  </si>
  <si>
    <t xml:space="preserve">Weekly term above 39 weeks (9-month box)</t>
  </si>
  <si>
    <t xml:space="preserve">Payback = advance x factor on every deal</t>
  </si>
  <si>
    <t xml:space="preserve">RECONCILIATION</t>
  </si>
  <si>
    <t xml:space="preserve">Total funded</t>
  </si>
  <si>
    <t xml:space="preserve">Total collected</t>
  </si>
  <si>
    <t xml:space="preserve">Tier-7 seasoned funded = in-window seasoned funded</t>
  </si>
  <si>
    <t xml:space="preserve">Comparable list count = primary cohort matches</t>
  </si>
  <si>
    <t xml:space="preserve">Division</t>
  </si>
  <si>
    <t xml:space="preserve">ISO (house-book spelling)</t>
  </si>
  <si>
    <t xml:space="preserve">Industry list</t>
  </si>
  <si>
    <t xml:space="preserve">Fed holiday</t>
  </si>
  <si>
    <t xml:space="preserve">Status list</t>
  </si>
  <si>
    <t xml:space="preserve">01</t>
  </si>
  <si>
    <t xml:space="preserve">Agricultural Production - Crops</t>
  </si>
  <si>
    <t xml:space="preserve">Agriculture, Forestry &amp; Fishing</t>
  </si>
  <si>
    <t xml:space="preserve">Ace Partners</t>
  </si>
  <si>
    <t xml:space="preserve">Administration of Economic Programs</t>
  </si>
  <si>
    <t xml:space="preserve">AL</t>
  </si>
  <si>
    <t xml:space="preserve">02</t>
  </si>
  <si>
    <t xml:space="preserve">Agricultural Production - Livestock</t>
  </si>
  <si>
    <t xml:space="preserve">Advance Consolidations</t>
  </si>
  <si>
    <t xml:space="preserve">AR</t>
  </si>
  <si>
    <t xml:space="preserve">07</t>
  </si>
  <si>
    <t xml:space="preserve">Agricultural Services</t>
  </si>
  <si>
    <t xml:space="preserve">ALLSTATE FUND PROS LLC</t>
  </si>
  <si>
    <t xml:space="preserve">AZ</t>
  </si>
  <si>
    <t xml:space="preserve">08</t>
  </si>
  <si>
    <t xml:space="preserve">Forestry</t>
  </si>
  <si>
    <t xml:space="preserve">Alternative Solutions Funding</t>
  </si>
  <si>
    <t xml:space="preserve">CA</t>
  </si>
  <si>
    <t xml:space="preserve">13</t>
  </si>
  <si>
    <t xml:space="preserve">Oil &amp; Gas Extraction</t>
  </si>
  <si>
    <t xml:space="preserve">Mining</t>
  </si>
  <si>
    <t xml:space="preserve">alvara capital</t>
  </si>
  <si>
    <t xml:space="preserve">Air Transportation</t>
  </si>
  <si>
    <t xml:space="preserve">CO</t>
  </si>
  <si>
    <t xml:space="preserve">14</t>
  </si>
  <si>
    <t xml:space="preserve">Nonmetallic Minerals Mining</t>
  </si>
  <si>
    <t xml:space="preserve">American Funding Association 1</t>
  </si>
  <si>
    <t xml:space="preserve">Amusement &amp; Recreation Services</t>
  </si>
  <si>
    <t xml:space="preserve">CT</t>
  </si>
  <si>
    <t xml:space="preserve">General Building Contractors</t>
  </si>
  <si>
    <t xml:space="preserve">Construction</t>
  </si>
  <si>
    <t xml:space="preserve">Amerishop Financial services</t>
  </si>
  <si>
    <t xml:space="preserve">Apparel &amp; Accessory Stores</t>
  </si>
  <si>
    <t xml:space="preserve">DC</t>
  </si>
  <si>
    <t xml:space="preserve">16</t>
  </si>
  <si>
    <t xml:space="preserve">Heavy Construction</t>
  </si>
  <si>
    <t xml:space="preserve">Aspire Funding</t>
  </si>
  <si>
    <t xml:space="preserve">Apparel &amp; Textile Products</t>
  </si>
  <si>
    <t xml:space="preserve">DE</t>
  </si>
  <si>
    <t xml:space="preserve">17</t>
  </si>
  <si>
    <t xml:space="preserve">Special Trade Contractors</t>
  </si>
  <si>
    <t xml:space="preserve">Atla Finance</t>
  </si>
  <si>
    <t xml:space="preserve">Auto Dealers &amp; Gas Stations</t>
  </si>
  <si>
    <t xml:space="preserve">FL</t>
  </si>
  <si>
    <t xml:space="preserve">20</t>
  </si>
  <si>
    <t xml:space="preserve">Food &amp; Kindred Products</t>
  </si>
  <si>
    <t xml:space="preserve">Manufacturing</t>
  </si>
  <si>
    <t xml:space="preserve">AVON ADVANCE</t>
  </si>
  <si>
    <t xml:space="preserve">Auto Repair &amp; Services</t>
  </si>
  <si>
    <t xml:space="preserve">GA</t>
  </si>
  <si>
    <t xml:space="preserve">23</t>
  </si>
  <si>
    <t xml:space="preserve">Ballicci</t>
  </si>
  <si>
    <t xml:space="preserve">Building Materials &amp; Garden Supply</t>
  </si>
  <si>
    <t xml:space="preserve">HI</t>
  </si>
  <si>
    <t xml:space="preserve">24</t>
  </si>
  <si>
    <t xml:space="preserve">Lumber &amp; Wood Products</t>
  </si>
  <si>
    <t xml:space="preserve">BFA 3</t>
  </si>
  <si>
    <t xml:space="preserve">Business Services</t>
  </si>
  <si>
    <t xml:space="preserve">IA</t>
  </si>
  <si>
    <t xml:space="preserve">25</t>
  </si>
  <si>
    <t xml:space="preserve">Furniture &amp; Fixtures</t>
  </si>
  <si>
    <t xml:space="preserve">Bingo advance LLC</t>
  </si>
  <si>
    <t xml:space="preserve">Chemicals &amp; Allied Products</t>
  </si>
  <si>
    <t xml:space="preserve">ID</t>
  </si>
  <si>
    <t xml:space="preserve">27</t>
  </si>
  <si>
    <t xml:space="preserve">Printing &amp; Publishing</t>
  </si>
  <si>
    <t xml:space="preserve">Birkin Capital Inc</t>
  </si>
  <si>
    <t xml:space="preserve">Communications</t>
  </si>
  <si>
    <t xml:space="preserve">IL</t>
  </si>
  <si>
    <t xml:space="preserve">28</t>
  </si>
  <si>
    <t xml:space="preserve">biz advance now</t>
  </si>
  <si>
    <t xml:space="preserve">IN</t>
  </si>
  <si>
    <t xml:space="preserve">30</t>
  </si>
  <si>
    <t xml:space="preserve">Rubber &amp; Plastics</t>
  </si>
  <si>
    <t xml:space="preserve">Biz fuel</t>
  </si>
  <si>
    <t xml:space="preserve">Educational Services</t>
  </si>
  <si>
    <t xml:space="preserve">KS</t>
  </si>
  <si>
    <t xml:space="preserve">32</t>
  </si>
  <si>
    <t xml:space="preserve">Stone, Clay, Glass &amp; Concrete</t>
  </si>
  <si>
    <t xml:space="preserve">BizFin LLC</t>
  </si>
  <si>
    <t xml:space="preserve">Electric, Gas &amp; Sanitary Services</t>
  </si>
  <si>
    <t xml:space="preserve">KY</t>
  </si>
  <si>
    <t xml:space="preserve">33</t>
  </si>
  <si>
    <t xml:space="preserve">Primary Metal Industries</t>
  </si>
  <si>
    <t xml:space="preserve">black flag funding</t>
  </si>
  <si>
    <t xml:space="preserve">Electronic &amp; Electrical Equipment</t>
  </si>
  <si>
    <t xml:space="preserve">LA</t>
  </si>
  <si>
    <t xml:space="preserve">34</t>
  </si>
  <si>
    <t xml:space="preserve">Fabricated Metal Products</t>
  </si>
  <si>
    <t xml:space="preserve">Black Tie Funding</t>
  </si>
  <si>
    <t xml:space="preserve">Engineering, Accounting &amp; Management</t>
  </si>
  <si>
    <t xml:space="preserve">MA</t>
  </si>
  <si>
    <t xml:space="preserve">35</t>
  </si>
  <si>
    <t xml:space="preserve">Industrial Machinery &amp; Equipment</t>
  </si>
  <si>
    <t xml:space="preserve">Blue Oak Advance</t>
  </si>
  <si>
    <t xml:space="preserve">Environmental Quality &amp; Housing</t>
  </si>
  <si>
    <t xml:space="preserve">MD</t>
  </si>
  <si>
    <t xml:space="preserve">36</t>
  </si>
  <si>
    <t xml:space="preserve">bridge consolidation</t>
  </si>
  <si>
    <t xml:space="preserve">ME</t>
  </si>
  <si>
    <t xml:space="preserve">37</t>
  </si>
  <si>
    <t xml:space="preserve">Transportation Equipment</t>
  </si>
  <si>
    <t xml:space="preserve">Broadway Advance LLC</t>
  </si>
  <si>
    <t xml:space="preserve">MI</t>
  </si>
  <si>
    <t xml:space="preserve">38</t>
  </si>
  <si>
    <t xml:space="preserve">Instruments &amp; Related Products</t>
  </si>
  <si>
    <t xml:space="preserve">Business Fund USA 4</t>
  </si>
  <si>
    <t xml:space="preserve">Food Stores</t>
  </si>
  <si>
    <t xml:space="preserve">MN</t>
  </si>
  <si>
    <t xml:space="preserve">39</t>
  </si>
  <si>
    <t xml:space="preserve">Miscellaneous Manufacturing</t>
  </si>
  <si>
    <t xml:space="preserve">Can I Have Money</t>
  </si>
  <si>
    <t xml:space="preserve">MO</t>
  </si>
  <si>
    <t xml:space="preserve">41</t>
  </si>
  <si>
    <t xml:space="preserve">Local &amp; Interurban Passenger Transit</t>
  </si>
  <si>
    <t xml:space="preserve">Transportation &amp; Utilities</t>
  </si>
  <si>
    <t xml:space="preserve">Capfront Funding</t>
  </si>
  <si>
    <t xml:space="preserve">MS</t>
  </si>
  <si>
    <t xml:space="preserve">Trucking &amp; Warehousing</t>
  </si>
  <si>
    <t xml:space="preserve">Capital 1 Group LLC DBA Tier One Financing LLC</t>
  </si>
  <si>
    <t xml:space="preserve">Furniture &amp; Home Furnishings Stores</t>
  </si>
  <si>
    <t xml:space="preserve">MT</t>
  </si>
  <si>
    <t xml:space="preserve">44</t>
  </si>
  <si>
    <t xml:space="preserve">Water Transportation</t>
  </si>
  <si>
    <t xml:space="preserve">CARE FUNDING GROUP</t>
  </si>
  <si>
    <t xml:space="preserve">NC</t>
  </si>
  <si>
    <t xml:space="preserve">45</t>
  </si>
  <si>
    <t xml:space="preserve">cavala funding</t>
  </si>
  <si>
    <t xml:space="preserve">General Merchandise Stores</t>
  </si>
  <si>
    <t xml:space="preserve">ND</t>
  </si>
  <si>
    <t xml:space="preserve">47</t>
  </si>
  <si>
    <t xml:space="preserve">Transportation Services</t>
  </si>
  <si>
    <t xml:space="preserve">cenitcapital</t>
  </si>
  <si>
    <t xml:space="preserve">Health Services</t>
  </si>
  <si>
    <t xml:space="preserve">NH</t>
  </si>
  <si>
    <t xml:space="preserve">48</t>
  </si>
  <si>
    <t xml:space="preserve">Choicecapital Solutions LLC</t>
  </si>
  <si>
    <t xml:space="preserve">49</t>
  </si>
  <si>
    <t xml:space="preserve">City Wide Capital</t>
  </si>
  <si>
    <t xml:space="preserve">Hotels &amp; Lodging</t>
  </si>
  <si>
    <t xml:space="preserve">NM</t>
  </si>
  <si>
    <t xml:space="preserve">50</t>
  </si>
  <si>
    <t xml:space="preserve">Wholesale Trade - Durable Goods</t>
  </si>
  <si>
    <t xml:space="preserve">Wholesale Trade</t>
  </si>
  <si>
    <t xml:space="preserve">Clover Capital</t>
  </si>
  <si>
    <t xml:space="preserve">NV</t>
  </si>
  <si>
    <t xml:space="preserve">51</t>
  </si>
  <si>
    <t xml:space="preserve">Wholesale Trade - Nondurable Goods</t>
  </si>
  <si>
    <t xml:space="preserve">CNL LOANS</t>
  </si>
  <si>
    <t xml:space="preserve">NY</t>
  </si>
  <si>
    <t xml:space="preserve">52</t>
  </si>
  <si>
    <t xml:space="preserve">Retail Trade</t>
  </si>
  <si>
    <t xml:space="preserve">Credibly</t>
  </si>
  <si>
    <t xml:space="preserve">Insurance Agents &amp; Brokers</t>
  </si>
  <si>
    <t xml:space="preserve">No state</t>
  </si>
  <si>
    <t xml:space="preserve">53</t>
  </si>
  <si>
    <t xml:space="preserve">DBS FUNDING GROUP</t>
  </si>
  <si>
    <t xml:space="preserve">Insurance Carriers</t>
  </si>
  <si>
    <t xml:space="preserve">OH</t>
  </si>
  <si>
    <t xml:space="preserve">54</t>
  </si>
  <si>
    <t xml:space="preserve">Deal Struck</t>
  </si>
  <si>
    <t xml:space="preserve">Justice, Public Order &amp; Safety</t>
  </si>
  <si>
    <t xml:space="preserve">OK</t>
  </si>
  <si>
    <t xml:space="preserve">55</t>
  </si>
  <si>
    <t xml:space="preserve">Diamond Bar Funding</t>
  </si>
  <si>
    <t xml:space="preserve">Legal Services</t>
  </si>
  <si>
    <t xml:space="preserve">OR</t>
  </si>
  <si>
    <t xml:space="preserve">56</t>
  </si>
  <si>
    <t xml:space="preserve">DIRECT CAPITAL SOURCE, INC.</t>
  </si>
  <si>
    <t xml:space="preserve">PA</t>
  </si>
  <si>
    <t xml:space="preserve">57</t>
  </si>
  <si>
    <t xml:space="preserve">Direct Funding LLC</t>
  </si>
  <si>
    <t xml:space="preserve">PR</t>
  </si>
  <si>
    <t xml:space="preserve">Dubbs holding</t>
  </si>
  <si>
    <t xml:space="preserve">Membership Organizations</t>
  </si>
  <si>
    <t xml:space="preserve">RI</t>
  </si>
  <si>
    <t xml:space="preserve">59</t>
  </si>
  <si>
    <t xml:space="preserve">Miscellaneous Retail</t>
  </si>
  <si>
    <t xml:space="preserve">ecp business capital</t>
  </si>
  <si>
    <t xml:space="preserve">SC</t>
  </si>
  <si>
    <t xml:space="preserve">62</t>
  </si>
  <si>
    <t xml:space="preserve">Security &amp; Commodity Brokers</t>
  </si>
  <si>
    <t xml:space="preserve">Finance, Insurance &amp; Real Estate</t>
  </si>
  <si>
    <t xml:space="preserve">Elite Advance 5</t>
  </si>
  <si>
    <t xml:space="preserve">Miscellaneous Repair Services</t>
  </si>
  <si>
    <t xml:space="preserve">SD</t>
  </si>
  <si>
    <t xml:space="preserve">63</t>
  </si>
  <si>
    <t xml:space="preserve">elite finance team</t>
  </si>
  <si>
    <t xml:space="preserve">TN</t>
  </si>
  <si>
    <t xml:space="preserve">64</t>
  </si>
  <si>
    <t xml:space="preserve">ELITE FUNDING PARTNERS LLC 6</t>
  </si>
  <si>
    <t xml:space="preserve">Motion Pictures</t>
  </si>
  <si>
    <t xml:space="preserve">65</t>
  </si>
  <si>
    <t xml:space="preserve">Real Estate</t>
  </si>
  <si>
    <t xml:space="preserve">EVR GREEN LLC</t>
  </si>
  <si>
    <t xml:space="preserve">Museums &amp; Botanical Gardens</t>
  </si>
  <si>
    <t xml:space="preserve">UT</t>
  </si>
  <si>
    <t xml:space="preserve">70</t>
  </si>
  <si>
    <t xml:space="preserve">Services</t>
  </si>
  <si>
    <t xml:space="preserve">EZ ADVANCE LLC</t>
  </si>
  <si>
    <t xml:space="preserve">National Security &amp; Intl Affairs</t>
  </si>
  <si>
    <t xml:space="preserve">VA</t>
  </si>
  <si>
    <t xml:space="preserve">Personal Services</t>
  </si>
  <si>
    <t xml:space="preserve">ez alternative solutions</t>
  </si>
  <si>
    <t xml:space="preserve">VT</t>
  </si>
  <si>
    <t xml:space="preserve">FC ADVANCE</t>
  </si>
  <si>
    <t xml:space="preserve">WA</t>
  </si>
  <si>
    <t xml:space="preserve">Fidelity Funding</t>
  </si>
  <si>
    <t xml:space="preserve">WI</t>
  </si>
  <si>
    <t xml:space="preserve">76</t>
  </si>
  <si>
    <t xml:space="preserve">FIFTH VENTURE</t>
  </si>
  <si>
    <t xml:space="preserve">WV</t>
  </si>
  <si>
    <t xml:space="preserve">78</t>
  </si>
  <si>
    <t xml:space="preserve">FIMACAP INC</t>
  </si>
  <si>
    <t xml:space="preserve">79</t>
  </si>
  <si>
    <t xml:space="preserve">Financial Express LLC</t>
  </si>
  <si>
    <t xml:space="preserve">Financity</t>
  </si>
  <si>
    <t xml:space="preserve">81</t>
  </si>
  <si>
    <t xml:space="preserve">FireLine Funding</t>
  </si>
  <si>
    <t xml:space="preserve">82</t>
  </si>
  <si>
    <t xml:space="preserve">First Path Capital</t>
  </si>
  <si>
    <t xml:space="preserve">Services - Miscellaneous</t>
  </si>
  <si>
    <t xml:space="preserve">83</t>
  </si>
  <si>
    <t xml:space="preserve">Social Services</t>
  </si>
  <si>
    <t xml:space="preserve">Fund Kite</t>
  </si>
  <si>
    <t xml:space="preserve">84</t>
  </si>
  <si>
    <t xml:space="preserve">Fund Max</t>
  </si>
  <si>
    <t xml:space="preserve">86</t>
  </si>
  <si>
    <t xml:space="preserve">Fund Simple</t>
  </si>
  <si>
    <t xml:space="preserve">87</t>
  </si>
  <si>
    <t xml:space="preserve">Fund Your Bizz</t>
  </si>
  <si>
    <t xml:space="preserve">89</t>
  </si>
  <si>
    <t xml:space="preserve">FundFlex</t>
  </si>
  <si>
    <t xml:space="preserve">92</t>
  </si>
  <si>
    <t xml:space="preserve">Public Administration</t>
  </si>
  <si>
    <t xml:space="preserve">Fundible</t>
  </si>
  <si>
    <t xml:space="preserve">95</t>
  </si>
  <si>
    <t xml:space="preserve">Fundward</t>
  </si>
  <si>
    <t xml:space="preserve">96</t>
  </si>
  <si>
    <t xml:space="preserve">97</t>
  </si>
  <si>
    <t xml:space="preserve">Go Ai Ez LLC Dba:Gova Funding</t>
  </si>
  <si>
    <t xml:space="preserve">GREYSTONE</t>
  </si>
  <si>
    <t xml:space="preserve">No SIC</t>
  </si>
  <si>
    <t xml:space="preserve">GROWTH RATE CAPITAL INC</t>
  </si>
  <si>
    <t xml:space="preserve">Unclassified</t>
  </si>
  <si>
    <t xml:space="preserve">Hero Advance Group</t>
  </si>
  <si>
    <t xml:space="preserve">I burst funding</t>
  </si>
  <si>
    <t xml:space="preserve">ICB FUNDING</t>
  </si>
  <si>
    <t xml:space="preserve">ICG Funding</t>
  </si>
  <si>
    <t xml:space="preserve">J Capital Solutions</t>
  </si>
  <si>
    <t xml:space="preserve">JABSCAP</t>
  </si>
  <si>
    <t xml:space="preserve">Kelly Kapital</t>
  </si>
  <si>
    <t xml:space="preserve">Key Capital Funding</t>
  </si>
  <si>
    <t xml:space="preserve">Klendify</t>
  </si>
  <si>
    <t xml:space="preserve">langtech</t>
  </si>
  <si>
    <t xml:space="preserve">legacy funding llc</t>
  </si>
  <si>
    <t xml:space="preserve">Lemonaid</t>
  </si>
  <si>
    <t xml:space="preserve">Lend Bull LLC</t>
  </si>
  <si>
    <t xml:space="preserve">LENDCAP SOLUTIONS</t>
  </si>
  <si>
    <t xml:space="preserve">level 3 funding</t>
  </si>
  <si>
    <t xml:space="preserve">lexington capital holdings</t>
  </si>
  <si>
    <t xml:space="preserve">Liberty Bell Capital</t>
  </si>
  <si>
    <t xml:space="preserve">Lightning SBA Loans</t>
  </si>
  <si>
    <t xml:space="preserve">lightningfundingsolutions</t>
  </si>
  <si>
    <t xml:space="preserve">Linked In Funding</t>
  </si>
  <si>
    <t xml:space="preserve">liquidity lending group</t>
  </si>
  <si>
    <t xml:space="preserve">Llama Loan</t>
  </si>
  <si>
    <t xml:space="preserve">MADVANCEGRP</t>
  </si>
  <si>
    <t xml:space="preserve">Merchant Advance Now</t>
  </si>
  <si>
    <t xml:space="preserve">Merchant ReFi</t>
  </si>
  <si>
    <t xml:space="preserve">Milestone Capital Funding Inc</t>
  </si>
  <si>
    <t xml:space="preserve">Mills  funding group</t>
  </si>
  <si>
    <t xml:space="preserve">Monarch funding Group</t>
  </si>
  <si>
    <t xml:space="preserve">MONETCAP</t>
  </si>
  <si>
    <t xml:space="preserve">MZ ADVANCE</t>
  </si>
  <si>
    <t xml:space="preserve">National Business Capital</t>
  </si>
  <si>
    <t xml:space="preserve">NS PRO INC.</t>
  </si>
  <si>
    <t xml:space="preserve">NY Tribeca Group</t>
  </si>
  <si>
    <t xml:space="preserve">One Box Funding</t>
  </si>
  <si>
    <t xml:space="preserve">ontime cap</t>
  </si>
  <si>
    <t xml:space="preserve">Pathway Catalyst</t>
  </si>
  <si>
    <t xml:space="preserve">PEACH STATE SOLUTIONS</t>
  </si>
  <si>
    <t xml:space="preserve">peach tree capital</t>
  </si>
  <si>
    <t xml:space="preserve">penco holdings</t>
  </si>
  <si>
    <t xml:space="preserve">Pharoah Fund</t>
  </si>
  <si>
    <t xml:space="preserve">Platform Funding</t>
  </si>
  <si>
    <t xml:space="preserve">PMF</t>
  </si>
  <si>
    <t xml:space="preserve">Premium Capital (AMRK)</t>
  </si>
  <si>
    <t xml:space="preserve">Pro Source Lending Group</t>
  </si>
  <si>
    <t xml:space="preserve">Pyn Capital</t>
  </si>
  <si>
    <t xml:space="preserve">Qualifier</t>
  </si>
  <si>
    <t xml:space="preserve">Redline Capital</t>
  </si>
  <si>
    <t xml:space="preserve">ROK</t>
  </si>
  <si>
    <t xml:space="preserve">ROYAL FUNDING GROUP</t>
  </si>
  <si>
    <t xml:space="preserve">SABER ASSETS LLC</t>
  </si>
  <si>
    <t xml:space="preserve">Samson Funding</t>
  </si>
  <si>
    <t xml:space="preserve">Seacap</t>
  </si>
  <si>
    <t xml:space="preserve">Secure Capital Solutions 7</t>
  </si>
  <si>
    <t xml:space="preserve">secure way capital</t>
  </si>
  <si>
    <t xml:space="preserve">Shield Funding</t>
  </si>
  <si>
    <t xml:space="preserve">Shop Funder</t>
  </si>
  <si>
    <t xml:space="preserve">Shore Funding USA</t>
  </si>
  <si>
    <t xml:space="preserve">Simply capital source inc</t>
  </si>
  <si>
    <t xml:space="preserve">Siriux internacional corp</t>
  </si>
  <si>
    <t xml:space="preserve">Sky Advance</t>
  </si>
  <si>
    <t xml:space="preserve">Smarter Credit Inc.</t>
  </si>
  <si>
    <t xml:space="preserve">SNA Capital source</t>
  </si>
  <si>
    <t xml:space="preserve">SNB CAPITAL 18 LLC</t>
  </si>
  <si>
    <t xml:space="preserve">Splash</t>
  </si>
  <si>
    <t xml:space="preserve">Springville Partners</t>
  </si>
  <si>
    <t xml:space="preserve">Streamline Funding LLC</t>
  </si>
  <si>
    <t xml:space="preserve">Supreme Capital Solutions</t>
  </si>
  <si>
    <t xml:space="preserve">Swift Business Funding</t>
  </si>
  <si>
    <t xml:space="preserve">Tech Consulting Pro LLC D/B/A: Nationwide Advance</t>
  </si>
  <si>
    <t xml:space="preserve">The Funding Channel</t>
  </si>
  <si>
    <t xml:space="preserve">The Funding Family</t>
  </si>
  <si>
    <t xml:space="preserve">Tier one</t>
  </si>
  <si>
    <t xml:space="preserve">Tip Top Capital</t>
  </si>
  <si>
    <t xml:space="preserve">Top Floor Advance</t>
  </si>
  <si>
    <t xml:space="preserve">Triumph Cap Fund</t>
  </si>
  <si>
    <t xml:space="preserve">True Eagle Capital</t>
  </si>
  <si>
    <t xml:space="preserve">True Path Funding</t>
  </si>
  <si>
    <t xml:space="preserve">TRUSTFI</t>
  </si>
  <si>
    <t xml:space="preserve">United Secured Capital 8</t>
  </si>
  <si>
    <t xml:space="preserve">upcrunch</t>
  </si>
  <si>
    <t xml:space="preserve">Upright Advance Corp</t>
  </si>
  <si>
    <t xml:space="preserve">Upwise capital</t>
  </si>
  <si>
    <t xml:space="preserve">Vanguard Equities</t>
  </si>
  <si>
    <t xml:space="preserve">Vantage Cap Group</t>
  </si>
  <si>
    <t xml:space="preserve">Viking Funding LLC</t>
  </si>
  <si>
    <t xml:space="preserve">Vital Funding</t>
  </si>
  <si>
    <t xml:space="preserve">Wisco Capital</t>
  </si>
  <si>
    <t xml:space="preserve">WOTR Enterprise LLC</t>
  </si>
  <si>
    <t xml:space="preserve">YM ventures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</si>
</sst>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"/>
    <numFmt numFmtId="166" formatCode="0.00"/>
    <numFmt numFmtId="167" formatCode="0"/>
    <numFmt numFmtId="168" formatCode="0%"/>
    <numFmt numFmtId="169" formatCode="\$#,##0.00"/>
    <numFmt numFmtId="170" formatCode="0.00%"/>
    <numFmt numFmtId="171" formatCode="0.0%"/>
    <numFmt numFmtId="172" formatCode="0.0"/>
    <numFmt numFmtId="173" formatCode="0.000"/>
    <numFmt numFmtId="174" formatCode="m/d/yyyy"/>
    <numFmt numFmtId="175" formatCode="#,##0.00"/>
    <numFmt numFmtId="176" formatCode="General"/>
    <numFmt numFmtId="177" formatCode="mm/dd/yyyy"/>
    <numFmt numFmtId="178" formatCode="0.0000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5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3"/>
      <color theme="1"/>
      <name val="Calibri"/>
      <family val="0"/>
      <charset val="1"/>
    </font>
    <font>
      <i val="true"/>
      <sz val="9"/>
      <color rgb="FF37415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sz val="11"/>
      <color rgb="FF008000"/>
      <name val="Calibri"/>
      <family val="0"/>
      <charset val="1"/>
    </font>
    <font>
      <sz val="9"/>
      <color rgb="FF374151"/>
      <name val="Calibri"/>
      <family val="0"/>
      <charset val="1"/>
    </font>
    <font>
      <b val="true"/>
      <sz val="11"/>
      <color rgb="FF3730A3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3"/>
      <name val="Calibri"/>
      <family val="0"/>
      <charset val="1"/>
    </font>
    <font>
      <sz val="11"/>
      <color rgb="FF0000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74151"/>
      </patternFill>
    </fill>
    <fill>
      <patternFill patternType="solid">
        <fgColor rgb="FF4B5563"/>
        <bgColor rgb="FF374151"/>
      </patternFill>
    </fill>
    <fill>
      <patternFill patternType="solid">
        <fgColor rgb="FFFFF9C4"/>
        <bgColor rgb="FFFFFF99"/>
      </patternFill>
    </fill>
    <fill>
      <patternFill patternType="solid">
        <fgColor rgb="FFE5E7EB"/>
        <bgColor rgb="FFFFF9C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FFFFFF"/>
      </font>
      <fill>
        <patternFill>
          <bgColor rgb="FFF97316"/>
        </patternFill>
      </fill>
    </dxf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4B5563"/>
      <rgbColor rgb="FF9CA3AF"/>
      <rgbColor rgb="FF003366"/>
      <rgbColor rgb="FF00B050"/>
      <rgbColor rgb="FF003300"/>
      <rgbColor rgb="FF374151"/>
      <rgbColor rgb="FF993300"/>
      <rgbColor rgb="FF993366"/>
      <rgbColor rgb="FF3730A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1" t="s">
        <v>1</v>
      </c>
    </row>
    <row r="5" customFormat="false" ht="28.35" hidden="false" customHeight="false" outlineLevel="0" collapsed="false">
      <c r="B5" s="2" t="s">
        <v>2</v>
      </c>
    </row>
    <row r="6" customFormat="false" ht="28.3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1" t="s">
        <v>4</v>
      </c>
    </row>
    <row r="9" customFormat="false" ht="28.3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41.75" hidden="false" customHeight="false" outlineLevel="0" collapsed="false">
      <c r="B11" s="2" t="s">
        <v>7</v>
      </c>
    </row>
    <row r="12" customFormat="false" ht="28.3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1" t="s">
        <v>9</v>
      </c>
    </row>
    <row r="15" customFormat="false" ht="28.3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1" t="s">
        <v>11</v>
      </c>
    </row>
    <row r="18" customFormat="false" ht="28.35" hidden="false" customHeight="false" outlineLevel="0" collapsed="false">
      <c r="B18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7.14"/>
    <col collapsed="false" customWidth="true" hidden="false" outlineLevel="0" max="4" min="3" style="0" width="17.29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1.86"/>
    <col collapsed="false" customWidth="true" hidden="false" outlineLevel="0" max="10" min="10" style="0" width="27"/>
    <col collapsed="false" customWidth="true" hidden="false" outlineLevel="0" max="13" min="11" style="0" width="26"/>
    <col collapsed="false" customWidth="true" hidden="false" outlineLevel="0" max="26" min="14" style="0" width="8.71"/>
  </cols>
  <sheetData>
    <row r="1" customFormat="false" ht="18.55" hidden="false" customHeight="false" outlineLevel="0" collapsed="false">
      <c r="B1" s="3" t="s">
        <v>13</v>
      </c>
    </row>
    <row r="2" customFormat="false" ht="16.4" hidden="false" customHeight="false" outlineLevel="0" collapsed="false">
      <c r="B2" s="4" t="s">
        <v>14</v>
      </c>
      <c r="C2" s="5" t="str">
        <f aca="false">C62</f>
        <v>CONDITIONAL</v>
      </c>
      <c r="D2" s="6" t="str">
        <f aca="false">IF(C62="","",C60&amp;" red flag(s) vs limit "&amp;C61&amp;"   |   "&amp;COUNTIF(F38:F45,"GREEN")&amp;"G / "&amp;COUNTIF(F38:F45,"YELLOW")&amp;"Y / "&amp;COUNTIF(F38:F45,"RED")&amp;"R   |   score "&amp;TEXT(C65,"0.0")&amp;"/"&amp;D65&amp;" = "&amp;C66&amp;"   |   FINAL: "&amp;IF(C77="","-",C77))</f>
        <v>0 red flag(s) vs limit 2   |   7G / 1Y / 0R   |   score 7.5/8 = Strong   |   FINAL: CONDITIONAL</v>
      </c>
      <c r="E2" s="6"/>
      <c r="F2" s="6"/>
      <c r="G2" s="6"/>
      <c r="H2" s="6"/>
    </row>
    <row r="3" customFormat="false" ht="15" hidden="false" customHeight="false" outlineLevel="0" collapsed="false">
      <c r="B3" s="7"/>
    </row>
    <row r="4" customFormat="false" ht="15" hidden="false" customHeight="false" outlineLevel="0" collapsed="false">
      <c r="B4" s="8" t="s">
        <v>15</v>
      </c>
      <c r="C4" s="8"/>
      <c r="D4" s="8"/>
      <c r="E4" s="8"/>
      <c r="F4" s="8"/>
      <c r="G4" s="8"/>
      <c r="H4" s="8"/>
      <c r="J4" s="8" t="s">
        <v>16</v>
      </c>
      <c r="K4" s="8"/>
      <c r="L4" s="8"/>
      <c r="M4" s="8"/>
    </row>
    <row r="5" customFormat="false" ht="15" hidden="false" customHeight="false" outlineLevel="0" collapsed="false">
      <c r="B5" s="9" t="s">
        <v>17</v>
      </c>
      <c r="C5" s="9" t="s">
        <v>18</v>
      </c>
      <c r="D5" s="9" t="str">
        <f aca="false">IF($E$6="Weekly","Term (weeks)","Term (daily pmts)")</f>
        <v>Term (weeks)</v>
      </c>
      <c r="E5" s="9" t="s">
        <v>19</v>
      </c>
      <c r="F5" s="9" t="s">
        <v>20</v>
      </c>
      <c r="J5" s="9" t="s">
        <v>21</v>
      </c>
      <c r="K5" s="9" t="s">
        <v>22</v>
      </c>
      <c r="L5" s="9" t="s">
        <v>23</v>
      </c>
      <c r="M5" s="9" t="s">
        <v>24</v>
      </c>
    </row>
    <row r="6" customFormat="false" ht="15" hidden="false" customHeight="false" outlineLevel="0" collapsed="false">
      <c r="B6" s="10" t="n">
        <v>40000</v>
      </c>
      <c r="C6" s="11" t="n">
        <v>1.45</v>
      </c>
      <c r="D6" s="12" t="n">
        <v>24</v>
      </c>
      <c r="E6" s="13" t="s">
        <v>25</v>
      </c>
      <c r="F6" s="14" t="n">
        <f aca="false">Controls!$B$15</f>
        <v>0.05</v>
      </c>
      <c r="J6" s="15" t="str">
        <f aca="false">IF($E$6="Weekly","Weekly remittance","Daily remittance")</f>
        <v>Weekly remittance</v>
      </c>
      <c r="K6" s="16" t="n">
        <f aca="false">IF(OR($E$6="",C8="",C24=0),"",IF($E$6="Weekly",D8,C8))</f>
        <v>2416.66666666667</v>
      </c>
      <c r="L6" s="16" t="n">
        <f aca="false">IF(OR(L7="",C24=0),"",L7*C24/IF($E$6="Weekly",$L$8,$L$9))</f>
        <v>2417.15625</v>
      </c>
      <c r="M6" s="17" t="n">
        <f aca="false">IF(OR(K6="",L6=""),"",L6-K6)</f>
        <v>0.489583333333485</v>
      </c>
    </row>
    <row r="7" customFormat="false" ht="15" hidden="false" customHeight="false" outlineLevel="0" collapsed="false">
      <c r="B7" s="9" t="s">
        <v>26</v>
      </c>
      <c r="C7" s="9" t="s">
        <v>27</v>
      </c>
      <c r="D7" s="9" t="s">
        <v>28</v>
      </c>
      <c r="E7" s="9" t="s">
        <v>29</v>
      </c>
      <c r="F7" s="9" t="s">
        <v>30</v>
      </c>
      <c r="G7" s="9" t="s">
        <v>31</v>
      </c>
      <c r="J7" s="15" t="s">
        <v>32</v>
      </c>
      <c r="K7" s="18" t="n">
        <f aca="false">IF(OR(D8="",C24=0),"",E8/C24)</f>
        <v>0.121351690821256</v>
      </c>
      <c r="L7" s="18" t="n">
        <f aca="false">IF(OR($E$6="",C8="",C24=0),"",ROUND(IF($E$6="Weekly",D8*$L$8,C8*$L$9)/C24*100,2)/100)</f>
        <v>0.1121</v>
      </c>
      <c r="M7" s="19" t="n">
        <f aca="false">IF(OR(K7="",L7=""),"",L7-K7)</f>
        <v>-0.00925169082125604</v>
      </c>
    </row>
    <row r="8" customFormat="false" ht="15" hidden="false" customHeight="false" outlineLevel="0" collapsed="false">
      <c r="B8" s="20" t="n">
        <f aca="false">IF(OR(B6="",C6=""),"",B6*C6)</f>
        <v>58000</v>
      </c>
      <c r="C8" s="21" t="n">
        <f aca="false">IF(OR(B8="",D6="",D6=0),"",IF(E6="Weekly",(B8/D6)/5,B8/D6))</f>
        <v>483.333333333333</v>
      </c>
      <c r="D8" s="21" t="n">
        <f aca="false">IF(C8="","",C8*5)</f>
        <v>2416.66666666667</v>
      </c>
      <c r="E8" s="20" t="n">
        <f aca="false">IF(C8="","",C8*$K$9)</f>
        <v>10466.5833333333</v>
      </c>
      <c r="F8" s="22" t="n">
        <f aca="false">IF(OR(D6="",D6=0),"",IF(E6="Weekly",D6,D6/5)/($K$9/5))</f>
        <v>5.54144539367352</v>
      </c>
      <c r="G8" s="20" t="n">
        <f aca="false">IF(B6="","",B6-(B6*F6))</f>
        <v>38000</v>
      </c>
      <c r="J8" s="15" t="s">
        <v>33</v>
      </c>
      <c r="K8" s="23" t="n">
        <f aca="false">Controls!$B$28</f>
        <v>4.331</v>
      </c>
      <c r="L8" s="23" t="n">
        <f aca="false">Controls!$B$30</f>
        <v>4</v>
      </c>
      <c r="M8" s="24" t="n">
        <f aca="false">IF(OR(K8="",L8=""),"",L8-K8)</f>
        <v>-0.331</v>
      </c>
    </row>
    <row r="9" customFormat="false" ht="15" hidden="false" customHeight="false" outlineLevel="0" collapsed="false">
      <c r="J9" s="15" t="s">
        <v>34</v>
      </c>
      <c r="K9" s="23" t="n">
        <f aca="false">Controls!$B$29</f>
        <v>21.655</v>
      </c>
      <c r="L9" s="23" t="n">
        <f aca="false">Controls!$B$31</f>
        <v>21</v>
      </c>
      <c r="M9" s="24" t="n">
        <f aca="false">IF(OR(K9="",L9=""),"",L9-K9)</f>
        <v>-0.655000000000001</v>
      </c>
    </row>
    <row r="10" customFormat="false" ht="15" hidden="false" customHeight="false" outlineLevel="0" collapsed="false">
      <c r="B10" s="8" t="s">
        <v>35</v>
      </c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B11" s="9" t="s">
        <v>36</v>
      </c>
      <c r="C11" s="9" t="s">
        <v>37</v>
      </c>
      <c r="D11" s="9" t="s">
        <v>38</v>
      </c>
      <c r="E11" s="9" t="s">
        <v>39</v>
      </c>
      <c r="F11" s="9" t="s">
        <v>40</v>
      </c>
      <c r="G11" s="9" t="s">
        <v>41</v>
      </c>
      <c r="J11" s="8" t="s">
        <v>42</v>
      </c>
      <c r="K11" s="8"/>
      <c r="L11" s="8"/>
      <c r="M11" s="8"/>
    </row>
    <row r="12" customFormat="false" ht="15" hidden="false" customHeight="false" outlineLevel="0" collapsed="false">
      <c r="B12" s="25" t="s">
        <v>43</v>
      </c>
      <c r="C12" s="26" t="n">
        <v>88000</v>
      </c>
      <c r="D12" s="26" t="n">
        <v>7400</v>
      </c>
      <c r="E12" s="27" t="n">
        <v>0</v>
      </c>
      <c r="F12" s="27" t="n">
        <v>0</v>
      </c>
      <c r="G12" s="28" t="n">
        <f aca="false">IF(OR(C12="",C13=""),"",(C12-C13)/C13)</f>
        <v>0.0476190476190476</v>
      </c>
      <c r="J12" s="29" t="s">
        <v>44</v>
      </c>
      <c r="K12" s="30" t="s">
        <v>45</v>
      </c>
      <c r="L12" s="31" t="str">
        <f aca="false">IF(K12="","",COUNTIF('Historical Data'!$K$2:$K$9,K12)&amp;" deals in book")</f>
        <v>4 deals in book</v>
      </c>
      <c r="M12" s="31"/>
    </row>
    <row r="13" customFormat="false" ht="15" hidden="false" customHeight="false" outlineLevel="0" collapsed="false">
      <c r="B13" s="25" t="s">
        <v>46</v>
      </c>
      <c r="C13" s="26" t="n">
        <v>84000</v>
      </c>
      <c r="D13" s="26" t="n">
        <v>6900</v>
      </c>
      <c r="E13" s="27" t="n">
        <v>0</v>
      </c>
      <c r="F13" s="27" t="n">
        <v>1</v>
      </c>
      <c r="G13" s="28" t="n">
        <f aca="false">IF(OR(C13="",C14=""),"",(C13-C14)/C14)</f>
        <v>-0.0769230769230769</v>
      </c>
      <c r="J13" s="32" t="s">
        <v>47</v>
      </c>
      <c r="K13" s="33" t="s">
        <v>48</v>
      </c>
      <c r="L13" s="34" t="str">
        <f aca="false">IF(K13="","",COUNTIF('Historical Data'!$Y$2:$Y$9,K13)&amp;" deals in book")</f>
        <v>1 deals in book</v>
      </c>
      <c r="M13" s="34"/>
    </row>
    <row r="14" customFormat="false" ht="15" hidden="false" customHeight="false" outlineLevel="0" collapsed="false">
      <c r="B14" s="25" t="s">
        <v>49</v>
      </c>
      <c r="C14" s="26" t="n">
        <v>91000</v>
      </c>
      <c r="D14" s="26" t="n">
        <v>8100</v>
      </c>
      <c r="E14" s="27" t="n">
        <v>0</v>
      </c>
      <c r="F14" s="27" t="n">
        <v>0</v>
      </c>
      <c r="G14" s="28" t="n">
        <f aca="false">IF(OR(C14="",C15=""),"",(C14-C15)/C15)</f>
        <v>0.109756097560976</v>
      </c>
      <c r="J14" s="32" t="s">
        <v>50</v>
      </c>
      <c r="K14" s="33" t="s">
        <v>51</v>
      </c>
      <c r="L14" s="34" t="str">
        <f aca="false">IF(K14="","not needed for an offer",COUNTIF('Historical Data'!$J$2:$J$9,K14)&amp;" deals in book")</f>
        <v>4 deals in book</v>
      </c>
      <c r="M14" s="34"/>
    </row>
    <row r="15" customFormat="false" ht="15" hidden="false" customHeight="false" outlineLevel="0" collapsed="false">
      <c r="B15" s="25" t="s">
        <v>52</v>
      </c>
      <c r="C15" s="26" t="n">
        <v>82000</v>
      </c>
      <c r="D15" s="26" t="n">
        <v>6500</v>
      </c>
      <c r="E15" s="27" t="n">
        <v>1</v>
      </c>
      <c r="F15" s="27" t="n">
        <v>0</v>
      </c>
      <c r="G15" s="28" t="str">
        <f aca="false">IF(OR(C15="",C16=""),"",(C15-C16)/C16)</f>
        <v/>
      </c>
      <c r="J15" s="32" t="s">
        <v>53</v>
      </c>
      <c r="K15" s="33" t="s">
        <v>54</v>
      </c>
      <c r="L15" s="34" t="str">
        <f aca="false">IF(K15="","required for history match","")</f>
        <v/>
      </c>
      <c r="M15" s="34"/>
    </row>
    <row r="16" customFormat="false" ht="15" hidden="false" customHeight="false" outlineLevel="0" collapsed="false">
      <c r="B16" s="25"/>
      <c r="C16" s="26"/>
      <c r="D16" s="26"/>
      <c r="E16" s="27"/>
      <c r="F16" s="27"/>
      <c r="G16" s="28" t="str">
        <f aca="false">IF(OR(C16="",C17=""),"",(C16-C17)/C17)</f>
        <v/>
      </c>
      <c r="J16" s="32" t="s">
        <v>55</v>
      </c>
      <c r="K16" s="33" t="n">
        <v>672</v>
      </c>
      <c r="L16" s="34" t="str">
        <f aca="false">IF(K16="","not scored",IF(K16&gt;=Controls!$B$12,"GREEN",IF(K16&gt;=Controls!$C$12,"YELLOW","RED")))</f>
        <v>GREEN</v>
      </c>
      <c r="M16" s="34"/>
    </row>
    <row r="17" customFormat="false" ht="15" hidden="false" customHeight="false" outlineLevel="0" collapsed="false">
      <c r="B17" s="25"/>
      <c r="C17" s="26"/>
      <c r="D17" s="26"/>
      <c r="E17" s="27"/>
      <c r="F17" s="27"/>
      <c r="G17" s="28" t="str">
        <f aca="false">IF(OR(C17="",C18=""),"",(C17-C18)/C18)</f>
        <v/>
      </c>
      <c r="J17" s="35" t="s">
        <v>56</v>
      </c>
      <c r="K17" s="36"/>
      <c r="L17" s="37"/>
      <c r="M17" s="37"/>
    </row>
    <row r="18" customFormat="false" ht="15" hidden="false" customHeight="false" outlineLevel="0" collapsed="false">
      <c r="B18" s="25"/>
      <c r="C18" s="26"/>
      <c r="D18" s="26"/>
      <c r="E18" s="27"/>
      <c r="F18" s="27"/>
      <c r="G18" s="28" t="str">
        <f aca="false">IF(OR(C18="",C19=""),"",(C18-C19)/C19)</f>
        <v/>
      </c>
      <c r="J18" s="38"/>
    </row>
    <row r="19" customFormat="false" ht="15" hidden="false" customHeight="false" outlineLevel="0" collapsed="false">
      <c r="B19" s="25"/>
      <c r="C19" s="26"/>
      <c r="D19" s="26"/>
      <c r="E19" s="27"/>
      <c r="F19" s="27"/>
      <c r="G19" s="28" t="str">
        <f aca="false">IF(OR(C19="",C20=""),"",(C19-C20)/C20)</f>
        <v/>
      </c>
    </row>
    <row r="20" customFormat="false" ht="15" hidden="false" customHeight="false" outlineLevel="0" collapsed="false">
      <c r="B20" s="25"/>
      <c r="C20" s="26"/>
      <c r="D20" s="26"/>
      <c r="E20" s="27"/>
      <c r="F20" s="27"/>
      <c r="G20" s="28" t="str">
        <f aca="false">IF(OR(C20="",C21=""),"",(C20-C21)/C21)</f>
        <v/>
      </c>
    </row>
    <row r="21" customFormat="false" ht="15.75" hidden="false" customHeight="true" outlineLevel="0" collapsed="false">
      <c r="B21" s="25"/>
      <c r="C21" s="26"/>
      <c r="D21" s="26"/>
      <c r="E21" s="27"/>
      <c r="F21" s="27"/>
      <c r="G21" s="28" t="str">
        <f aca="false">IF(OR(C21="",C22=""),"",(C21-C22)/C22)</f>
        <v/>
      </c>
    </row>
    <row r="22" customFormat="false" ht="15.75" hidden="false" customHeight="true" outlineLevel="0" collapsed="false">
      <c r="B22" s="25"/>
      <c r="C22" s="26"/>
      <c r="D22" s="26"/>
      <c r="E22" s="27"/>
      <c r="F22" s="27"/>
      <c r="G22" s="28" t="str">
        <f aca="false">IF(OR(C22="",C23=""),"",(C22-C23)/C23)</f>
        <v/>
      </c>
    </row>
    <row r="23" customFormat="false" ht="15.75" hidden="false" customHeight="true" outlineLevel="0" collapsed="false">
      <c r="B23" s="25"/>
      <c r="C23" s="26"/>
      <c r="D23" s="26"/>
      <c r="E23" s="27"/>
      <c r="F23" s="27"/>
      <c r="G23" s="39"/>
    </row>
    <row r="24" customFormat="false" ht="15.75" hidden="false" customHeight="true" outlineLevel="0" collapsed="false">
      <c r="B24" s="40" t="s">
        <v>57</v>
      </c>
      <c r="C24" s="41" t="n">
        <f aca="false">IF(COUNT(C12:C23)=0,0,AVERAGE(C12:C23))</f>
        <v>86250</v>
      </c>
      <c r="D24" s="41" t="n">
        <f aca="false">IF(COUNT(D12:D23)=0,0,AVERAGE(D12:D23))</f>
        <v>7225</v>
      </c>
      <c r="E24" s="42" t="n">
        <f aca="false">SUM(E12:E23)</f>
        <v>1</v>
      </c>
      <c r="F24" s="42" t="n">
        <f aca="false">SUM(F12:F23)</f>
        <v>1</v>
      </c>
      <c r="G24" s="43" t="n">
        <f aca="false">IFERROR(AVERAGE(G12:G22),"")</f>
        <v>0.0268173560856488</v>
      </c>
    </row>
    <row r="25" customFormat="false" ht="15.75" hidden="false" customHeight="true" outlineLevel="0" collapsed="false"/>
    <row r="26" customFormat="false" ht="15.75" hidden="false" customHeight="true" outlineLevel="0" collapsed="false">
      <c r="B26" s="8" t="s">
        <v>58</v>
      </c>
      <c r="C26" s="8"/>
      <c r="D26" s="8"/>
      <c r="E26" s="8"/>
      <c r="F26" s="8"/>
      <c r="G26" s="8"/>
      <c r="H26" s="8"/>
      <c r="I26" s="8"/>
      <c r="J26" s="8"/>
    </row>
    <row r="27" customFormat="false" ht="15.75" hidden="false" customHeight="true" outlineLevel="0" collapsed="false">
      <c r="B27" s="9" t="s">
        <v>59</v>
      </c>
      <c r="C27" s="9" t="s">
        <v>60</v>
      </c>
      <c r="D27" s="9" t="s">
        <v>61</v>
      </c>
      <c r="E27" s="9" t="s">
        <v>19</v>
      </c>
      <c r="F27" s="9" t="s">
        <v>62</v>
      </c>
      <c r="G27" s="9" t="s">
        <v>63</v>
      </c>
      <c r="H27" s="9" t="s">
        <v>64</v>
      </c>
      <c r="I27" s="9" t="s">
        <v>65</v>
      </c>
      <c r="J27" s="9" t="s">
        <v>66</v>
      </c>
    </row>
    <row r="28" customFormat="false" ht="15.75" hidden="false" customHeight="true" outlineLevel="0" collapsed="false">
      <c r="B28" s="44"/>
      <c r="C28" s="26"/>
      <c r="D28" s="26"/>
      <c r="E28" s="25" t="s">
        <v>25</v>
      </c>
      <c r="F28" s="16" t="str">
        <f aca="false">IF(D28&lt;&gt;"",IF(E28="Daily",D28,IF(E28="Weekly",D28/5,D28/$K$9)),IF(C28="","",C28*Controls!$B$33/(Controls!$B$23*$K$9)))</f>
        <v/>
      </c>
      <c r="G28" s="45"/>
      <c r="H28" s="46" t="str">
        <f aca="false">IF(OR(C28="",D28=""),"",ROUND(C28*Controls!$B$33/D28,0))</f>
        <v/>
      </c>
      <c r="I28" s="46" t="str">
        <f aca="false">IF(H28="","",H28/IF(E28="Daily",$K$9,IF(E28="Weekly",$K$9/5,1)))</f>
        <v/>
      </c>
      <c r="J28" s="46" t="str">
        <f aca="true">IF(OR(I28="",G28=""),"",MAX(0,I28-(TODAY()-G28)/Controls!$B$32))</f>
        <v/>
      </c>
    </row>
    <row r="29" customFormat="false" ht="15.75" hidden="false" customHeight="true" outlineLevel="0" collapsed="false">
      <c r="B29" s="44"/>
      <c r="C29" s="26"/>
      <c r="D29" s="26"/>
      <c r="E29" s="25" t="s">
        <v>25</v>
      </c>
      <c r="F29" s="16" t="str">
        <f aca="false">IF(D29&lt;&gt;"",IF(E29="Daily",D29,IF(E29="Weekly",D29/5,D29/$K$9)),IF(C29="","",C29*Controls!$B$33/(Controls!$B$23*$K$9)))</f>
        <v/>
      </c>
      <c r="G29" s="45"/>
      <c r="H29" s="45" t="str">
        <f aca="false">IF(OR(C29="",D29=""),"",ROUND(C29*Controls!$B$33/D29,0))</f>
        <v/>
      </c>
      <c r="I29" s="39" t="str">
        <f aca="false">IF(H29="","",H29/IF(E29="Daily",$K$9,IF(E29="Weekly",$K$9/5,1)))</f>
        <v/>
      </c>
      <c r="J29" s="45" t="str">
        <f aca="true">IF(OR(I29="",G29=""),"",MAX(0,I29-(TODAY()-G29)/Controls!$B$32))</f>
        <v/>
      </c>
    </row>
    <row r="30" customFormat="false" ht="15.75" hidden="false" customHeight="true" outlineLevel="0" collapsed="false">
      <c r="B30" s="44"/>
      <c r="C30" s="26"/>
      <c r="D30" s="26"/>
      <c r="E30" s="25" t="s">
        <v>25</v>
      </c>
      <c r="F30" s="16" t="str">
        <f aca="false">IF(D30&lt;&gt;"",IF(E30="Daily",D30,IF(E30="Weekly",D30/5,D30/$K$9)),IF(C30="","",C30*Controls!$B$33/(Controls!$B$23*$K$9)))</f>
        <v/>
      </c>
      <c r="G30" s="45"/>
      <c r="H30" s="45" t="str">
        <f aca="false">IF(OR(C30="",D30=""),"",ROUND(C30*Controls!$B$33/D30,0))</f>
        <v/>
      </c>
      <c r="I30" s="39" t="str">
        <f aca="false">IF(H30="","",H30/IF(E30="Daily",$K$9,IF(E30="Weekly",$K$9/5,1)))</f>
        <v/>
      </c>
      <c r="J30" s="45" t="str">
        <f aca="true">IF(OR(I30="",G30=""),"",MAX(0,I30-(TODAY()-G30)/Controls!$B$32))</f>
        <v/>
      </c>
    </row>
    <row r="31" customFormat="false" ht="15.75" hidden="false" customHeight="true" outlineLevel="0" collapsed="false">
      <c r="B31" s="44"/>
      <c r="C31" s="26"/>
      <c r="D31" s="26"/>
      <c r="E31" s="25" t="s">
        <v>25</v>
      </c>
      <c r="F31" s="16" t="str">
        <f aca="false">IF(D31&lt;&gt;"",IF(E31="Daily",D31,IF(E31="Weekly",D31/5,D31/$K$9)),IF(C31="","",C31*Controls!$B$33/(Controls!$B$23*$K$9)))</f>
        <v/>
      </c>
      <c r="G31" s="45"/>
      <c r="H31" s="45" t="str">
        <f aca="false">IF(OR(C31="",D31=""),"",ROUND(C31*Controls!$B$33/D31,0))</f>
        <v/>
      </c>
      <c r="I31" s="39" t="str">
        <f aca="false">IF(H31="","",H31/IF(E31="Daily",$K$9,IF(E31="Weekly",$K$9/5,1)))</f>
        <v/>
      </c>
      <c r="J31" s="45" t="str">
        <f aca="true">IF(OR(I31="",G31=""),"",MAX(0,I31-(TODAY()-G31)/Controls!$B$32))</f>
        <v/>
      </c>
    </row>
    <row r="32" customFormat="false" ht="15.75" hidden="false" customHeight="true" outlineLevel="0" collapsed="false">
      <c r="B32" s="44"/>
      <c r="C32" s="26"/>
      <c r="D32" s="26"/>
      <c r="E32" s="25" t="s">
        <v>25</v>
      </c>
      <c r="F32" s="16" t="str">
        <f aca="false">IF(D32&lt;&gt;"",IF(E32="Daily",D32,IF(E32="Weekly",D32/5,D32/$K$9)),IF(C32="","",C32*Controls!$B$33/(Controls!$B$23*$K$9)))</f>
        <v/>
      </c>
      <c r="G32" s="45"/>
      <c r="H32" s="45" t="str">
        <f aca="false">IF(OR(C32="",D32=""),"",ROUND(C32*Controls!$B$33/D32,0))</f>
        <v/>
      </c>
      <c r="I32" s="39" t="str">
        <f aca="false">IF(H32="","",H32/IF(E32="Daily",$K$9,IF(E32="Weekly",$K$9/5,1)))</f>
        <v/>
      </c>
      <c r="J32" s="45" t="str">
        <f aca="true">IF(OR(I32="",G32=""),"",MAX(0,I32-(TODAY()-G32)/Controls!$B$32))</f>
        <v/>
      </c>
    </row>
    <row r="33" customFormat="false" ht="15.75" hidden="false" customHeight="true" outlineLevel="0" collapsed="false">
      <c r="B33" s="44"/>
      <c r="C33" s="26"/>
      <c r="D33" s="26"/>
      <c r="E33" s="25" t="s">
        <v>25</v>
      </c>
      <c r="F33" s="16" t="str">
        <f aca="false">IF(D33&lt;&gt;"",IF(E33="Daily",D33,IF(E33="Weekly",D33/5,D33/$K$9)),IF(C33="","",C33*Controls!$B$33/(Controls!$B$23*$K$9)))</f>
        <v/>
      </c>
      <c r="G33" s="45"/>
      <c r="H33" s="45" t="str">
        <f aca="false">IF(OR(C33="",D33=""),"",ROUND(C33*Controls!$B$33/D33,0))</f>
        <v/>
      </c>
      <c r="I33" s="39" t="str">
        <f aca="false">IF(H33="","",H33/IF(E33="Daily",$K$9,IF(E33="Weekly",$K$9/5,1)))</f>
        <v/>
      </c>
      <c r="J33" s="45" t="str">
        <f aca="true">IF(OR(I33="",G33=""),"",MAX(0,I33-(TODAY()-G33)/Controls!$B$32))</f>
        <v/>
      </c>
    </row>
    <row r="34" customFormat="false" ht="15.75" hidden="false" customHeight="true" outlineLevel="0" collapsed="false">
      <c r="B34" s="47" t="s">
        <v>67</v>
      </c>
      <c r="C34" s="42" t="n">
        <f aca="false">SUMPRODUCT(((C28:C33&lt;&gt;"")+(D28:D33&lt;&gt;"")&gt;0)*(E28:E33&lt;&gt;"Monthly"))</f>
        <v>0</v>
      </c>
      <c r="D34" s="47" t="s">
        <v>68</v>
      </c>
      <c r="E34" s="48" t="n">
        <f aca="false">SUM(F28:F33)</f>
        <v>0</v>
      </c>
      <c r="F34" s="41" t="n">
        <f aca="false">E34*$K$9</f>
        <v>0</v>
      </c>
      <c r="G34" s="7" t="s">
        <v>69</v>
      </c>
    </row>
    <row r="35" customFormat="false" ht="15.75" hidden="false" customHeight="true" outlineLevel="0" collapsed="false">
      <c r="E35" s="49"/>
    </row>
    <row r="36" customFormat="false" ht="15.75" hidden="false" customHeight="true" outlineLevel="0" collapsed="false">
      <c r="B36" s="8" t="s">
        <v>70</v>
      </c>
      <c r="C36" s="8"/>
      <c r="D36" s="8"/>
      <c r="E36" s="8"/>
      <c r="F36" s="8"/>
      <c r="G36" s="8"/>
      <c r="H36" s="8"/>
    </row>
    <row r="37" customFormat="false" ht="15.75" hidden="false" customHeight="true" outlineLevel="0" collapsed="false">
      <c r="B37" s="9" t="s">
        <v>21</v>
      </c>
      <c r="C37" s="9" t="s">
        <v>71</v>
      </c>
      <c r="D37" s="9" t="s">
        <v>72</v>
      </c>
      <c r="E37" s="9" t="s">
        <v>73</v>
      </c>
      <c r="F37" s="9" t="s">
        <v>74</v>
      </c>
      <c r="G37" s="9" t="s">
        <v>75</v>
      </c>
      <c r="H37" s="9" t="s">
        <v>76</v>
      </c>
    </row>
    <row r="38" customFormat="false" ht="15.75" hidden="false" customHeight="true" outlineLevel="0" collapsed="false">
      <c r="B38" s="15" t="s">
        <v>77</v>
      </c>
      <c r="C38" s="50" t="n">
        <f aca="false">IF(C24=0,"",(E34+IF(C8="",0,C8))*$K$9/C24)</f>
        <v>0.121351690821256</v>
      </c>
      <c r="D38" s="51" t="n">
        <f aca="false">Controls!$B$5</f>
        <v>0.3</v>
      </c>
      <c r="E38" s="51" t="n">
        <f aca="false">Controls!$C$5</f>
        <v>0.45</v>
      </c>
      <c r="F38" s="52" t="str">
        <f aca="false">IF(C38="","",IF(C38&gt;=G38,"KNOCKOUT",IF(C38&lt;=D38,"GREEN",IF(C38&gt;=E38,"RED","YELLOW"))))</f>
        <v>GREEN</v>
      </c>
      <c r="G38" s="51" t="n">
        <f aca="false">Controls!$D$5</f>
        <v>0.55</v>
      </c>
      <c r="H38" s="53" t="n">
        <f aca="false">D38+'Historical Score'!$C$42*(E38-D38)</f>
        <v>0.3</v>
      </c>
    </row>
    <row r="39" customFormat="false" ht="15.75" hidden="false" customHeight="true" outlineLevel="0" collapsed="false">
      <c r="B39" s="15" t="s">
        <v>78</v>
      </c>
      <c r="C39" s="50" t="n">
        <f aca="false">IF(OR(C24=0,E8=""),"",E8/C24)</f>
        <v>0.121351690821256</v>
      </c>
      <c r="D39" s="51" t="n">
        <f aca="false">Controls!$B$6</f>
        <v>0.18</v>
      </c>
      <c r="E39" s="51" t="n">
        <f aca="false">Controls!$C$6</f>
        <v>0.25</v>
      </c>
      <c r="F39" s="52" t="str">
        <f aca="false">IF(C39="","",IF(C39&gt;=G39,"KNOCKOUT",IF(C39&lt;=D39,"GREEN",IF(C39&gt;=E39,"RED","YELLOW"))))</f>
        <v>GREEN</v>
      </c>
      <c r="G39" s="51" t="n">
        <f aca="false">Controls!$D$6</f>
        <v>0.35</v>
      </c>
      <c r="H39" s="53" t="n">
        <f aca="false">D39+'Historical Score'!$C$42*(E39-D39)</f>
        <v>0.18</v>
      </c>
    </row>
    <row r="40" customFormat="false" ht="15.75" hidden="false" customHeight="true" outlineLevel="0" collapsed="false">
      <c r="B40" s="15" t="s">
        <v>79</v>
      </c>
      <c r="C40" s="50" t="n">
        <f aca="false">IF(D24=0,"",(E34+IF(C8="",0,C8))/D24)</f>
        <v>0.0668973471741638</v>
      </c>
      <c r="D40" s="51" t="n">
        <f aca="false">Controls!$B$7</f>
        <v>0.18</v>
      </c>
      <c r="E40" s="51" t="n">
        <f aca="false">Controls!$C$7</f>
        <v>0.3</v>
      </c>
      <c r="F40" s="52" t="str">
        <f aca="false">IF(C40="","",IF(C40&gt;=G40,"KNOCKOUT",IF(C40&lt;=D40,"GREEN",IF(C40&gt;=E40,"RED","YELLOW"))))</f>
        <v>GREEN</v>
      </c>
      <c r="G40" s="51" t="n">
        <f aca="false">Controls!$D$7</f>
        <v>0.35</v>
      </c>
      <c r="H40" s="53" t="n">
        <f aca="false">D40+'Historical Score'!$C$42*(E40-D40)</f>
        <v>0.18</v>
      </c>
    </row>
    <row r="41" customFormat="false" ht="15.75" hidden="false" customHeight="true" outlineLevel="0" collapsed="false">
      <c r="B41" s="15" t="s">
        <v>80</v>
      </c>
      <c r="C41" s="54" t="n">
        <f aca="false">IF(OR(C24=0,B6=""),"",B6/C24)</f>
        <v>0.463768115942029</v>
      </c>
      <c r="D41" s="55" t="n">
        <f aca="false">Controls!$B$8</f>
        <v>0.6</v>
      </c>
      <c r="E41" s="55" t="n">
        <f aca="false">Controls!$C$8</f>
        <v>0.9</v>
      </c>
      <c r="F41" s="52" t="str">
        <f aca="false">IF(C41="","",IF(C41&gt;=G41,"KNOCKOUT",IF(C41&lt;=D41,"GREEN",IF(C41&gt;=E41,"RED","YELLOW"))))</f>
        <v>GREEN</v>
      </c>
      <c r="G41" s="55" t="n">
        <f aca="false">Controls!$D$8</f>
        <v>1.25</v>
      </c>
      <c r="H41" s="56" t="n">
        <f aca="false">D41+'Historical Score'!$C$42*(E41-D41)</f>
        <v>0.6</v>
      </c>
    </row>
    <row r="42" customFormat="false" ht="15.75" hidden="false" customHeight="true" outlineLevel="0" collapsed="false">
      <c r="B42" s="15" t="s">
        <v>81</v>
      </c>
      <c r="C42" s="57" t="n">
        <f aca="false">IF(C24=0,"",C34+1)</f>
        <v>1</v>
      </c>
      <c r="D42" s="58" t="n">
        <f aca="false">Controls!$B$9</f>
        <v>2</v>
      </c>
      <c r="E42" s="58" t="n">
        <f aca="false">Controls!$C$9</f>
        <v>5</v>
      </c>
      <c r="F42" s="52" t="str">
        <f aca="false">IF(C42="","",IF(C42&gt;=G42,"KNOCKOUT",IF(C42&lt;=D42,"GREEN",IF(C42&gt;=E42,"RED","YELLOW"))))</f>
        <v>GREEN</v>
      </c>
      <c r="G42" s="58" t="n">
        <f aca="false">Controls!$D$9</f>
        <v>6</v>
      </c>
    </row>
    <row r="43" customFormat="false" ht="15.75" hidden="false" customHeight="true" outlineLevel="0" collapsed="false">
      <c r="B43" s="15" t="s">
        <v>82</v>
      </c>
      <c r="C43" s="19" t="n">
        <f aca="false">G24</f>
        <v>0.0268173560856488</v>
      </c>
      <c r="D43" s="51" t="n">
        <f aca="false">Controls!$B$10</f>
        <v>-0.05</v>
      </c>
      <c r="E43" s="51" t="n">
        <f aca="false">Controls!$C$10</f>
        <v>-0.15</v>
      </c>
      <c r="F43" s="52" t="str">
        <f aca="false">IF(C24=0,"",IF(NOT(ISNUMBER(C43)),"YELLOW",IF(C43&lt;=G43,"KNOCKOUT",IF(C43&gt;=D43,"GREEN",IF(C43&lt;=E43,"RED","YELLOW")))))</f>
        <v>GREEN</v>
      </c>
      <c r="G43" s="51" t="n">
        <f aca="false">Controls!$D$10</f>
        <v>-0.3</v>
      </c>
    </row>
    <row r="44" customFormat="false" ht="15.75" hidden="false" customHeight="true" outlineLevel="0" collapsed="false">
      <c r="B44" s="15" t="s">
        <v>83</v>
      </c>
      <c r="C44" s="57" t="n">
        <f aca="false">E24+F24</f>
        <v>2</v>
      </c>
      <c r="D44" s="58" t="n">
        <f aca="false">Controls!$B$11</f>
        <v>1</v>
      </c>
      <c r="E44" s="58" t="n">
        <f aca="false">Controls!$C$11</f>
        <v>6</v>
      </c>
      <c r="F44" s="52" t="str">
        <f aca="false">IF(C44="","",IF(C44&gt;=G44,"KNOCKOUT",IF(C44&lt;=D44,"GREEN",IF(C44&gt;=E44,"RED","YELLOW"))))</f>
        <v>YELLOW</v>
      </c>
      <c r="G44" s="58" t="n">
        <f aca="false">Controls!$D$11</f>
        <v>10</v>
      </c>
    </row>
    <row r="45" customFormat="false" ht="15.75" hidden="false" customHeight="true" outlineLevel="0" collapsed="false">
      <c r="B45" s="15" t="s">
        <v>55</v>
      </c>
      <c r="C45" s="57" t="n">
        <f aca="false">IF(K16="","",K16)</f>
        <v>672</v>
      </c>
      <c r="D45" s="58" t="n">
        <f aca="false">Controls!$B$12</f>
        <v>650</v>
      </c>
      <c r="E45" s="58" t="n">
        <f aca="false">Controls!$C$12</f>
        <v>630</v>
      </c>
      <c r="F45" s="52" t="str">
        <f aca="false">IF(C45="","",IF(AND(G45&lt;&gt;0,C45&lt;=G45),"KNOCKOUT",IF(C45&gt;=D45,"GREEN",IF(C45&lt;E45,"RED","YELLOW"))))</f>
        <v>GREEN</v>
      </c>
      <c r="G45" s="58" t="n">
        <f aca="false">Controls!$D$12</f>
        <v>0</v>
      </c>
    </row>
    <row r="46" customFormat="false" ht="15.75" hidden="false" customHeight="true" outlineLevel="0" collapsed="false">
      <c r="B46" s="15" t="s">
        <v>84</v>
      </c>
      <c r="C46" s="19" t="n">
        <f aca="false">IF(C24=0,"",F34/C24)</f>
        <v>0</v>
      </c>
      <c r="D46" s="59" t="s">
        <v>85</v>
      </c>
      <c r="E46" s="59" t="s">
        <v>85</v>
      </c>
      <c r="F46" s="60" t="s">
        <v>86</v>
      </c>
    </row>
    <row r="47" customFormat="false" ht="15.75" hidden="false" customHeight="true" outlineLevel="0" collapsed="false">
      <c r="B47" s="15" t="s">
        <v>87</v>
      </c>
      <c r="C47" s="19" t="n">
        <f aca="false">IF(C24=0,"",D24/C24)</f>
        <v>0.083768115942029</v>
      </c>
      <c r="D47" s="59" t="s">
        <v>85</v>
      </c>
      <c r="E47" s="59" t="s">
        <v>85</v>
      </c>
      <c r="F47" s="60" t="s">
        <v>86</v>
      </c>
    </row>
    <row r="48" customFormat="false" ht="15.75" hidden="false" customHeight="true" outlineLevel="0" collapsed="false"/>
    <row r="49" customFormat="false" ht="15.75" hidden="false" customHeight="true" outlineLevel="0" collapsed="false">
      <c r="B49" s="8" t="s">
        <v>88</v>
      </c>
    </row>
    <row r="50" customFormat="false" ht="15.75" hidden="false" customHeight="true" outlineLevel="0" collapsed="false">
      <c r="B50" s="9" t="s">
        <v>89</v>
      </c>
      <c r="C50" s="9" t="s">
        <v>90</v>
      </c>
      <c r="D50" s="9" t="s">
        <v>91</v>
      </c>
      <c r="E50" s="9" t="s">
        <v>92</v>
      </c>
      <c r="F50" s="9" t="s">
        <v>74</v>
      </c>
      <c r="G50" s="9" t="s">
        <v>93</v>
      </c>
    </row>
    <row r="51" customFormat="false" ht="15.75" hidden="false" customHeight="true" outlineLevel="0" collapsed="false">
      <c r="B51" s="15" t="str">
        <f aca="false">"Primary cohort: "&amp;'Historical Score'!$C$30</f>
        <v>Primary cohort: T6: new/renewal only</v>
      </c>
      <c r="C51" s="19" t="n">
        <f aca="false">IF('Historical Score'!$C$29=7,"",'Historical Score'!$C$38)</f>
        <v>0.424047619047619</v>
      </c>
      <c r="D51" s="51" t="n">
        <f aca="false">'Historical Score'!$C$10*Controls!$A$50</f>
        <v>0.3485</v>
      </c>
      <c r="E51" s="51" t="n">
        <f aca="false">'Historical Score'!$C$10*Controls!$A$51</f>
        <v>0.4715</v>
      </c>
      <c r="F51" s="52" t="str">
        <f aca="false">IF('Historical Score'!$C$29=7,"NO EVIDENCE",IF('Historical Score'!$C$39&lt;=Controls!$A$50,"GREEN",IF('Historical Score'!$C$39&lt;=Controls!$A$51,"YELLOW","RED")))</f>
        <v>YELLOW</v>
      </c>
      <c r="G51" s="61" t="str">
        <f aca="false">'Historical Score'!$C$31</f>
        <v>5 / 6</v>
      </c>
    </row>
    <row r="52" customFormat="false" ht="15.75" hidden="false" customHeight="true" outlineLevel="0" collapsed="false">
      <c r="B52" s="15" t="s">
        <v>44</v>
      </c>
      <c r="C52" s="19" t="n">
        <f aca="false">IF('Historical Score'!$L$25="","",'Historical Score'!$W$25)</f>
        <v>0.411818181818182</v>
      </c>
      <c r="D52" s="51" t="n">
        <f aca="false">'Historical Score'!$C$10*Controls!$A$50</f>
        <v>0.3485</v>
      </c>
      <c r="E52" s="51" t="n">
        <f aca="false">'Historical Score'!$C$10*Controls!$A$51</f>
        <v>0.4715</v>
      </c>
      <c r="F52" s="52" t="str">
        <f aca="false">IF('Historical Score'!$E$25=0,"NO DEALS",IF('Historical Score'!$L$25="","TOO FEW",IF('Historical Score'!$X$25&lt;=Controls!$A$50,"GREEN",IF('Historical Score'!$X$25&lt;=Controls!$A$51,"YELLOW","RED"))))</f>
        <v>YELLOW</v>
      </c>
      <c r="G52" s="27" t="n">
        <f aca="false">'Historical Score'!$E$25</f>
        <v>3</v>
      </c>
    </row>
    <row r="53" customFormat="false" ht="15.75" hidden="false" customHeight="true" outlineLevel="0" collapsed="false">
      <c r="B53" s="15" t="s">
        <v>94</v>
      </c>
      <c r="C53" s="19" t="str">
        <f aca="false">IF('Historical Score'!$L$24="","",'Historical Score'!$W$24)</f>
        <v/>
      </c>
      <c r="D53" s="51" t="n">
        <f aca="false">'Historical Score'!$C$10*Controls!$A$50</f>
        <v>0.3485</v>
      </c>
      <c r="E53" s="51" t="n">
        <f aca="false">'Historical Score'!$C$10*Controls!$A$51</f>
        <v>0.4715</v>
      </c>
      <c r="F53" s="52" t="str">
        <f aca="false">IF('Historical Score'!$E$24=0,"NO DEALS",IF('Historical Score'!$L$24="","TOO FEW",IF('Historical Score'!$X$24&lt;=Controls!$A$50,"GREEN",IF('Historical Score'!$X$24&lt;=Controls!$A$51,"YELLOW","RED"))))</f>
        <v>TOO FEW</v>
      </c>
      <c r="G53" s="27" t="n">
        <f aca="false">'Historical Score'!$E$24</f>
        <v>1</v>
      </c>
    </row>
    <row r="54" customFormat="false" ht="15.75" hidden="false" customHeight="true" outlineLevel="0" collapsed="false">
      <c r="B54" s="15" t="s">
        <v>95</v>
      </c>
      <c r="C54" s="19" t="n">
        <f aca="false">IF('Historical Score'!$L$23="","",'Historical Score'!$W$23)</f>
        <v>0.424047619047619</v>
      </c>
      <c r="D54" s="51" t="n">
        <f aca="false">'Historical Score'!$C$10*Controls!$A$50</f>
        <v>0.3485</v>
      </c>
      <c r="E54" s="51" t="n">
        <f aca="false">'Historical Score'!$C$10*Controls!$A$51</f>
        <v>0.4715</v>
      </c>
      <c r="F54" s="52" t="str">
        <f aca="false">IF('Historical Score'!$E$23=0,"NO DEALS",IF('Historical Score'!$L$23="","TOO FEW",IF('Historical Score'!$X$23&lt;=Controls!$A$50,"GREEN",IF('Historical Score'!$X$23&lt;=Controls!$A$51,"YELLOW","RED"))))</f>
        <v>YELLOW</v>
      </c>
      <c r="G54" s="27" t="n">
        <f aca="false">'Historical Score'!$E$23</f>
        <v>5</v>
      </c>
    </row>
    <row r="55" customFormat="false" ht="15.75" hidden="false" customHeight="true" outlineLevel="0" collapsed="false">
      <c r="B55" s="15" t="s">
        <v>96</v>
      </c>
      <c r="C55" s="19" t="str">
        <f aca="false">IF('Historical Score'!$L$22="","",'Historical Score'!$W$22)</f>
        <v/>
      </c>
      <c r="D55" s="51" t="n">
        <f aca="false">'Historical Score'!$C$10*Controls!$A$50</f>
        <v>0.3485</v>
      </c>
      <c r="E55" s="51" t="n">
        <f aca="false">'Historical Score'!$C$10*Controls!$A$51</f>
        <v>0.4715</v>
      </c>
      <c r="F55" s="52" t="str">
        <f aca="false">IF('Historical Score'!$E$22=0,"NO DEALS",IF('Historical Score'!$L$22="","TOO FEW",IF('Historical Score'!$X$22&lt;=Controls!$A$50,"GREEN",IF('Historical Score'!$X$22&lt;=Controls!$A$51,"YELLOW","RED"))))</f>
        <v>TOO FEW</v>
      </c>
      <c r="G55" s="27" t="n">
        <f aca="false">'Historical Score'!$E$22</f>
        <v>1</v>
      </c>
    </row>
    <row r="56" customFormat="false" ht="15.75" hidden="false" customHeight="true" outlineLevel="0" collapsed="false">
      <c r="B56" s="15" t="s">
        <v>97</v>
      </c>
      <c r="C56" s="19" t="n">
        <f aca="false">IF('Historical Score'!$L$26="","",'Historical Score'!$W$26)</f>
        <v>0.411818181818182</v>
      </c>
      <c r="D56" s="51" t="n">
        <f aca="false">'Historical Score'!$C$10*Controls!$A$50</f>
        <v>0.3485</v>
      </c>
      <c r="E56" s="51" t="n">
        <f aca="false">'Historical Score'!$C$10*Controls!$A$51</f>
        <v>0.4715</v>
      </c>
      <c r="F56" s="52" t="str">
        <f aca="false">IF('Historical Score'!$E$26=0,"NO DEALS",IF('Historical Score'!$L$26="","TOO FEW",IF('Historical Score'!$X$26&lt;=Controls!$A$50,"GREEN",IF('Historical Score'!$X$26&lt;=Controls!$A$51,"YELLOW","RED"))))</f>
        <v>YELLOW</v>
      </c>
      <c r="G56" s="27" t="n">
        <f aca="false">'Historical Score'!$E$26</f>
        <v>3</v>
      </c>
    </row>
    <row r="57" customFormat="false" ht="15.75" hidden="false" customHeight="true" outlineLevel="0" collapsed="false">
      <c r="B57" s="15" t="s">
        <v>98</v>
      </c>
      <c r="C57" s="57" t="n">
        <f aca="false">IF('Historical Score'!$C$29=7,0,INDEX('Historical Score'!$E$14:$E$20,'Historical Score'!$C$29))</f>
        <v>5</v>
      </c>
      <c r="D57" s="58" t="n">
        <f aca="false">Controls!$B$44</f>
        <v>5</v>
      </c>
      <c r="E57" s="58" t="n">
        <f aca="false">Controls!$B$40</f>
        <v>3</v>
      </c>
      <c r="F57" s="52" t="str">
        <f aca="false">IF(C57&gt;=D57,"GREEN",IF(C57&gt;=E57,"YELLOW","RED"))</f>
        <v>GREEN</v>
      </c>
      <c r="G57" s="62" t="str">
        <f aca="false">"modifier: "&amp;'Historical Score'!$C$41&amp;"  |  sizing flex "&amp;TEXT('Historical Score'!$C$42,"0%")</f>
        <v>modifier: Neutral  |  sizing flex 0%</v>
      </c>
      <c r="H57" s="62"/>
    </row>
    <row r="58" customFormat="false" ht="15.75" hidden="false" customHeight="true" outlineLevel="0" collapsed="false">
      <c r="B58" s="15"/>
      <c r="C58" s="50"/>
      <c r="D58" s="61"/>
      <c r="E58" s="61"/>
      <c r="F58" s="52"/>
      <c r="G58" s="61"/>
    </row>
    <row r="59" customFormat="false" ht="15.75" hidden="false" customHeight="true" outlineLevel="0" collapsed="false">
      <c r="B59" s="8" t="s">
        <v>99</v>
      </c>
      <c r="C59" s="8"/>
      <c r="D59" s="8"/>
      <c r="E59" s="8"/>
      <c r="F59" s="8"/>
      <c r="G59" s="8"/>
      <c r="H59" s="8"/>
    </row>
    <row r="60" customFormat="false" ht="15.75" hidden="false" customHeight="true" outlineLevel="0" collapsed="false">
      <c r="B60" s="63" t="s">
        <v>100</v>
      </c>
      <c r="C60" s="64" t="n">
        <f aca="false">COUNTIF(F38:F45,"RED")+COUNTIF(F38:F45,"KNOCKOUT")</f>
        <v>0</v>
      </c>
      <c r="D60" s="63" t="s">
        <v>101</v>
      </c>
      <c r="E60" s="64" t="n">
        <f aca="false">COUNTIF(F38:F45,"KNOCKOUT")</f>
        <v>0</v>
      </c>
    </row>
    <row r="61" customFormat="false" ht="15.75" hidden="false" customHeight="true" outlineLevel="0" collapsed="false">
      <c r="B61" s="65" t="s">
        <v>102</v>
      </c>
      <c r="C61" s="66" t="n">
        <f aca="false">Controls!$B$13</f>
        <v>2</v>
      </c>
      <c r="D61" s="67" t="s">
        <v>103</v>
      </c>
      <c r="E61" s="68" t="n">
        <f aca="false">Controls!$B$14</f>
        <v>10000</v>
      </c>
    </row>
    <row r="62" customFormat="false" ht="15.75" hidden="false" customHeight="true" outlineLevel="0" collapsed="false">
      <c r="B62" s="63" t="s">
        <v>14</v>
      </c>
      <c r="C62" s="5" t="str">
        <f aca="false">IF(C24=0,"",IF(OR(E60&gt;0,IF(ISNUMBER(C73),C73,0)&lt;E61),"DECLINE",IF(OR(B6="",B6=0),"",IF(C60&gt;=C61,"DECLINE",IF(COUNTIF(F38:F45,"GREEN")=D65,"APPROVE","CONDITIONAL")))))</f>
        <v>CONDITIONAL</v>
      </c>
      <c r="D62" s="6" t="str">
        <f aca="false">IF(C62="DECLINE",IF(E60&gt;0,"KNOCKOUT: "&amp;INDEX(B38:B45,MATCH("KNOCKOUT",F38:F45,0))&amp;" is past its knockout line.",IF(C60&gt;=C61,"Red flags reached the threshold.","Max fund "&amp;IF(ISNUMBER(C73),TEXT(C73,"$#,##0"),"$0")&amp;" is below your minimum "&amp;TEXT(E61,"$#,##0")&amp;".")),IF(C62="APPROVE","All "&amp;D65&amp;" decision metrics green.",IF(C62="","Enter offer + bank data.","Fundable but not clean - review yellows/reds above.")))</f>
        <v>Fundable but not clean - review yellows/reds above.</v>
      </c>
      <c r="E62" s="6"/>
      <c r="F62" s="6"/>
      <c r="G62" s="6"/>
      <c r="H62" s="6"/>
    </row>
    <row r="63" customFormat="false" ht="15.75" hidden="false" customHeight="true" outlineLevel="0" collapsed="false"/>
    <row r="64" customFormat="false" ht="15.75" hidden="false" customHeight="true" outlineLevel="0" collapsed="false">
      <c r="B64" s="8" t="s">
        <v>104</v>
      </c>
      <c r="C64" s="8"/>
      <c r="D64" s="8"/>
      <c r="E64" s="8"/>
      <c r="F64" s="8"/>
      <c r="G64" s="8"/>
      <c r="H64" s="8"/>
    </row>
    <row r="65" customFormat="false" ht="15.75" hidden="false" customHeight="true" outlineLevel="0" collapsed="false">
      <c r="B65" s="65" t="s">
        <v>105</v>
      </c>
      <c r="C65" s="69" t="n">
        <f aca="false">COUNTIF(F38:F45,"GREEN")+0.5*COUNTIF(F38:F45,"YELLOW")</f>
        <v>7.5</v>
      </c>
      <c r="D65" s="7" t="n">
        <f aca="false">SUMPRODUCT(--(F38:F45&lt;&gt;""))</f>
        <v>8</v>
      </c>
      <c r="E65" s="0" t="s">
        <v>106</v>
      </c>
    </row>
    <row r="66" customFormat="false" ht="15.75" hidden="false" customHeight="true" outlineLevel="0" collapsed="false">
      <c r="B66" s="65" t="s">
        <v>107</v>
      </c>
      <c r="C66" s="52" t="str">
        <f aca="false">IF(C24=0,"",IF(D67&gt;=Controls!$B$25,"Strong",IF(D67&gt;=Controls!$C$25,"Solid",IF(D67&gt;=Controls!$D$25,"Moderate","Weak"))))</f>
        <v>Strong</v>
      </c>
    </row>
    <row r="67" customFormat="false" ht="15.75" hidden="false" customHeight="true" outlineLevel="0" collapsed="false">
      <c r="B67" s="65" t="s">
        <v>108</v>
      </c>
      <c r="C67" s="16" t="n">
        <f aca="false">IF(C24=0,"",H39*C24/$K$9)</f>
        <v>716.924497806511</v>
      </c>
      <c r="D67" s="70" t="n">
        <f aca="false">IF(D65=0,0,C65*7/D65)</f>
        <v>6.5625</v>
      </c>
      <c r="E67" s="0" t="s">
        <v>109</v>
      </c>
    </row>
    <row r="68" customFormat="false" ht="15.75" hidden="false" customHeight="true" outlineLevel="0" collapsed="false">
      <c r="B68" s="65" t="s">
        <v>110</v>
      </c>
      <c r="C68" s="16" t="n">
        <f aca="false">IF(C24=0,"",(H38*C24-F34)/$K$9)</f>
        <v>1194.87416301085</v>
      </c>
    </row>
    <row r="69" customFormat="false" ht="15.75" hidden="false" customHeight="true" outlineLevel="0" collapsed="false">
      <c r="B69" s="65" t="s">
        <v>111</v>
      </c>
      <c r="C69" s="16" t="n">
        <f aca="false">IF(OR(C24=0,D24=0),"",H40*D24-E34)</f>
        <v>1300.5</v>
      </c>
    </row>
    <row r="70" customFormat="false" ht="15.75" hidden="false" customHeight="true" outlineLevel="0" collapsed="false">
      <c r="B70" s="63" t="s">
        <v>112</v>
      </c>
      <c r="C70" s="21" t="n">
        <f aca="false">IF(C24=0,"",MAX(0,MIN(C67:C69)))</f>
        <v>716.924497806511</v>
      </c>
      <c r="D70" s="6" t="str">
        <f aca="false">IF(C70="","",IF(C70=0,"no clean room - existing debt is over the sizing line",INDEX({"SP% holdback";"Total LVG";"Daily/Balance"},MATCH(C70,C67:C69,0))&amp;" is the limit"))</f>
        <v>SP% holdback is the limit</v>
      </c>
      <c r="E70" s="6"/>
      <c r="F70" s="6"/>
      <c r="G70" s="6"/>
      <c r="H70" s="6"/>
    </row>
    <row r="71" customFormat="false" ht="15.75" hidden="false" customHeight="true" outlineLevel="0" collapsed="false">
      <c r="B71" s="65" t="s">
        <v>113</v>
      </c>
      <c r="C71" s="71" t="n">
        <f aca="false">IF(OR(C70="",C70=0),"",C70*5)</f>
        <v>3584.62248903256</v>
      </c>
      <c r="D71" s="71" t="n">
        <f aca="false">IF(OR(C70="",C70=0),"",C70*$K$9)</f>
        <v>15525</v>
      </c>
    </row>
    <row r="72" customFormat="false" ht="15.75" hidden="false" customHeight="true" outlineLevel="0" collapsed="false">
      <c r="B72" s="65" t="s">
        <v>114</v>
      </c>
      <c r="C72" s="72" t="n">
        <f aca="false">IF(OR(C70="",C70=0,C65=""),"",MAX(20,MIN(INDEX(Controls!$B$19:$B$22,MATCH(D67,Controls!$A$19:$A$22,1)),FLOOR(Controls!$B$23*$K$9,5),FLOOR(H41*C24*D72/C70,5))))</f>
        <v>100</v>
      </c>
      <c r="D72" s="73" t="n">
        <f aca="false">IF(OR(C65="",C24=0),"",INDEX(Controls!$C$19:$C$22,MATCH(D67,Controls!$A$19:$A$22,1)))</f>
        <v>1.45</v>
      </c>
    </row>
    <row r="73" customFormat="false" ht="15.75" hidden="false" customHeight="true" outlineLevel="0" collapsed="false">
      <c r="B73" s="63" t="s">
        <v>115</v>
      </c>
      <c r="C73" s="74" t="n">
        <f aca="false">IF(COUNTIF(F42:F45,"KNOCKOUT")&gt;0,"-",IF(OR(C70="",C70=0,C72="",D72=""),"",FLOOR(C70*C72/D72,500)))</f>
        <v>49000</v>
      </c>
      <c r="D73" s="6" t="str">
        <f aca="false">IF(C73="-","KNOCKOUT on the merchant - do not fund.",IF(C73="","","payback "&amp;TEXT(C73*D72,"$#,##0")&amp;" over "&amp;C72&amp;" daily pmts ("&amp;TEXT(C72/5,"0")&amp;" wks)  |  green-line max "&amp;IF(ISNUMBER('Offer Engine'!$C$8),TEXT('Offer Engine'!$C$8,"$#,##0"),"-")))</f>
        <v>payback $71,050 over 100 daily pmts (20 wks)  |  green-line max $49,000</v>
      </c>
      <c r="E73" s="6"/>
      <c r="F73" s="6"/>
      <c r="G73" s="6"/>
      <c r="H73" s="6"/>
    </row>
    <row r="74" customFormat="false" ht="15.75" hidden="false" customHeight="true" outlineLevel="0" collapsed="false">
      <c r="B74" s="6"/>
      <c r="C74" s="6"/>
      <c r="D74" s="6"/>
      <c r="E74" s="6"/>
      <c r="F74" s="6"/>
      <c r="G74" s="6"/>
      <c r="H74" s="6"/>
    </row>
    <row r="75" customFormat="false" ht="15.75" hidden="false" customHeight="true" outlineLevel="0" collapsed="false">
      <c r="B75" s="8" t="s">
        <v>116</v>
      </c>
      <c r="C75" s="8"/>
      <c r="D75" s="8"/>
      <c r="E75" s="8"/>
      <c r="F75" s="8"/>
      <c r="G75" s="8"/>
      <c r="H75" s="8"/>
    </row>
    <row r="76" customFormat="false" ht="15.75" hidden="false" customHeight="true" outlineLevel="0" collapsed="false">
      <c r="B76" s="75" t="s">
        <v>117</v>
      </c>
      <c r="C76" s="75" t="s">
        <v>71</v>
      </c>
      <c r="D76" s="75" t="s">
        <v>118</v>
      </c>
      <c r="E76" s="75"/>
      <c r="F76" s="75"/>
      <c r="G76" s="75"/>
      <c r="H76" s="75"/>
    </row>
    <row r="77" customFormat="false" ht="15.75" hidden="false" customHeight="true" outlineLevel="0" collapsed="false">
      <c r="B77" s="76" t="s">
        <v>119</v>
      </c>
      <c r="C77" s="77" t="str">
        <f aca="false">'Decision Summary'!$C$5</f>
        <v>CONDITIONAL</v>
      </c>
      <c r="D77" s="78" t="str">
        <f aca="false">'Decision Summary'!$D$5</f>
        <v>Yellows remain at the final offer or the evidence is negative - see the metric rows.</v>
      </c>
      <c r="E77" s="78"/>
      <c r="F77" s="78"/>
      <c r="G77" s="78"/>
      <c r="H77" s="78"/>
    </row>
    <row r="78" customFormat="false" ht="15.75" hidden="false" customHeight="true" outlineLevel="0" collapsed="false">
      <c r="B78" s="76" t="s">
        <v>120</v>
      </c>
      <c r="C78" s="79" t="n">
        <f aca="false">'Decision Summary'!$C$6</f>
        <v>49000</v>
      </c>
      <c r="D78" s="78" t="str">
        <f aca="false">'Decision Summary'!$D$6</f>
        <v>green-line max $49,000  |  sized max $49,000  |  final = 100% of sized  (requested $40,000)</v>
      </c>
      <c r="E78" s="78"/>
      <c r="F78" s="78"/>
      <c r="G78" s="78"/>
      <c r="H78" s="78"/>
    </row>
    <row r="79" customFormat="false" ht="15.75" hidden="false" customHeight="true" outlineLevel="0" collapsed="false">
      <c r="B79" s="76" t="s">
        <v>18</v>
      </c>
      <c r="C79" s="80" t="n">
        <f aca="false">'Decision Summary'!$C$7</f>
        <v>1.45</v>
      </c>
      <c r="D79" s="78" t="str">
        <f aca="false">'Decision Summary'!$D$7</f>
        <v>band 1.45</v>
      </c>
      <c r="E79" s="78"/>
      <c r="F79" s="78"/>
      <c r="G79" s="78"/>
      <c r="H79" s="78"/>
    </row>
    <row r="80" customFormat="false" ht="15.75" hidden="false" customHeight="true" outlineLevel="0" collapsed="false">
      <c r="B80" s="76" t="s">
        <v>121</v>
      </c>
      <c r="C80" s="81" t="n">
        <f aca="false">'Decision Summary'!$C$8</f>
        <v>20</v>
      </c>
      <c r="D80" s="78" t="str">
        <f aca="false">'Decision Summary'!$D$8</f>
        <v>weeks  (4.6 months; sized 100 daily pmts)</v>
      </c>
      <c r="E80" s="78"/>
      <c r="F80" s="78"/>
      <c r="G80" s="78"/>
      <c r="H80" s="78"/>
    </row>
    <row r="81" customFormat="false" ht="15.75" hidden="false" customHeight="true" outlineLevel="0" collapsed="false">
      <c r="B81" s="76" t="s">
        <v>61</v>
      </c>
      <c r="C81" s="82" t="n">
        <f aca="false">'Decision Summary'!$C$9</f>
        <v>3552.5</v>
      </c>
      <c r="D81" s="78" t="str">
        <f aca="false">'Decision Summary'!$D$9</f>
        <v>per week;  daily-equivalent $710.50, monthly $15,386;  payback $71,050, net $46,550</v>
      </c>
      <c r="E81" s="78"/>
      <c r="F81" s="78"/>
      <c r="G81" s="78"/>
      <c r="H81" s="78"/>
    </row>
    <row r="82" customFormat="false" ht="15.75" hidden="false" customHeight="true" outlineLevel="0" collapsed="false">
      <c r="B82" s="76" t="s">
        <v>122</v>
      </c>
      <c r="C82" s="83" t="str">
        <f aca="false">'Decision Summary'!$C$10</f>
        <v>Weekly</v>
      </c>
      <c r="D82" s="78" t="str">
        <f aca="false">'Decision Summary'!$D$10</f>
        <v>As proposed on the Deal sheet</v>
      </c>
      <c r="E82" s="78"/>
      <c r="F82" s="78"/>
      <c r="G82" s="78"/>
      <c r="H82" s="78"/>
    </row>
    <row r="83" customFormat="false" ht="15.75" hidden="false" customHeight="true" outlineLevel="0" collapsed="false">
      <c r="B83" s="76" t="s">
        <v>123</v>
      </c>
      <c r="C83" s="84" t="n">
        <f aca="false">'Decision Summary'!$C$11</f>
        <v>0</v>
      </c>
      <c r="D83" s="78" t="str">
        <f aca="false">'Decision Summary'!$D$11</f>
        <v>green lines (the cash-flow tool as built)</v>
      </c>
      <c r="E83" s="78"/>
      <c r="F83" s="78"/>
      <c r="G83" s="78"/>
      <c r="H83" s="78"/>
    </row>
    <row r="84" customFormat="false" ht="15.75" hidden="false" customHeight="true" outlineLevel="0" collapsed="false">
      <c r="B84" s="76" t="s">
        <v>124</v>
      </c>
      <c r="C84" s="85" t="n">
        <f aca="false">'Decision Summary'!$C$12</f>
        <v>0.178386985507246</v>
      </c>
      <c r="D84" s="78" t="str">
        <f aca="false">'Decision Summary'!$D$12</f>
        <v>GREEN  (green 18% / red 25%)</v>
      </c>
      <c r="E84" s="78"/>
      <c r="F84" s="78"/>
      <c r="G84" s="78"/>
      <c r="H84" s="78"/>
    </row>
    <row r="85" customFormat="false" ht="15.75" hidden="false" customHeight="true" outlineLevel="0" collapsed="false">
      <c r="B85" s="76" t="s">
        <v>125</v>
      </c>
      <c r="C85" s="83" t="str">
        <f aca="false">'Decision Summary'!$C$17</f>
        <v>Neutral</v>
      </c>
      <c r="D85" s="78" t="str">
        <f aca="false">'Decision Summary'!$D$17</f>
        <v>index 1.03 (1.00 = seasoned book); sizing flex 0%, fund x 1.00, term step 0, factor step 0</v>
      </c>
      <c r="E85" s="78"/>
      <c r="F85" s="78"/>
      <c r="G85" s="78"/>
      <c r="H85" s="78"/>
    </row>
    <row r="86" customFormat="false" ht="15.75" hidden="false" customHeight="true" outlineLevel="0" collapsed="false">
      <c r="B86" s="76" t="s">
        <v>126</v>
      </c>
      <c r="C86" s="83" t="str">
        <f aca="false">'Decision Summary'!$C$19</f>
        <v>5 / 6</v>
      </c>
      <c r="D86" s="78" t="str">
        <f aca="false">'Decision Summary'!$D$19</f>
        <v>T6: new/renewal only</v>
      </c>
      <c r="E86" s="78"/>
      <c r="F86" s="78"/>
      <c r="G86" s="78"/>
      <c r="H86" s="78"/>
    </row>
    <row r="87" customFormat="false" ht="15.75" hidden="false" customHeight="true" outlineLevel="0" collapsed="false">
      <c r="B87" s="76" t="s">
        <v>127</v>
      </c>
      <c r="C87" s="85" t="n">
        <f aca="false">'Decision Summary'!$C$21</f>
        <v>0.508333333333333</v>
      </c>
      <c r="D87" s="78" t="str">
        <f aca="false">'Decision Summary'!$D$21</f>
        <v>vs seasoned book 41.0%;  blended 42.4%;  collected on defaults 32%</v>
      </c>
      <c r="E87" s="78"/>
      <c r="F87" s="78"/>
      <c r="G87" s="78"/>
      <c r="H87" s="78"/>
    </row>
    <row r="88" customFormat="false" ht="15.75" hidden="false" customHeight="true" outlineLevel="0" collapsed="false">
      <c r="B88" s="76" t="s">
        <v>128</v>
      </c>
      <c r="C88" s="83" t="str">
        <f aca="false">'Decision Summary'!$C$25</f>
        <v/>
      </c>
      <c r="D88" s="78" t="str">
        <f aca="false">'Decision Summary'!$D$25</f>
        <v>blank = none</v>
      </c>
      <c r="E88" s="78"/>
      <c r="F88" s="78"/>
      <c r="G88" s="78"/>
      <c r="H88" s="78"/>
    </row>
    <row r="89" customFormat="false" ht="15.75" hidden="false" customHeight="true" outlineLevel="0" collapsed="false">
      <c r="B89" s="86" t="s">
        <v>129</v>
      </c>
    </row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3">
    <mergeCell ref="D2:H2"/>
    <mergeCell ref="B4:H4"/>
    <mergeCell ref="J4:M4"/>
    <mergeCell ref="B10:H10"/>
    <mergeCell ref="J11:M11"/>
    <mergeCell ref="L12:M12"/>
    <mergeCell ref="L13:M13"/>
    <mergeCell ref="L14:M14"/>
    <mergeCell ref="L15:M15"/>
    <mergeCell ref="L16:M16"/>
    <mergeCell ref="B26:J26"/>
    <mergeCell ref="B36:H36"/>
    <mergeCell ref="G57:H57"/>
    <mergeCell ref="B59:H59"/>
    <mergeCell ref="D62:H62"/>
    <mergeCell ref="B64:H64"/>
    <mergeCell ref="D70:H70"/>
    <mergeCell ref="D73:H73"/>
    <mergeCell ref="B74:H74"/>
    <mergeCell ref="B75:H75"/>
    <mergeCell ref="D76:H76"/>
    <mergeCell ref="D77:H77"/>
    <mergeCell ref="D78:H78"/>
    <mergeCell ref="D79:H79"/>
    <mergeCell ref="D80:H80"/>
    <mergeCell ref="D81:H81"/>
    <mergeCell ref="D82:H82"/>
    <mergeCell ref="D83:H83"/>
    <mergeCell ref="D84:H84"/>
    <mergeCell ref="D85:H85"/>
    <mergeCell ref="D86:H86"/>
    <mergeCell ref="D87:H87"/>
    <mergeCell ref="D88:H88"/>
  </mergeCells>
  <conditionalFormatting sqref="F38:F45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"YELLOW"</formula>
    </cfRule>
    <cfRule type="cellIs" priority="4" operator="equal" aboveAverage="0" equalAverage="0" bottom="0" percent="0" rank="0" text="" dxfId="2">
      <formula>"RED"</formula>
    </cfRule>
    <cfRule type="cellIs" priority="5" operator="equal" aboveAverage="0" equalAverage="0" bottom="0" percent="0" rank="0" text="" dxfId="2">
      <formula>"KNOCKOUT"</formula>
    </cfRule>
  </conditionalFormatting>
  <conditionalFormatting sqref="F51:F57">
    <cfRule type="cellIs" priority="6" operator="equal" aboveAverage="0" equalAverage="0" bottom="0" percent="0" rank="0" text="" dxfId="0">
      <formula>"GREEN"</formula>
    </cfRule>
    <cfRule type="cellIs" priority="7" operator="equal" aboveAverage="0" equalAverage="0" bottom="0" percent="0" rank="0" text="" dxfId="1">
      <formula>"YELLOW"</formula>
    </cfRule>
    <cfRule type="cellIs" priority="8" operator="equal" aboveAverage="0" equalAverage="0" bottom="0" percent="0" rank="0" text="" dxfId="2">
      <formula>"RED"</formula>
    </cfRule>
    <cfRule type="cellIs" priority="9" operator="equal" aboveAverage="0" equalAverage="0" bottom="0" percent="0" rank="0" text="" dxfId="2">
      <formula>"KNOCKOUT"</formula>
    </cfRule>
  </conditionalFormatting>
  <conditionalFormatting sqref="C2">
    <cfRule type="cellIs" priority="10" operator="equal" aboveAverage="0" equalAverage="0" bottom="0" percent="0" rank="0" text="" dxfId="0">
      <formula>"APPROVE"</formula>
    </cfRule>
    <cfRule type="cellIs" priority="11" operator="equal" aboveAverage="0" equalAverage="0" bottom="0" percent="0" rank="0" text="" dxfId="1">
      <formula>"CONDITIONAL"</formula>
    </cfRule>
    <cfRule type="cellIs" priority="12" operator="equal" aboveAverage="0" equalAverage="0" bottom="0" percent="0" rank="0" text="" dxfId="2">
      <formula>"DECLINE"</formula>
    </cfRule>
    <cfRule type="cellIs" priority="13" operator="equal" aboveAverage="0" equalAverage="0" bottom="0" percent="0" rank="0" text="" dxfId="3">
      <formula>"MANUAL REVIEW"</formula>
    </cfRule>
  </conditionalFormatting>
  <conditionalFormatting sqref="C62">
    <cfRule type="cellIs" priority="14" operator="equal" aboveAverage="0" equalAverage="0" bottom="0" percent="0" rank="0" text="" dxfId="0">
      <formula>"APPROVE"</formula>
    </cfRule>
    <cfRule type="cellIs" priority="15" operator="equal" aboveAverage="0" equalAverage="0" bottom="0" percent="0" rank="0" text="" dxfId="1">
      <formula>"CONDITIONAL"</formula>
    </cfRule>
    <cfRule type="cellIs" priority="16" operator="equal" aboveAverage="0" equalAverage="0" bottom="0" percent="0" rank="0" text="" dxfId="2">
      <formula>"DECLINE"</formula>
    </cfRule>
    <cfRule type="cellIs" priority="17" operator="equal" aboveAverage="0" equalAverage="0" bottom="0" percent="0" rank="0" text="" dxfId="3">
      <formula>"MANUAL REVIEW"</formula>
    </cfRule>
  </conditionalFormatting>
  <conditionalFormatting sqref="C77">
    <cfRule type="cellIs" priority="18" operator="equal" aboveAverage="0" equalAverage="0" bottom="0" percent="0" rank="0" text="" dxfId="0">
      <formula>"APPROVE"</formula>
    </cfRule>
    <cfRule type="cellIs" priority="19" operator="equal" aboveAverage="0" equalAverage="0" bottom="0" percent="0" rank="0" text="" dxfId="1">
      <formula>"CONDITIONAL"</formula>
    </cfRule>
    <cfRule type="cellIs" priority="20" operator="equal" aboveAverage="0" equalAverage="0" bottom="0" percent="0" rank="0" text="" dxfId="2">
      <formula>"DECLINE"</formula>
    </cfRule>
    <cfRule type="cellIs" priority="21" operator="equal" aboveAverage="0" equalAverage="0" bottom="0" percent="0" rank="0" text="" dxfId="3">
      <formula>"MANUAL REVIEW"</formula>
    </cfRule>
  </conditionalFormatting>
  <dataValidations count="7">
    <dataValidation allowBlank="true" errorStyle="stop" operator="between" showDropDown="false" showErrorMessage="false" showInputMessage="false" sqref="E28:E33" type="list">
      <formula1>"Weekly,Daily,Monthly"</formula1>
      <formula2>0</formula2>
    </dataValidation>
    <dataValidation allowBlank="true" errorStyle="stop" operator="between" showDropDown="false" showErrorMessage="false" showInputMessage="false" sqref="B12:B23" type="list">
      <formula1>"Jan,Feb,Mar,Apr,May,Jun,Jul,Aug,Sep,Oct,Nov,Dec"</formula1>
      <formula2>0</formula2>
    </dataValidation>
    <dataValidation allowBlank="true" errorStyle="stop" operator="between" showDropDown="false" showErrorMessage="false" showInputMessage="false" sqref="E6" type="list">
      <formula1>"Daily,Weekly"</formula1>
      <formula2>0</formula2>
    </dataValidation>
    <dataValidation allowBlank="true" errorStyle="stop" operator="between" showDropDown="false" showErrorMessage="false" showInputMessage="false" sqref="K12" type="list">
      <formula1>Ref!$E$2:$E$157</formula1>
      <formula2>0</formula2>
    </dataValidation>
    <dataValidation allowBlank="true" errorStyle="stop" operator="between" showDropDown="false" showErrorMessage="false" showInputMessage="false" sqref="K13" type="list">
      <formula1>Ref!$G$2:$G$67</formula1>
      <formula2>0</formula2>
    </dataValidation>
    <dataValidation allowBlank="true" errorStyle="stop" operator="between" showDropDown="false" showErrorMessage="false" showInputMessage="false" sqref="K14" type="list">
      <formula1>Ref!$I$2:$I$51</formula1>
      <formula2>0</formula2>
    </dataValidation>
    <dataValidation allowBlank="true" errorStyle="stop" operator="between" showDropDown="false" showErrorMessage="false" showInputMessage="false" sqref="K15" type="list">
      <formula1>"New Deal,Renewal"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92"/>
  </cols>
  <sheetData>
    <row r="1" customFormat="false" ht="17.35" hidden="false" customHeight="false" outlineLevel="0" collapsed="false">
      <c r="B1" s="87" t="s">
        <v>130</v>
      </c>
    </row>
    <row r="4" customFormat="false" ht="15" hidden="false" customHeight="false" outlineLevel="0" collapsed="false">
      <c r="A4" s="75"/>
      <c r="B4" s="75" t="s">
        <v>117</v>
      </c>
      <c r="C4" s="75" t="s">
        <v>71</v>
      </c>
      <c r="D4" s="75" t="s">
        <v>118</v>
      </c>
    </row>
    <row r="5" customFormat="false" ht="31.5" hidden="false" customHeight="true" outlineLevel="0" collapsed="false">
      <c r="B5" s="88" t="s">
        <v>14</v>
      </c>
      <c r="C5" s="89" t="str">
        <f aca="false">IF(Deal!$C$24=0,"",IF(OR(Deal!$C$73="-",Deal!$C$73="",'Offer Engine'!$E$8="",'Offer Engine'!$E$8=0,'Offer Engine'!$E$8&lt;Controls!$B$14,'Offer Engine'!$E$41&gt;=Controls!$B$13),"DECLINE",IF(C25&lt;&gt;"","MANUAL REVIEW",IF(OR(COUNTIF('Offer Engine'!$F$26:$F$33,"YELLOW")+COUNTIF('Offer Engine'!$F$26:$F$33,"RED")&gt;0,'Historical Score'!$C$40&gt;=4),"CONDITIONAL","APPROVE"))))</f>
        <v>CONDITIONAL</v>
      </c>
      <c r="D5" s="90" t="str">
        <f aca="false">IF(C5="","Enter bank data + deal profile.",IF(C5="DECLINE",IF(COUNTIF(Deal!$F$42:$F$45,"KNOCKOUT")&gt;0,"Merchant knockout: "&amp;INDEX(Deal!$B$42:$B$45,MATCH("KNOCKOUT",Deal!$F$42:$F$45,0))&amp;".",IF(OR('Offer Engine'!$E$8="",'Offer Engine'!$E$8=0),"No clean room under the sizing line.",IF('Offer Engine'!$E$8&lt;Controls!$B$14,"Final fund "&amp;TEXT('Offer Engine'!$E$8,"$#,##0")&amp;" is below the minimum "&amp;TEXT(Controls!$B$14,"$#,##0")&amp;".","Red flags at the final offer reached the limit."))),IF(C5="MANUAL REVIEW","Triggers: "&amp;C25,IF(C5="APPROVE","All metrics green at the final offer; evidence neutral or better.","Yellows remain at the final offer or the evidence is negative - see the metric rows."))))</f>
        <v>Yellows remain at the final offer or the evidence is negative - see the metric rows.</v>
      </c>
    </row>
    <row r="6" customFormat="false" ht="16.15" hidden="false" customHeight="false" outlineLevel="0" collapsed="false">
      <c r="B6" s="88" t="s">
        <v>131</v>
      </c>
      <c r="C6" s="91" t="n">
        <f aca="false">'Offer Engine'!$E$8</f>
        <v>49000</v>
      </c>
      <c r="D6" s="90" t="str">
        <f aca="false">IF(OR(C6="",C6="-"),"","green-line max "&amp;IF(ISNUMBER('Offer Engine'!$C$8),TEXT('Offer Engine'!$C$8,"$#,##0"),"-")&amp;"  |  sized max "&amp;IF(ISNUMBER('Offer Engine'!$D$8),TEXT('Offer Engine'!$D$8,"$#,##0"),"-")&amp;"  |  final = "&amp;TEXT(C6/'Offer Engine'!$D$8,"0%")&amp;" of sized  (requested "&amp;IF(Deal!$B$6="","n/a",TEXT(Deal!$B$6,"$#,##0"))&amp;")")</f>
        <v>green-line max $49,000  |  sized max $49,000  |  final = 100% of sized  (requested $40,000)</v>
      </c>
    </row>
    <row r="7" customFormat="false" ht="15" hidden="false" customHeight="false" outlineLevel="0" collapsed="false">
      <c r="B7" s="88" t="s">
        <v>132</v>
      </c>
      <c r="C7" s="92" t="n">
        <f aca="false">'Offer Engine'!$E$7</f>
        <v>1.45</v>
      </c>
      <c r="D7" s="90" t="str">
        <f aca="false">IF(C7="","","band "&amp;TEXT('Offer Engine'!$D$7,"0.00")&amp;IF('Offer Engine'!$E$7&gt;'Offer Engine'!$D$7," -&gt; raised one tier by the modifier",""))</f>
        <v>band 1.45</v>
      </c>
    </row>
    <row r="8" customFormat="false" ht="15" hidden="false" customHeight="false" outlineLevel="0" collapsed="false">
      <c r="B8" s="88" t="s">
        <v>133</v>
      </c>
      <c r="C8" s="93" t="n">
        <f aca="false">'Offer Engine'!$E$17</f>
        <v>20</v>
      </c>
      <c r="D8" s="90" t="str">
        <f aca="false">IF(C8="","",IF('Offer Engine'!$E$16="Weekly","weeks","daily payments")&amp;"  ("&amp;TEXT('Offer Engine'!$E$22,"0.0")&amp;" months; sized "&amp;'Offer Engine'!$D$6&amp;" daily pmts"&amp;IF('Offer Engine'!$E$6&lt;'Offer Engine'!$D$6,", shortened by the modifier","")&amp;")")</f>
        <v>weeks  (4.6 months; sized 100 daily pmts)</v>
      </c>
    </row>
    <row r="9" customFormat="false" ht="15" hidden="false" customHeight="false" outlineLevel="0" collapsed="false">
      <c r="B9" s="88" t="s">
        <v>61</v>
      </c>
      <c r="C9" s="94" t="n">
        <f aca="false">'Offer Engine'!$E$18</f>
        <v>3552.5</v>
      </c>
      <c r="D9" s="90" t="str">
        <f aca="false">IF(C9="","","per "&amp;IF('Offer Engine'!$E$16="Weekly","week","business day")&amp;";  daily-equivalent "&amp;TEXT('Offer Engine'!$E$9,"$#,##0.00")&amp;", monthly "&amp;TEXT('Offer Engine'!$E$19,"$#,##0")&amp;";  payback "&amp;TEXT('Offer Engine'!$E$20,"$#,##0")&amp;", net "&amp;TEXT('Offer Engine'!$E$21,"$#,##0"))</f>
        <v>per week;  daily-equivalent $710.50, monthly $15,386;  payback $71,050, net $46,550</v>
      </c>
    </row>
    <row r="10" customFormat="false" ht="15" hidden="false" customHeight="false" outlineLevel="0" collapsed="false">
      <c r="B10" s="88" t="s">
        <v>134</v>
      </c>
      <c r="C10" s="95" t="str">
        <f aca="false">'Offer Engine'!$E$16</f>
        <v>Weekly</v>
      </c>
      <c r="D10" s="90" t="str">
        <f aca="false">IF('Offer Engine'!$C$13="Weekly","Weekly required by the modifier","As proposed on the Deal sheet")</f>
        <v>As proposed on the Deal sheet</v>
      </c>
    </row>
    <row r="11" customFormat="false" ht="15" hidden="false" customHeight="false" outlineLevel="0" collapsed="false">
      <c r="B11" s="88" t="s">
        <v>123</v>
      </c>
      <c r="C11" s="96" t="n">
        <f aca="false">'Offer Engine'!$C$15</f>
        <v>0</v>
      </c>
      <c r="D11" s="90" t="str">
        <f aca="false">IF(C11=0,"green lines (the cash-flow tool as built)",TEXT(C11,"0%")&amp;" of the way from the green line to the red line - the book is supportive, yellows allowed")</f>
        <v>green lines (the cash-flow tool as built)</v>
      </c>
    </row>
    <row r="12" customFormat="false" ht="15" hidden="false" customHeight="false" outlineLevel="0" collapsed="false">
      <c r="B12" s="88" t="s">
        <v>32</v>
      </c>
      <c r="C12" s="97" t="n">
        <f aca="false">'Offer Engine'!$E$27</f>
        <v>0.178386985507246</v>
      </c>
      <c r="D12" s="90" t="str">
        <f aca="false">IF(C12="","",'Offer Engine'!$F$27&amp;"  (green "&amp;TEXT(Controls!$B$6,"0%")&amp;" / red "&amp;TEXT(Controls!$C$6,"0%")&amp;")")</f>
        <v>GREEN  (green 18% / red 25%)</v>
      </c>
    </row>
    <row r="13" customFormat="false" ht="15" hidden="false" customHeight="false" outlineLevel="0" collapsed="false">
      <c r="B13" s="88" t="s">
        <v>135</v>
      </c>
      <c r="C13" s="97" t="n">
        <f aca="false">'Offer Engine'!$E$26</f>
        <v>0.178386985507246</v>
      </c>
      <c r="D13" s="90" t="str">
        <f aca="false">IF(C13="","",'Offer Engine'!$F$26&amp;"  (green "&amp;TEXT(Controls!$B$5,"0%")&amp;" / red "&amp;TEXT(Controls!$C$5,"0%")&amp;")")</f>
        <v>GREEN  (green 30% / red 45%)</v>
      </c>
    </row>
    <row r="14" customFormat="false" ht="15" hidden="false" customHeight="false" outlineLevel="0" collapsed="false">
      <c r="B14" s="88" t="s">
        <v>136</v>
      </c>
      <c r="C14" s="92" t="n">
        <f aca="false">'Offer Engine'!$E$29</f>
        <v>0.568115942028986</v>
      </c>
      <c r="D14" s="90" t="str">
        <f aca="false">IF(C14="","",'Offer Engine'!$F$29&amp;"  (green "&amp;TEXT(Controls!$B$8,"0.00")&amp;" / red "&amp;TEXT(Controls!$C$8,"0.00")&amp;")")</f>
        <v>GREEN  (green 0.60 / red 0.90)</v>
      </c>
    </row>
    <row r="15" customFormat="false" ht="15" hidden="false" customHeight="false" outlineLevel="0" collapsed="false">
      <c r="B15" s="88" t="s">
        <v>137</v>
      </c>
      <c r="C15" s="97" t="n">
        <f aca="false">'Offer Engine'!$E$28</f>
        <v>0.0983391003460208</v>
      </c>
      <c r="D15" s="90" t="str">
        <f aca="false">IF(C15="","",'Offer Engine'!$F$28&amp;"  (green "&amp;TEXT(Controls!$B$7,"0%")&amp;" / red "&amp;TEXT(Controls!$C$7,"0%")&amp;")")</f>
        <v>GREEN  (green 18% / red 30%)</v>
      </c>
    </row>
    <row r="16" customFormat="false" ht="15" hidden="false" customHeight="false" outlineLevel="0" collapsed="false">
      <c r="B16" s="88" t="s">
        <v>138</v>
      </c>
      <c r="C16" s="93" t="n">
        <f aca="false">Deal!$C$42</f>
        <v>1</v>
      </c>
      <c r="D16" s="90" t="str">
        <f aca="false">IF(C16="","",Deal!$F$42)</f>
        <v>GREEN</v>
      </c>
    </row>
    <row r="17" customFormat="false" ht="15" hidden="false" customHeight="false" outlineLevel="0" collapsed="false">
      <c r="B17" s="88" t="s">
        <v>125</v>
      </c>
      <c r="C17" s="95" t="str">
        <f aca="false">'Historical Score'!$C$41</f>
        <v>Neutral</v>
      </c>
      <c r="D17" s="90" t="str">
        <f aca="false">IF(C17="","","index "&amp;TEXT('Historical Score'!$C$39,"0.00")&amp;" (1.00 = seasoned book); sizing flex "&amp;TEXT('Historical Score'!$C$42,"0%")&amp;", fund x "&amp;TEXT('Historical Score'!$C$43,"0.00")&amp;", term step "&amp;'Historical Score'!$C$44&amp;", factor step "&amp;'Historical Score'!$C$45)</f>
        <v>index 1.03 (1.00 = seasoned book); sizing flex 0%, fund x 1.00, term step 0, factor step 0</v>
      </c>
    </row>
    <row r="18" customFormat="false" ht="15" hidden="false" customHeight="false" outlineLevel="0" collapsed="false">
      <c r="B18" s="88" t="s">
        <v>139</v>
      </c>
      <c r="C18" s="98" t="n">
        <f aca="false">Deal!$C$65</f>
        <v>7.5</v>
      </c>
      <c r="D18" s="90" t="str">
        <f aca="false">IF(C18="","","of "&amp;Deal!$D$65&amp;" scored metrics = "&amp;Deal!$C$66&amp;"  (scaled "&amp;TEXT(Deal!$D$67,"0.0")&amp;"/7 for the bands)")</f>
        <v>of 8 scored metrics = Strong  (scaled 6.6/7 for the bands)</v>
      </c>
    </row>
    <row r="19" customFormat="false" ht="15" hidden="false" customHeight="false" outlineLevel="0" collapsed="false">
      <c r="B19" s="88" t="s">
        <v>140</v>
      </c>
      <c r="C19" s="99" t="str">
        <f aca="false">'Historical Score'!$C$31</f>
        <v>5 / 6</v>
      </c>
      <c r="D19" s="90" t="str">
        <f aca="false">'Historical Score'!$C$30</f>
        <v>T6: new/renewal only</v>
      </c>
    </row>
    <row r="20" customFormat="false" ht="15" hidden="false" customHeight="false" outlineLevel="0" collapsed="false">
      <c r="B20" s="88" t="s">
        <v>141</v>
      </c>
      <c r="C20" s="100" t="n">
        <f aca="false">'Historical Score'!$C$32</f>
        <v>0.833333333333333</v>
      </c>
      <c r="D20" s="90" t="str">
        <f aca="false">"credibility Z "&amp;TEXT('Historical Score'!$C$37,"0.00")&amp;" (n / (n + K))"</f>
        <v>credibility Z 0.14 (n / (n + K))</v>
      </c>
    </row>
    <row r="21" customFormat="false" ht="15" hidden="false" customHeight="false" outlineLevel="0" collapsed="false">
      <c r="B21" s="88" t="s">
        <v>142</v>
      </c>
      <c r="C21" s="100" t="n">
        <f aca="false">'Historical Score'!$C$33</f>
        <v>0.508333333333333</v>
      </c>
      <c r="D21" s="90" t="str">
        <f aca="false">IF(C21="","too few seasoned deals to show a rate","vs seasoned book "&amp;TEXT('Historical Score'!$C$10,"0.0%")&amp;";  blended "&amp;TEXT('Historical Score'!$C$38,"0.0%")&amp;";  collected on defaults "&amp;IF('Historical Score'!$C$36="","n/a",TEXT('Historical Score'!$C$36,"0%")))</f>
        <v>vs seasoned book 41.0%;  blended 42.4%;  collected on defaults 32%</v>
      </c>
    </row>
    <row r="22" customFormat="false" ht="15" hidden="false" customHeight="false" outlineLevel="0" collapsed="false">
      <c r="B22" s="88" t="s">
        <v>143</v>
      </c>
      <c r="C22" s="100" t="n">
        <f aca="false">'Historical Score'!$C$35</f>
        <v>-0.383333333333333</v>
      </c>
      <c r="D22" s="90" t="str">
        <f aca="false">"seasoned deals only"</f>
        <v>seasoned deals only</v>
      </c>
    </row>
    <row r="23" customFormat="false" ht="15" hidden="false" customHeight="false" outlineLevel="0" collapsed="false">
      <c r="B23" s="88" t="s">
        <v>144</v>
      </c>
      <c r="C23" s="99" t="str">
        <f aca="false">'Historical Score'!$C$48</f>
        <v>New/renewal only</v>
      </c>
      <c r="D23" s="90" t="str">
        <f aca="false">'Historical Score'!$C$49</f>
        <v>42.4% vs 41.0% book (5 seasoned deals)</v>
      </c>
    </row>
    <row r="24" customFormat="false" ht="15" hidden="false" customHeight="false" outlineLevel="0" collapsed="false">
      <c r="B24" s="88" t="s">
        <v>145</v>
      </c>
      <c r="C24" s="99" t="str">
        <f aca="false">IF(Deal!$D$70="","",Deal!$D$70)</f>
        <v>SP% holdback is the limit</v>
      </c>
      <c r="D24" s="90" t="str">
        <f aca="false">IF(Deal!$C$70="","",IF(Deal!$C$70=0,"existing debt already exceeds the sizing line",IF(Deal!$C$72=FLOOR(Deal!$H$41*Deal!$C$24*Deal!$D$72/Deal!$C$70,5),"term also capped by the fund/revenue sizing line","term set by the score band")))</f>
        <v>term also capped by the fund/revenue sizing line</v>
      </c>
    </row>
    <row r="25" customFormat="false" ht="39.75" hidden="false" customHeight="true" outlineLevel="0" collapsed="false">
      <c r="B25" s="88" t="s">
        <v>146</v>
      </c>
      <c r="C25" s="99" t="str">
        <f aca="false">IF(AND(Controls!$B$74="Y",'Offer Engine'!$C$14="Y"),"Severe historical modifier; ","")&amp;IF(AND(Controls!$B$75="Y",Deal!$F$45="RED",COUNTIF('Offer Engine'!$F$26:$F$32,"RED")&gt;0),"Credit RED plus another RED; ","")&amp;IF(AND(Controls!$B$76="Y",ISNUMBER(Deal!$C$42),IF(ISNUMBER(Deal!$C$42),Deal!$C$42,0)&gt;=Controls!$C$76),"Positions incl. new at/above "&amp;Controls!$C$76&amp;"; ","")&amp;IF(AND(Controls!$B$77="Y",Deal!$K$15="New Deal",ISNUMBER(Deal!$C$42),IF(ISNUMBER(Deal!$C$42),Deal!$C$42,0)&gt;=Controls!$C$77,OR(Deal!$K$13="General Building Contractors",Deal!$K$13="Special Trade Contractors",Deal!$K$13="Heavy Construction")),"New "&amp;Controls!$C$77&amp;"rd+ position construction deal; ","")&amp;IF(AND(Controls!$B$78="Y",OR(AND(Deal!$K$12&lt;&gt;"",COUNTIF('Historical Data'!$K$2:$K$9,Deal!$K$12)=0),AND(Deal!$K$13&lt;&gt;"",COUNTIF('Historical Data'!$Y$2:$Y$9,Deal!$K$13)=0))),"ISO or industry not in house book; ","")&amp;IF(AND(Controls!$B$79="Y",ISNUMBER('Offer Engine'!$E$8),IF(ISNUMBER('Offer Engine'!$E$8),'Offer Engine'!$E$8,0)&lt;Controls!$B$14,IF(ISNUMBER('Offer Engine'!$E$8),'Offer Engine'!$E$8,0)&gt;0),"Final fund below minimum; ","")&amp;IF(AND(Controls!$B$80="Y",'Historical Score'!$C$29=7),"No cohort met the minimums; ","")</f>
        <v/>
      </c>
      <c r="D25" s="90" t="str">
        <f aca="false">"blank = none"</f>
        <v>blank = none</v>
      </c>
    </row>
    <row r="26" customFormat="false" ht="15" hidden="false" customHeight="false" outlineLevel="0" collapsed="false">
      <c r="B26" s="88" t="s">
        <v>147</v>
      </c>
      <c r="C26" s="101" t="str">
        <f aca="false">'Historical Score'!$C$50</f>
        <v>Fundwell: 3 seasoned deals, lost 43.0% vs 41.0% book, Z 0.09 -&gt; neutral</v>
      </c>
      <c r="D26" s="101"/>
    </row>
    <row r="27" customFormat="false" ht="15" hidden="false" customHeight="false" outlineLevel="0" collapsed="false">
      <c r="B27" s="88" t="s">
        <v>148</v>
      </c>
      <c r="C27" s="101" t="str">
        <f aca="false">'Historical Score'!$C$51</f>
        <v>Eating &amp; Drinking Places: 1 seasoned deals - too few to rate</v>
      </c>
      <c r="D27" s="101"/>
    </row>
    <row r="28" customFormat="false" ht="15" hidden="false" customHeight="false" outlineLevel="0" collapsed="false">
      <c r="B28" s="88" t="s">
        <v>149</v>
      </c>
      <c r="C28" s="101" t="str">
        <f aca="false">'Historical Score'!$C$52</f>
        <v>New Deal: 5 seasoned deals, lost 50.8% vs 41.0% book -&gt; neutral</v>
      </c>
      <c r="D28" s="101"/>
    </row>
    <row r="29" customFormat="false" ht="15" hidden="false" customHeight="false" outlineLevel="0" collapsed="false">
      <c r="B29" s="88" t="s">
        <v>150</v>
      </c>
      <c r="C29" s="101" t="str">
        <f aca="false">'Historical Score'!$C$53</f>
        <v>position 1: 1 seasoned deals - too few to rate</v>
      </c>
      <c r="D29" s="101"/>
    </row>
    <row r="30" customFormat="false" ht="15" hidden="false" customHeight="false" outlineLevel="0" collapsed="false">
      <c r="B30" s="88" t="s">
        <v>151</v>
      </c>
      <c r="C30" s="101" t="str">
        <f aca="false">'Historical Score'!$C$54</f>
        <v>NJ: 3 seasoned deals, lost 43.0% vs 41.0% book - informational only</v>
      </c>
      <c r="D30" s="101"/>
    </row>
    <row r="31" customFormat="false" ht="15" hidden="false" customHeight="false" outlineLevel="0" collapsed="false">
      <c r="B31" s="88" t="s">
        <v>152</v>
      </c>
      <c r="C31" s="101" t="str">
        <f aca="false">'Historical Score'!$C$56</f>
        <v>Tighter tiers 1-5 too small; </v>
      </c>
      <c r="D31" s="101"/>
    </row>
    <row r="32" customFormat="false" ht="15" hidden="false" customHeight="false" outlineLevel="0" collapsed="false">
      <c r="B32" s="88" t="s">
        <v>153</v>
      </c>
      <c r="C32" s="101" t="str">
        <f aca="false">IF(COUNTIF(Deal!$F$38:$F$45,"RED")+COUNTIF(Deal!$F$38:$F$45,"KNOCKOUT")=0,"none",IF(Deal!$F$38="RED","total leverage; ","")&amp;IF(Deal!$F$39="RED","holdback; ","")&amp;IF(Deal!$F$40="RED","daily debt/balance; ","")&amp;IF(Deal!$F$41="RED","fund/revenue; ","")&amp;IF(Deal!$F$42="RED","positions; ","")&amp;IF(Deal!$F$43="RED","revenue trend; ","")&amp;IF(Deal!$F$44="RED","neg days/NSFs; ","")&amp;IF(Deal!$F$45="RED","credit; ","")&amp;IF(COUNTIF(Deal!$F$38:$F$45,"KNOCKOUT")&gt;0,"KNOCKOUT present",""))</f>
        <v>none</v>
      </c>
      <c r="D32" s="101"/>
    </row>
    <row r="33" customFormat="false" ht="15" hidden="false" customHeight="false" outlineLevel="0" collapsed="false">
      <c r="B33" s="88" t="s">
        <v>154</v>
      </c>
      <c r="C33" s="101" t="str">
        <f aca="false">IF(COUNTIF(Deal!$F$38:$F$45,"GREEN")=0,"none",IF(Deal!$F$38="GREEN","leverage; ","")&amp;IF(Deal!$F$39="GREEN","holdback; ","")&amp;IF(Deal!$F$40="GREEN","daily debt/balance; ","")&amp;IF(Deal!$F$41="GREEN","fund/revenue; ","")&amp;IF(Deal!$F$42="GREEN","positions; ","")&amp;IF(Deal!$F$43="GREEN","revenue trend; ","")&amp;IF(Deal!$F$44="GREEN","clean neg days/NSFs; ","")&amp;IF(Deal!$F$45="GREEN","credit; ",""))</f>
        <v>leverage; holdback; daily debt/balance; fund/revenue; positions; revenue trend; credit; </v>
      </c>
      <c r="D33" s="101"/>
    </row>
  </sheetData>
  <mergeCells count="8">
    <mergeCell ref="C26:D26"/>
    <mergeCell ref="C27:D27"/>
    <mergeCell ref="C28:D28"/>
    <mergeCell ref="C29:D29"/>
    <mergeCell ref="C30:D30"/>
    <mergeCell ref="C31:D31"/>
    <mergeCell ref="C32:D32"/>
    <mergeCell ref="C33:D33"/>
  </mergeCells>
  <conditionalFormatting sqref="C5">
    <cfRule type="cellIs" priority="2" operator="equal" aboveAverage="0" equalAverage="0" bottom="0" percent="0" rank="0" text="" dxfId="0">
      <formula>"APPROVE"</formula>
    </cfRule>
    <cfRule type="cellIs" priority="3" operator="equal" aboveAverage="0" equalAverage="0" bottom="0" percent="0" rank="0" text="" dxfId="1">
      <formula>"CONDITIONAL"</formula>
    </cfRule>
    <cfRule type="cellIs" priority="4" operator="equal" aboveAverage="0" equalAverage="0" bottom="0" percent="0" rank="0" text="" dxfId="2">
      <formula>"DECLINE"</formula>
    </cfRule>
    <cfRule type="cellIs" priority="5" operator="equal" aboveAverage="0" equalAverage="0" bottom="0" percent="0" rank="0" text="" dxfId="3">
      <formula>"MANUAL 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7" min="7" style="0" width="56"/>
  </cols>
  <sheetData>
    <row r="1" customFormat="false" ht="17.35" hidden="false" customHeight="false" outlineLevel="0" collapsed="false">
      <c r="B1" s="87" t="s">
        <v>155</v>
      </c>
    </row>
    <row r="2" customFormat="false" ht="15" hidden="false" customHeight="false" outlineLevel="0" collapsed="false">
      <c r="B2" s="86" t="s">
        <v>156</v>
      </c>
    </row>
    <row r="4" customFormat="false" ht="15" hidden="false" customHeight="false" outlineLevel="0" collapsed="false">
      <c r="A4" s="75"/>
      <c r="B4" s="75" t="s">
        <v>117</v>
      </c>
      <c r="C4" s="75" t="s">
        <v>157</v>
      </c>
      <c r="D4" s="75" t="s">
        <v>158</v>
      </c>
      <c r="E4" s="75" t="s">
        <v>159</v>
      </c>
      <c r="F4" s="75" t="s">
        <v>74</v>
      </c>
      <c r="G4" s="75" t="s">
        <v>160</v>
      </c>
    </row>
    <row r="5" customFormat="false" ht="15" hidden="false" customHeight="false" outlineLevel="0" collapsed="false">
      <c r="B5" s="99" t="s">
        <v>161</v>
      </c>
      <c r="C5" s="94" t="n">
        <f aca="false">IF(Deal!$C$24=0,"",MAX(0,MIN(Deal!$D$39*Deal!$C$24/Deal!$K$9,(Deal!$D$38*Deal!$C$24-Deal!$F$34)/Deal!$K$9,IF(Deal!$D$24=0,0,Deal!$D$40*Deal!$D$24-Deal!$E$34))))</f>
        <v>716.924497806511</v>
      </c>
      <c r="D5" s="94" t="n">
        <f aca="false">Deal!$C$70</f>
        <v>716.924497806511</v>
      </c>
      <c r="E5" s="82" t="n">
        <f aca="false">Deal!$C$70</f>
        <v>716.924497806511</v>
      </c>
      <c r="G5" s="86" t="s">
        <v>162</v>
      </c>
    </row>
    <row r="6" customFormat="false" ht="15" hidden="false" customHeight="false" outlineLevel="0" collapsed="false">
      <c r="B6" s="99" t="s">
        <v>163</v>
      </c>
      <c r="C6" s="93" t="n">
        <f aca="false">IF(OR(C5="",C5=0),"",MAX(20,MIN(INDEX(Controls!$B$19:$B$22,MATCH(Deal!$D$67,Controls!$A$19:$A$22,1)),FLOOR(Controls!$B$23*Deal!$K$9,5),FLOOR(Deal!$D$41*Deal!$C$24*C7/C5,5))))</f>
        <v>100</v>
      </c>
      <c r="D6" s="93" t="n">
        <f aca="false">Deal!$C$72</f>
        <v>100</v>
      </c>
      <c r="E6" s="81" t="n">
        <f aca="false">IF(OR(D6="",D8="-"),"",MAX(20,MIN(D6,INDEX(Controls!$B$19:$B$22,MAX(1,MATCH(Deal!$D$67,Controls!$A$19:$A$22,1)+C11)))))</f>
        <v>100</v>
      </c>
      <c r="G6" s="86" t="s">
        <v>164</v>
      </c>
    </row>
    <row r="7" customFormat="false" ht="15" hidden="false" customHeight="false" outlineLevel="0" collapsed="false">
      <c r="B7" s="99" t="s">
        <v>18</v>
      </c>
      <c r="C7" s="92" t="n">
        <f aca="false">Deal!$D$72</f>
        <v>1.45</v>
      </c>
      <c r="D7" s="92" t="n">
        <f aca="false">Deal!$D$72</f>
        <v>1.45</v>
      </c>
      <c r="E7" s="80" t="n">
        <f aca="false">IF(D7="","",INDEX(Controls!$B$24:$D$24,MIN(3,MAX(1,MATCH(D7,Controls!$B$24:$D$24,0)+C12))))</f>
        <v>1.45</v>
      </c>
      <c r="G7" s="86" t="s">
        <v>165</v>
      </c>
    </row>
    <row r="8" customFormat="false" ht="15" hidden="false" customHeight="false" outlineLevel="0" collapsed="false">
      <c r="B8" s="99" t="s">
        <v>17</v>
      </c>
      <c r="C8" s="102" t="n">
        <f aca="false">IF(COUNTIF(Deal!$F$42:$F$45,"KNOCKOUT")&gt;0,"-",IF(OR(C5="",C5=0,C6="",C7=""),"",FLOOR(C5*C6/C7,500)))</f>
        <v>49000</v>
      </c>
      <c r="D8" s="102" t="n">
        <f aca="false">Deal!$C$73</f>
        <v>49000</v>
      </c>
      <c r="E8" s="103" t="n">
        <f aca="false">IF(D8="-","-",IF(OR(D8="",E6="",E7=""),"",MAX(0,FLOOR(MIN(D8*C10,D5*E6/E7),500))))</f>
        <v>49000</v>
      </c>
      <c r="G8" s="86" t="s">
        <v>166</v>
      </c>
    </row>
    <row r="9" customFormat="false" ht="15" hidden="false" customHeight="false" outlineLevel="0" collapsed="false">
      <c r="B9" s="99" t="s">
        <v>167</v>
      </c>
      <c r="C9" s="94" t="n">
        <f aca="false">IF(OR(C8="",C8="-"),"",C8*C7/C6)</f>
        <v>710.5</v>
      </c>
      <c r="D9" s="94" t="n">
        <f aca="false">IF(OR(D8="",D8="-"),"",D8*D7/D6)</f>
        <v>710.5</v>
      </c>
      <c r="E9" s="82" t="n">
        <f aca="false">IF(OR(E8="",E8="-",E8=0),"",E8*E7/E6)</f>
        <v>710.5</v>
      </c>
      <c r="G9" s="86" t="s">
        <v>168</v>
      </c>
    </row>
    <row r="10" customFormat="false" ht="15" hidden="false" customHeight="false" outlineLevel="0" collapsed="false">
      <c r="B10" s="99" t="s">
        <v>169</v>
      </c>
      <c r="C10" s="92" t="n">
        <f aca="false">'Historical Score'!$C$43</f>
        <v>1</v>
      </c>
      <c r="G10" s="86"/>
    </row>
    <row r="11" customFormat="false" ht="15" hidden="false" customHeight="false" outlineLevel="0" collapsed="false">
      <c r="B11" s="99" t="s">
        <v>170</v>
      </c>
      <c r="C11" s="93" t="n">
        <f aca="false">'Historical Score'!$C$44</f>
        <v>0</v>
      </c>
      <c r="G11" s="86"/>
    </row>
    <row r="12" customFormat="false" ht="15" hidden="false" customHeight="false" outlineLevel="0" collapsed="false">
      <c r="B12" s="99" t="s">
        <v>171</v>
      </c>
      <c r="C12" s="93" t="n">
        <f aca="false">'Historical Score'!$C$45</f>
        <v>0</v>
      </c>
      <c r="G12" s="86"/>
    </row>
    <row r="13" customFormat="false" ht="15" hidden="false" customHeight="false" outlineLevel="0" collapsed="false">
      <c r="B13" s="99" t="s">
        <v>172</v>
      </c>
      <c r="C13" s="95" t="str">
        <f aca="false">'Historical Score'!$C$46</f>
        <v>As proposed</v>
      </c>
      <c r="G13" s="86"/>
    </row>
    <row r="14" customFormat="false" ht="15" hidden="false" customHeight="false" outlineLevel="0" collapsed="false">
      <c r="B14" s="99" t="s">
        <v>173</v>
      </c>
      <c r="C14" s="95" t="str">
        <f aca="false">'Historical Score'!$C$47</f>
        <v>N</v>
      </c>
      <c r="G14" s="86"/>
    </row>
    <row r="15" customFormat="false" ht="15" hidden="false" customHeight="false" outlineLevel="0" collapsed="false">
      <c r="B15" s="99" t="s">
        <v>174</v>
      </c>
      <c r="C15" s="96" t="n">
        <f aca="false">'Historical Score'!$C$42</f>
        <v>0</v>
      </c>
      <c r="G15" s="86" t="s">
        <v>175</v>
      </c>
    </row>
    <row r="16" customFormat="false" ht="15" hidden="false" customHeight="false" outlineLevel="0" collapsed="false">
      <c r="B16" s="99" t="s">
        <v>176</v>
      </c>
      <c r="C16" s="95" t="str">
        <f aca="false">IF(Deal!$E$6="","Daily",Deal!$E$6)</f>
        <v>Weekly</v>
      </c>
      <c r="D16" s="95" t="str">
        <f aca="false">IF(Deal!$E$6="","Daily",Deal!$E$6)</f>
        <v>Weekly</v>
      </c>
      <c r="E16" s="83" t="str">
        <f aca="false">IF(C13="Weekly","Weekly",IF(Deal!$E$6="","Daily",Deal!$E$6))</f>
        <v>Weekly</v>
      </c>
      <c r="G16" s="86"/>
    </row>
    <row r="17" customFormat="false" ht="15" hidden="false" customHeight="false" outlineLevel="0" collapsed="false">
      <c r="B17" s="99" t="s">
        <v>177</v>
      </c>
      <c r="C17" s="93" t="n">
        <f aca="false">IF(OR(C6="",C8="-"),"",IF(C16="Weekly",C6/5,C6))</f>
        <v>20</v>
      </c>
      <c r="D17" s="93" t="n">
        <f aca="false">IF(OR(D6="",D8="-"),"",IF(D16="Weekly",D6/5,D6))</f>
        <v>20</v>
      </c>
      <c r="E17" s="81" t="n">
        <f aca="false">IF(OR(E6="",E8="-"),"",IF(E16="Weekly",E6/5,E6))</f>
        <v>20</v>
      </c>
      <c r="G17" s="86" t="s">
        <v>178</v>
      </c>
    </row>
    <row r="18" customFormat="false" ht="15" hidden="false" customHeight="false" outlineLevel="0" collapsed="false">
      <c r="B18" s="99" t="s">
        <v>179</v>
      </c>
      <c r="C18" s="94" t="n">
        <f aca="false">IF(C9="","",IF(C16="Weekly",C9*5,C9))</f>
        <v>3552.5</v>
      </c>
      <c r="D18" s="94" t="n">
        <f aca="false">IF(D9="","",IF(D16="Weekly",D9*5,D9))</f>
        <v>3552.5</v>
      </c>
      <c r="E18" s="82" t="n">
        <f aca="false">IF(E9="","",IF(E16="Weekly",E9*5,E9))</f>
        <v>3552.5</v>
      </c>
      <c r="G18" s="86"/>
    </row>
    <row r="19" customFormat="false" ht="15" hidden="false" customHeight="false" outlineLevel="0" collapsed="false">
      <c r="B19" s="99" t="s">
        <v>180</v>
      </c>
      <c r="C19" s="102" t="n">
        <f aca="false">IF(C9="","",C9*Controls!$B$29)</f>
        <v>15385.8775</v>
      </c>
      <c r="D19" s="102" t="n">
        <f aca="false">IF(D9="","",D9*Controls!$B$29)</f>
        <v>15385.8775</v>
      </c>
      <c r="E19" s="103" t="n">
        <f aca="false">IF(E9="","",E9*Controls!$B$29)</f>
        <v>15385.8775</v>
      </c>
      <c r="G19" s="86"/>
    </row>
    <row r="20" customFormat="false" ht="15" hidden="false" customHeight="false" outlineLevel="0" collapsed="false">
      <c r="B20" s="99" t="s">
        <v>26</v>
      </c>
      <c r="C20" s="102" t="n">
        <f aca="false">IF(OR(C8="",C8="-"),"",C8*C7)</f>
        <v>71050</v>
      </c>
      <c r="D20" s="102" t="n">
        <f aca="false">IF(OR(D8="",D8="-"),"",D8*D7)</f>
        <v>71050</v>
      </c>
      <c r="E20" s="103" t="n">
        <f aca="false">IF(OR(E8="",E8="-"),"",E8*E7)</f>
        <v>71050</v>
      </c>
      <c r="G20" s="86"/>
    </row>
    <row r="21" customFormat="false" ht="15" hidden="false" customHeight="false" outlineLevel="0" collapsed="false">
      <c r="B21" s="99" t="s">
        <v>181</v>
      </c>
      <c r="C21" s="102" t="n">
        <f aca="false">IF(OR(C8="",C8="-"),"",C8*(1-Controls!$B$15))</f>
        <v>46550</v>
      </c>
      <c r="D21" s="102" t="n">
        <f aca="false">IF(OR(D8="",D8="-"),"",D8*(1-Controls!$B$15))</f>
        <v>46550</v>
      </c>
      <c r="E21" s="103" t="n">
        <f aca="false">IF(OR(E8="",E8="-"),"",E8*(1-Controls!$B$15))</f>
        <v>46550</v>
      </c>
      <c r="G21" s="86"/>
    </row>
    <row r="22" customFormat="false" ht="15" hidden="false" customHeight="false" outlineLevel="0" collapsed="false">
      <c r="B22" s="99" t="s">
        <v>182</v>
      </c>
      <c r="C22" s="98" t="n">
        <f aca="false">IF(C6="","",C6/Controls!$B$29)</f>
        <v>4.6178711613946</v>
      </c>
      <c r="D22" s="98" t="n">
        <f aca="false">IF(D6="","",D6/Controls!$B$29)</f>
        <v>4.6178711613946</v>
      </c>
      <c r="E22" s="104" t="n">
        <f aca="false">IF(E6="","",E6/Controls!$B$29)</f>
        <v>4.6178711613946</v>
      </c>
      <c r="G22" s="86"/>
    </row>
    <row r="24" customFormat="false" ht="15" hidden="false" customHeight="false" outlineLevel="0" collapsed="false">
      <c r="B24" s="8" t="s">
        <v>183</v>
      </c>
      <c r="C24" s="8"/>
      <c r="D24" s="8"/>
      <c r="E24" s="8"/>
      <c r="F24" s="8"/>
      <c r="G24" s="8"/>
    </row>
    <row r="25" customFormat="false" ht="15" hidden="false" customHeight="false" outlineLevel="0" collapsed="false">
      <c r="A25" s="75"/>
      <c r="B25" s="75" t="s">
        <v>21</v>
      </c>
      <c r="C25" s="75" t="s">
        <v>184</v>
      </c>
      <c r="D25" s="75" t="s">
        <v>185</v>
      </c>
      <c r="E25" s="75" t="s">
        <v>186</v>
      </c>
      <c r="F25" s="75" t="s">
        <v>187</v>
      </c>
      <c r="G25" s="75" t="s">
        <v>188</v>
      </c>
    </row>
    <row r="26" customFormat="false" ht="15" hidden="false" customHeight="false" outlineLevel="0" collapsed="false">
      <c r="B26" s="99" t="s">
        <v>77</v>
      </c>
      <c r="C26" s="97" t="n">
        <f aca="false">IF(OR(Deal!$C$24=0,C9=""),"",(Deal!$E$34+C9)*Controls!$B$29/Deal!$C$24)</f>
        <v>0.178386985507246</v>
      </c>
      <c r="D26" s="97" t="n">
        <f aca="false">IF(OR(Deal!$C$24=0,D9=""),"",(Deal!$E$34+D9)*Controls!$B$29/Deal!$C$24)</f>
        <v>0.178386985507246</v>
      </c>
      <c r="E26" s="85" t="n">
        <f aca="false">IF(OR(Deal!$C$24=0,E9=""),"",(Deal!$E$34+E9)*Controls!$B$29/Deal!$C$24)</f>
        <v>0.178386985507246</v>
      </c>
      <c r="F26" s="83" t="str">
        <f aca="false">IF(E26="","",IF(E26&gt;=Controls!$D$5,"KNOCKOUT",IF(E26&lt;=Controls!$B$5,"GREEN",IF(E26&gt;=Controls!$C$5,"RED","YELLOW"))))</f>
        <v>GREEN</v>
      </c>
      <c r="G26" s="35" t="str">
        <f aca="false">TEXT(Controls!$B$5,"0.0%")&amp;" / "&amp;TEXT(Controls!$C$5,"0.0%")&amp;" / "&amp;TEXT(Controls!$D$5,"0.0%")</f>
        <v>30.0% / 45.0% / 55.0%</v>
      </c>
    </row>
    <row r="27" customFormat="false" ht="15" hidden="false" customHeight="false" outlineLevel="0" collapsed="false">
      <c r="B27" s="99" t="s">
        <v>78</v>
      </c>
      <c r="C27" s="97" t="n">
        <f aca="false">IF(OR(Deal!$C$24=0,C9=""),"",C9*Controls!$B$29/Deal!$C$24)</f>
        <v>0.178386985507246</v>
      </c>
      <c r="D27" s="97" t="n">
        <f aca="false">IF(OR(Deal!$C$24=0,D9=""),"",D9*Controls!$B$29/Deal!$C$24)</f>
        <v>0.178386985507246</v>
      </c>
      <c r="E27" s="85" t="n">
        <f aca="false">IF(OR(Deal!$C$24=0,E9=""),"",E9*Controls!$B$29/Deal!$C$24)</f>
        <v>0.178386985507246</v>
      </c>
      <c r="F27" s="83" t="str">
        <f aca="false">IF(E27="","",IF(E27&gt;=Controls!$D$6,"KNOCKOUT",IF(E27&lt;=Controls!$B$6,"GREEN",IF(E27&gt;=Controls!$C$6,"RED","YELLOW"))))</f>
        <v>GREEN</v>
      </c>
      <c r="G27" s="35" t="str">
        <f aca="false">TEXT(Controls!$B$6,"0.0%")&amp;" / "&amp;TEXT(Controls!$C$6,"0.0%")&amp;" / "&amp;TEXT(Controls!$D$6,"0.0%")</f>
        <v>18.0% / 25.0% / 35.0%</v>
      </c>
    </row>
    <row r="28" customFormat="false" ht="15" hidden="false" customHeight="false" outlineLevel="0" collapsed="false">
      <c r="B28" s="99" t="s">
        <v>79</v>
      </c>
      <c r="C28" s="97" t="n">
        <f aca="false">IF(OR(Deal!$D$24=0,C9=""),"",(Deal!$E$34+C9)/Deal!$D$24)</f>
        <v>0.0983391003460208</v>
      </c>
      <c r="D28" s="97" t="n">
        <f aca="false">IF(OR(Deal!$D$24=0,D9=""),"",(Deal!$E$34+D9)/Deal!$D$24)</f>
        <v>0.0983391003460208</v>
      </c>
      <c r="E28" s="85" t="n">
        <f aca="false">IF(OR(Deal!$D$24=0,E9=""),"",(Deal!$E$34+E9)/Deal!$D$24)</f>
        <v>0.0983391003460208</v>
      </c>
      <c r="F28" s="83" t="str">
        <f aca="false">IF(E28="","",IF(E28&gt;=Controls!$D$7,"KNOCKOUT",IF(E28&lt;=Controls!$B$7,"GREEN",IF(E28&gt;=Controls!$C$7,"RED","YELLOW"))))</f>
        <v>GREEN</v>
      </c>
      <c r="G28" s="35" t="str">
        <f aca="false">TEXT(Controls!$B$7,"0.0%")&amp;" / "&amp;TEXT(Controls!$C$7,"0.0%")&amp;" / "&amp;TEXT(Controls!$D$7,"0.0%")</f>
        <v>18.0% / 30.0% / 35.0%</v>
      </c>
    </row>
    <row r="29" customFormat="false" ht="15" hidden="false" customHeight="false" outlineLevel="0" collapsed="false">
      <c r="B29" s="99" t="s">
        <v>80</v>
      </c>
      <c r="C29" s="92" t="n">
        <f aca="false">IF(OR(Deal!$C$24=0,C8="",C8="-"),"",C8/Deal!$C$24)</f>
        <v>0.568115942028986</v>
      </c>
      <c r="D29" s="92" t="n">
        <f aca="false">IF(OR(Deal!$C$24=0,D8="",D8="-"),"",D8/Deal!$C$24)</f>
        <v>0.568115942028986</v>
      </c>
      <c r="E29" s="80" t="n">
        <f aca="false">IF(OR(Deal!$C$24=0,E8="",E8="-"),"",E8/Deal!$C$24)</f>
        <v>0.568115942028986</v>
      </c>
      <c r="F29" s="83" t="str">
        <f aca="false">IF(E29="","",IF(E29&gt;=Controls!$D$8,"KNOCKOUT",IF(E29&lt;=Controls!$B$8,"GREEN",IF(E29&gt;=Controls!$C$8,"RED","YELLOW"))))</f>
        <v>GREEN</v>
      </c>
      <c r="G29" s="35" t="str">
        <f aca="false">TEXT(Controls!$B$8,"0.00")&amp;" / "&amp;TEXT(Controls!$C$8,"0.00")&amp;" / "&amp;TEXT(Controls!$D$8,"0.00")</f>
        <v>0.60 / 0.90 / 1.25</v>
      </c>
    </row>
    <row r="30" customFormat="false" ht="15" hidden="false" customHeight="false" outlineLevel="0" collapsed="false">
      <c r="B30" s="99" t="s">
        <v>81</v>
      </c>
      <c r="E30" s="93" t="n">
        <f aca="false">Deal!$C$42</f>
        <v>1</v>
      </c>
      <c r="F30" s="83" t="str">
        <f aca="false">Deal!$F$42</f>
        <v>GREEN</v>
      </c>
      <c r="G30" s="86" t="s">
        <v>189</v>
      </c>
    </row>
    <row r="31" customFormat="false" ht="15" hidden="false" customHeight="false" outlineLevel="0" collapsed="false">
      <c r="B31" s="99" t="s">
        <v>82</v>
      </c>
      <c r="E31" s="97" t="n">
        <f aca="false">Deal!$C$43</f>
        <v>0.0268173560856488</v>
      </c>
      <c r="F31" s="83" t="str">
        <f aca="false">Deal!$F$43</f>
        <v>GREEN</v>
      </c>
      <c r="G31" s="86" t="s">
        <v>189</v>
      </c>
    </row>
    <row r="32" customFormat="false" ht="15" hidden="false" customHeight="false" outlineLevel="0" collapsed="false">
      <c r="B32" s="99" t="s">
        <v>83</v>
      </c>
      <c r="E32" s="93" t="n">
        <f aca="false">Deal!$C$44</f>
        <v>2</v>
      </c>
      <c r="F32" s="83" t="str">
        <f aca="false">Deal!$F$44</f>
        <v>YELLOW</v>
      </c>
      <c r="G32" s="86" t="s">
        <v>189</v>
      </c>
    </row>
    <row r="33" customFormat="false" ht="15" hidden="false" customHeight="false" outlineLevel="0" collapsed="false">
      <c r="B33" s="99" t="s">
        <v>55</v>
      </c>
      <c r="E33" s="93" t="n">
        <f aca="false">Deal!$C$45</f>
        <v>672</v>
      </c>
      <c r="F33" s="83" t="str">
        <f aca="false">Deal!$F$45</f>
        <v>GREEN</v>
      </c>
      <c r="G33" s="86" t="s">
        <v>189</v>
      </c>
    </row>
    <row r="35" customFormat="false" ht="15" hidden="false" customHeight="false" outlineLevel="0" collapsed="false">
      <c r="B35" s="8" t="s">
        <v>190</v>
      </c>
      <c r="C35" s="8"/>
      <c r="D35" s="8"/>
      <c r="E35" s="8"/>
      <c r="F35" s="8"/>
      <c r="G35" s="8"/>
    </row>
    <row r="36" customFormat="false" ht="15" hidden="false" customHeight="false" outlineLevel="0" collapsed="false">
      <c r="B36" s="99" t="s">
        <v>191</v>
      </c>
      <c r="E36" s="83" t="str">
        <f aca="false">IF(OR(E8="",E8="-",D8="",D8="-"),"OK",IF(E8&lt;=D8,"OK","FAIL"))</f>
        <v>OK</v>
      </c>
    </row>
    <row r="37" customFormat="false" ht="15" hidden="false" customHeight="false" outlineLevel="0" collapsed="false">
      <c r="B37" s="99" t="s">
        <v>192</v>
      </c>
      <c r="E37" s="83" t="str">
        <f aca="false">IF(OR(E9="",D5=""),"OK",IF(E9&lt;=D5+0.005,"OK","FAIL"))</f>
        <v>OK</v>
      </c>
    </row>
    <row r="38" customFormat="false" ht="15" hidden="false" customHeight="false" outlineLevel="0" collapsed="false">
      <c r="B38" s="99" t="s">
        <v>193</v>
      </c>
      <c r="E38" s="83" t="str">
        <f aca="false">IF(COUNTIF(F26:F29,"RED")+COUNTIF(F26:F29,"KNOCKOUT")=0,"OK","FAIL")</f>
        <v>OK</v>
      </c>
    </row>
    <row r="39" customFormat="false" ht="15" hidden="false" customHeight="false" outlineLevel="0" collapsed="false">
      <c r="B39" s="99" t="s">
        <v>194</v>
      </c>
      <c r="E39" s="83" t="str">
        <f aca="false">IF(COUNTIF(Deal!$F$42:$F$45,"KNOCKOUT")&gt;0,IF(E8="-","OK","FAIL"),"OK")</f>
        <v>OK</v>
      </c>
    </row>
    <row r="40" customFormat="false" ht="15" hidden="false" customHeight="false" outlineLevel="0" collapsed="false">
      <c r="B40" s="99" t="s">
        <v>195</v>
      </c>
      <c r="E40" s="83" t="str">
        <f aca="false">IF(C15&lt;1,"OK","FAIL")</f>
        <v>OK</v>
      </c>
    </row>
    <row r="41" customFormat="false" ht="15" hidden="false" customHeight="false" outlineLevel="0" collapsed="false">
      <c r="B41" s="99" t="s">
        <v>196</v>
      </c>
      <c r="E41" s="83" t="n">
        <f aca="false">COUNTIF(F26:F33,"RED")+COUNTIF(F26:F33,"KNOCKOUT")</f>
        <v>0</v>
      </c>
    </row>
  </sheetData>
  <mergeCells count="2">
    <mergeCell ref="B24:G24"/>
    <mergeCell ref="B35:G35"/>
  </mergeCells>
  <conditionalFormatting sqref="F26:F33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"YELLOW"</formula>
    </cfRule>
    <cfRule type="cellIs" priority="4" operator="equal" aboveAverage="0" equalAverage="0" bottom="0" percent="0" rank="0" text="" dxfId="2">
      <formula>"RED"</formula>
    </cfRule>
    <cfRule type="cellIs" priority="5" operator="equal" aboveAverage="0" equalAverage="0" bottom="0" percent="0" rank="0" text="" dxfId="2">
      <formula>"KNOCKOUT"</formula>
    </cfRule>
  </conditionalFormatting>
  <conditionalFormatting sqref="E36:E40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"WARN"</formula>
    </cfRule>
    <cfRule type="cellIs" priority="8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27" min="4" style="0" width="10"/>
  </cols>
  <sheetData>
    <row r="1" customFormat="false" ht="17.35" hidden="false" customHeight="false" outlineLevel="0" collapsed="false">
      <c r="A1" s="87" t="s">
        <v>197</v>
      </c>
    </row>
    <row r="2" customFormat="false" ht="15" hidden="false" customHeight="false" outlineLevel="0" collapsed="false">
      <c r="A2" s="86" t="s">
        <v>198</v>
      </c>
    </row>
    <row r="4" customFormat="false" ht="15" hidden="false" customHeight="false" outlineLevel="0" collapsed="false">
      <c r="A4" s="8" t="s">
        <v>199</v>
      </c>
      <c r="B4" s="8"/>
      <c r="C4" s="8"/>
    </row>
    <row r="5" customFormat="false" ht="15" hidden="false" customHeight="false" outlineLevel="0" collapsed="false">
      <c r="B5" s="99" t="s">
        <v>53</v>
      </c>
      <c r="C5" s="83" t="str">
        <f aca="false">IF(Deal!$K$15="","",Deal!$K$15)</f>
        <v>New Deal</v>
      </c>
    </row>
    <row r="6" customFormat="false" ht="15" hidden="false" customHeight="false" outlineLevel="0" collapsed="false">
      <c r="B6" s="99" t="s">
        <v>200</v>
      </c>
      <c r="C6" s="81" t="n">
        <f aca="false">IF(Deal!$C$42="","",Deal!$C$42)</f>
        <v>1</v>
      </c>
    </row>
    <row r="7" customFormat="false" ht="15" hidden="false" customHeight="false" outlineLevel="0" collapsed="false">
      <c r="B7" s="99" t="s">
        <v>94</v>
      </c>
      <c r="C7" s="83" t="str">
        <f aca="false">IF(Deal!$K$13="","",Deal!$K$13)</f>
        <v>Eating &amp; Drinking Places</v>
      </c>
    </row>
    <row r="8" customFormat="false" ht="15" hidden="false" customHeight="false" outlineLevel="0" collapsed="false">
      <c r="B8" s="99" t="s">
        <v>44</v>
      </c>
      <c r="C8" s="83" t="str">
        <f aca="false">IF(Deal!$K$12="","",Deal!$K$12)</f>
        <v>Fundwell</v>
      </c>
    </row>
    <row r="9" customFormat="false" ht="15" hidden="false" customHeight="false" outlineLevel="0" collapsed="false">
      <c r="B9" s="99" t="s">
        <v>201</v>
      </c>
      <c r="C9" s="83" t="str">
        <f aca="false">IF(Deal!$K$14="","",Deal!$K$14)</f>
        <v>NJ</v>
      </c>
    </row>
    <row r="10" customFormat="false" ht="15" hidden="false" customHeight="false" outlineLevel="0" collapsed="false">
      <c r="B10" s="99" t="s">
        <v>202</v>
      </c>
      <c r="C10" s="85" t="n">
        <f aca="false">IF($L$20="",0,$L$20)</f>
        <v>0.41</v>
      </c>
    </row>
    <row r="11" customFormat="false" ht="15" hidden="false" customHeight="false" outlineLevel="0" collapsed="false">
      <c r="B11" s="99" t="s">
        <v>203</v>
      </c>
      <c r="C11" s="83" t="str">
        <f aca="false">TEXT($E$20,"#,##0")&amp;" / "&amp;TEXT($G$20,"$#,##0")</f>
        <v>7 / $150,000</v>
      </c>
    </row>
    <row r="13" customFormat="false" ht="39.75" hidden="false" customHeight="true" outlineLevel="0" collapsed="false">
      <c r="A13" s="75" t="s">
        <v>204</v>
      </c>
      <c r="B13" s="75" t="s">
        <v>89</v>
      </c>
      <c r="C13" s="75" t="s">
        <v>205</v>
      </c>
      <c r="D13" s="75" t="s">
        <v>206</v>
      </c>
      <c r="E13" s="75" t="s">
        <v>207</v>
      </c>
      <c r="F13" s="75" t="s">
        <v>208</v>
      </c>
      <c r="G13" s="75" t="s">
        <v>209</v>
      </c>
      <c r="H13" s="75" t="s">
        <v>210</v>
      </c>
      <c r="I13" s="75" t="s">
        <v>211</v>
      </c>
      <c r="J13" s="75" t="s">
        <v>212</v>
      </c>
      <c r="K13" s="75" t="s">
        <v>213</v>
      </c>
      <c r="L13" s="75" t="s">
        <v>214</v>
      </c>
      <c r="M13" s="75" t="s">
        <v>215</v>
      </c>
      <c r="N13" s="75" t="s">
        <v>216</v>
      </c>
      <c r="O13" s="75" t="s">
        <v>217</v>
      </c>
      <c r="P13" s="75" t="s">
        <v>218</v>
      </c>
      <c r="Q13" s="75" t="s">
        <v>219</v>
      </c>
      <c r="R13" s="75" t="s">
        <v>220</v>
      </c>
      <c r="S13" s="75" t="s">
        <v>221</v>
      </c>
      <c r="T13" s="75" t="s">
        <v>222</v>
      </c>
      <c r="U13" s="75" t="s">
        <v>223</v>
      </c>
      <c r="V13" s="75" t="s">
        <v>224</v>
      </c>
      <c r="W13" s="75" t="s">
        <v>90</v>
      </c>
      <c r="X13" s="75" t="s">
        <v>225</v>
      </c>
      <c r="Y13" s="75" t="s">
        <v>226</v>
      </c>
      <c r="Z13" s="75" t="s">
        <v>227</v>
      </c>
      <c r="AA13" s="75" t="s">
        <v>228</v>
      </c>
    </row>
    <row r="14" customFormat="false" ht="15" hidden="false" customHeight="false" outlineLevel="0" collapsed="false">
      <c r="A14" s="83" t="n">
        <v>1</v>
      </c>
      <c r="B14" s="99" t="s">
        <v>229</v>
      </c>
      <c r="C14" s="99" t="s">
        <v>230</v>
      </c>
      <c r="D14" s="95" t="n">
        <f aca="false">SUMPRODUCT('Historical Data'!$AV$2:$AV$9*'Historical Data'!$AD$2:$AD$9)</f>
        <v>1</v>
      </c>
      <c r="E14" s="95" t="n">
        <f aca="false">SUMPRODUCT('Historical Data'!$AV$2:$AV$9*'Historical Data'!$AP$2:$AP$9)</f>
        <v>1</v>
      </c>
      <c r="F14" s="97" t="n">
        <f aca="false">IF(D14=0,"",E14/D14)</f>
        <v>1</v>
      </c>
      <c r="G14" s="102" t="n">
        <f aca="false">SUMPRODUCT('Historical Data'!$AV$2:$AV$9*'Historical Data'!$AP$2:$AP$9*'Historical Data'!$N$2:$N$9)</f>
        <v>10000</v>
      </c>
      <c r="H14" s="95" t="n">
        <f aca="false">SUMPRODUCT('Historical Data'!$AV$2:$AV$9*'Historical Data'!$AP$2:$AP$9*'Historical Data'!$AH$2:$AH$9)</f>
        <v>0</v>
      </c>
      <c r="I14" s="97" t="n">
        <f aca="false">IF(E14=0,"",H14/E14)</f>
        <v>0</v>
      </c>
      <c r="J14" s="95" t="n">
        <f aca="false">SUMPRODUCT('Historical Data'!$AV$2:$AV$9*'Historical Data'!$AP$2:$AP$9*'Historical Data'!$AE$2:$AE$9)</f>
        <v>0</v>
      </c>
      <c r="K14" s="97" t="n">
        <f aca="false">IF(E14=0,"",J14/E14)</f>
        <v>0</v>
      </c>
      <c r="L14" s="97" t="str">
        <f aca="false">IF(OR(E14&lt;Controls!$B$43,G14=0),"",SUMPRODUCT('Historical Data'!$AV$2:$AV$9*'Historical Data'!$AP$2:$AP$9*'Historical Data'!$AK$2:$AK$9)/G14)</f>
        <v/>
      </c>
      <c r="M14" s="97" t="str">
        <f aca="false">IF(OR(E14&lt;Controls!$B$43,SUMPRODUCT('Historical Data'!$AV$2:$AV$9*'Historical Data'!$AP$2:$AP$9*'Historical Data'!$AE$2:$AE$9*'Historical Data'!$N$2:$N$9)=0),"",SUMPRODUCT('Historical Data'!$AV$2:$AV$9*'Historical Data'!$AP$2:$AP$9*'Historical Data'!$AE$2:$AE$9*'Historical Data'!$Q$2:$Q$9)/SUMPRODUCT('Historical Data'!$AV$2:$AV$9*'Historical Data'!$AP$2:$AP$9*'Historical Data'!$AE$2:$AE$9*'Historical Data'!$N$2:$N$9))</f>
        <v/>
      </c>
      <c r="N14" s="97" t="str">
        <f aca="false">IF(OR(E14&lt;Controls!$B$43,G14=0),"",SUMPRODUCT('Historical Data'!$AV$2:$AV$9*'Historical Data'!$AP$2:$AP$9*'Historical Data'!$AJ$2:$AJ$9)/G14)</f>
        <v/>
      </c>
      <c r="O14" s="92" t="n">
        <f aca="false">IF(SUMPRODUCT('Historical Data'!$AV$2:$AV$9*'Historical Data'!$AP$2:$AP$9*'Historical Data'!$AM$2:$AM$9)=0,"",SUMPRODUCT('Historical Data'!$AV$2:$AV$9*'Historical Data'!$AP$2:$AP$9*'Historical Data'!$AM$2:$AM$9*'Historical Data'!$AL$2:$AL$9)/SUMPRODUCT('Historical Data'!$AV$2:$AV$9*'Historical Data'!$AP$2:$AP$9*'Historical Data'!$AM$2:$AM$9))</f>
        <v>0.2</v>
      </c>
      <c r="P14" s="93" t="n">
        <f aca="false">IF(E14=0,"",SUMPRODUCT('Historical Data'!$AV$2:$AV$9*'Historical Data'!$AP$2:$AP$9*'Historical Data'!$AA$2:$AA$9)/E14)</f>
        <v>108.275</v>
      </c>
      <c r="Q14" s="92" t="n">
        <f aca="false">IF(E14=0,"",SUMPRODUCT('Historical Data'!$AV$2:$AV$9*'Historical Data'!$AP$2:$AP$9*'Historical Data'!$M$2:$M$9)/E14)</f>
        <v>1.5</v>
      </c>
      <c r="R14" s="102" t="n">
        <f aca="false">IF(E14=0,"",G14/E14)</f>
        <v>10000</v>
      </c>
      <c r="S14" s="93" t="n">
        <f aca="false">IF(E14=0,"",SUMPRODUCT('Historical Data'!$AV$2:$AV$9*'Historical Data'!$AP$2:$AP$9*'Historical Data'!$AN$2:$AN$9)/E14)</f>
        <v>105</v>
      </c>
      <c r="T14" s="97" t="n">
        <f aca="false">IF(E14=0,"",SUMPRODUCT('Historical Data'!$AV$2:$AV$9*'Historical Data'!$AP$2:$AP$9*'Historical Data'!$AO$2:$AO$9)/E14)</f>
        <v>0</v>
      </c>
      <c r="U14" s="95" t="str">
        <f aca="false">IF(AND(E14&gt;=Controls!$B$40,G14&gt;=Controls!$B$41),"Yes","No")</f>
        <v>No</v>
      </c>
      <c r="V14" s="92" t="n">
        <f aca="false">IF(E14+Controls!$B$42=0,0,E14/(E14+Controls!$B$42))</f>
        <v>0.032258064516129</v>
      </c>
      <c r="W14" s="97" t="n">
        <f aca="false">IF(L14="",$C$10,V14*L14+(1-V14)*$C$10)</f>
        <v>0.41</v>
      </c>
      <c r="X14" s="92" t="n">
        <f aca="false">IF(OR($C$10="",$C$10=0),"",W14/$C$10)</f>
        <v>1</v>
      </c>
      <c r="Y14" s="95" t="n">
        <f aca="false">IF(U14="Yes",1,0)</f>
        <v>0</v>
      </c>
      <c r="Z14" s="97" t="n">
        <f aca="false">IF(L14="",0,ABS(W14-$C$10))</f>
        <v>0</v>
      </c>
      <c r="AA14" s="95" t="str">
        <f aca="false">IF(L14="","No","Yes")</f>
        <v>No</v>
      </c>
    </row>
    <row r="15" customFormat="false" ht="15" hidden="false" customHeight="false" outlineLevel="0" collapsed="false">
      <c r="A15" s="83" t="n">
        <v>2</v>
      </c>
      <c r="B15" s="99" t="s">
        <v>231</v>
      </c>
      <c r="C15" s="99" t="s">
        <v>232</v>
      </c>
      <c r="D15" s="95" t="n">
        <f aca="false">SUMPRODUCT('Historical Data'!$AW$2:$AW$9*'Historical Data'!$AD$2:$AD$9)</f>
        <v>2</v>
      </c>
      <c r="E15" s="95" t="n">
        <f aca="false">SUMPRODUCT('Historical Data'!$AW$2:$AW$9*'Historical Data'!$AP$2:$AP$9)</f>
        <v>1</v>
      </c>
      <c r="F15" s="97" t="n">
        <f aca="false">IF(D15=0,"",E15/D15)</f>
        <v>0.5</v>
      </c>
      <c r="G15" s="102" t="n">
        <f aca="false">SUMPRODUCT('Historical Data'!$AW$2:$AW$9*'Historical Data'!$AP$2:$AP$9*'Historical Data'!$N$2:$N$9)</f>
        <v>10000</v>
      </c>
      <c r="H15" s="95" t="n">
        <f aca="false">SUMPRODUCT('Historical Data'!$AW$2:$AW$9*'Historical Data'!$AP$2:$AP$9*'Historical Data'!$AH$2:$AH$9)</f>
        <v>0</v>
      </c>
      <c r="I15" s="97" t="n">
        <f aca="false">IF(E15=0,"",H15/E15)</f>
        <v>0</v>
      </c>
      <c r="J15" s="95" t="n">
        <f aca="false">SUMPRODUCT('Historical Data'!$AW$2:$AW$9*'Historical Data'!$AP$2:$AP$9*'Historical Data'!$AE$2:$AE$9)</f>
        <v>0</v>
      </c>
      <c r="K15" s="97" t="n">
        <f aca="false">IF(E15=0,"",J15/E15)</f>
        <v>0</v>
      </c>
      <c r="L15" s="97" t="str">
        <f aca="false">IF(OR(E15&lt;Controls!$B$43,G15=0),"",SUMPRODUCT('Historical Data'!$AW$2:$AW$9*'Historical Data'!$AP$2:$AP$9*'Historical Data'!$AK$2:$AK$9)/G15)</f>
        <v/>
      </c>
      <c r="M15" s="97" t="str">
        <f aca="false">IF(OR(E15&lt;Controls!$B$43,SUMPRODUCT('Historical Data'!$AW$2:$AW$9*'Historical Data'!$AP$2:$AP$9*'Historical Data'!$AE$2:$AE$9*'Historical Data'!$N$2:$N$9)=0),"",SUMPRODUCT('Historical Data'!$AW$2:$AW$9*'Historical Data'!$AP$2:$AP$9*'Historical Data'!$AE$2:$AE$9*'Historical Data'!$Q$2:$Q$9)/SUMPRODUCT('Historical Data'!$AW$2:$AW$9*'Historical Data'!$AP$2:$AP$9*'Historical Data'!$AE$2:$AE$9*'Historical Data'!$N$2:$N$9))</f>
        <v/>
      </c>
      <c r="N15" s="97" t="str">
        <f aca="false">IF(OR(E15&lt;Controls!$B$43,G15=0),"",SUMPRODUCT('Historical Data'!$AW$2:$AW$9*'Historical Data'!$AP$2:$AP$9*'Historical Data'!$AJ$2:$AJ$9)/G15)</f>
        <v/>
      </c>
      <c r="O15" s="92" t="n">
        <f aca="false">IF(SUMPRODUCT('Historical Data'!$AW$2:$AW$9*'Historical Data'!$AP$2:$AP$9*'Historical Data'!$AM$2:$AM$9)=0,"",SUMPRODUCT('Historical Data'!$AW$2:$AW$9*'Historical Data'!$AP$2:$AP$9*'Historical Data'!$AM$2:$AM$9*'Historical Data'!$AL$2:$AL$9)/SUMPRODUCT('Historical Data'!$AW$2:$AW$9*'Historical Data'!$AP$2:$AP$9*'Historical Data'!$AM$2:$AM$9))</f>
        <v>0.2</v>
      </c>
      <c r="P15" s="93" t="n">
        <f aca="false">IF(E15=0,"",SUMPRODUCT('Historical Data'!$AW$2:$AW$9*'Historical Data'!$AP$2:$AP$9*'Historical Data'!$AA$2:$AA$9)/E15)</f>
        <v>108.275</v>
      </c>
      <c r="Q15" s="92" t="n">
        <f aca="false">IF(E15=0,"",SUMPRODUCT('Historical Data'!$AW$2:$AW$9*'Historical Data'!$AP$2:$AP$9*'Historical Data'!$M$2:$M$9)/E15)</f>
        <v>1.5</v>
      </c>
      <c r="R15" s="102" t="n">
        <f aca="false">IF(E15=0,"",G15/E15)</f>
        <v>10000</v>
      </c>
      <c r="S15" s="93" t="n">
        <f aca="false">IF(E15=0,"",SUMPRODUCT('Historical Data'!$AW$2:$AW$9*'Historical Data'!$AP$2:$AP$9*'Historical Data'!$AN$2:$AN$9)/E15)</f>
        <v>105</v>
      </c>
      <c r="T15" s="97" t="n">
        <f aca="false">IF(E15=0,"",SUMPRODUCT('Historical Data'!$AW$2:$AW$9*'Historical Data'!$AP$2:$AP$9*'Historical Data'!$AO$2:$AO$9)/E15)</f>
        <v>0</v>
      </c>
      <c r="U15" s="95" t="str">
        <f aca="false">IF(AND(E15&gt;=Controls!$B$40,G15&gt;=Controls!$B$41),"Yes","No")</f>
        <v>No</v>
      </c>
      <c r="V15" s="92" t="n">
        <f aca="false">IF(E15+Controls!$B$42=0,0,E15/(E15+Controls!$B$42))</f>
        <v>0.032258064516129</v>
      </c>
      <c r="W15" s="97" t="n">
        <f aca="false">IF(L15="",$C$10,V15*L15+(1-V15)*$C$10)</f>
        <v>0.41</v>
      </c>
      <c r="X15" s="92" t="n">
        <f aca="false">IF(OR($C$10="",$C$10=0),"",W15/$C$10)</f>
        <v>1</v>
      </c>
      <c r="Y15" s="95" t="n">
        <f aca="false">IF(U15="Yes",1,0)</f>
        <v>0</v>
      </c>
      <c r="Z15" s="97" t="n">
        <f aca="false">IF(L15="",0,ABS(W15-$C$10))</f>
        <v>0</v>
      </c>
      <c r="AA15" s="95" t="str">
        <f aca="false">IF(L15="","No","Yes")</f>
        <v>No</v>
      </c>
    </row>
    <row r="16" customFormat="false" ht="15" hidden="false" customHeight="false" outlineLevel="0" collapsed="false">
      <c r="A16" s="83" t="n">
        <v>3</v>
      </c>
      <c r="B16" s="99" t="s">
        <v>233</v>
      </c>
      <c r="C16" s="99" t="s">
        <v>234</v>
      </c>
      <c r="D16" s="95" t="n">
        <f aca="false">SUMPRODUCT('Historical Data'!$AX$2:$AX$9*'Historical Data'!$AD$2:$AD$9)</f>
        <v>1</v>
      </c>
      <c r="E16" s="95" t="n">
        <f aca="false">SUMPRODUCT('Historical Data'!$AX$2:$AX$9*'Historical Data'!$AP$2:$AP$9)</f>
        <v>1</v>
      </c>
      <c r="F16" s="97" t="n">
        <f aca="false">IF(D16=0,"",E16/D16)</f>
        <v>1</v>
      </c>
      <c r="G16" s="102" t="n">
        <f aca="false">SUMPRODUCT('Historical Data'!$AX$2:$AX$9*'Historical Data'!$AP$2:$AP$9*'Historical Data'!$N$2:$N$9)</f>
        <v>10000</v>
      </c>
      <c r="H16" s="95" t="n">
        <f aca="false">SUMPRODUCT('Historical Data'!$AX$2:$AX$9*'Historical Data'!$AP$2:$AP$9*'Historical Data'!$AH$2:$AH$9)</f>
        <v>0</v>
      </c>
      <c r="I16" s="97" t="n">
        <f aca="false">IF(E16=0,"",H16/E16)</f>
        <v>0</v>
      </c>
      <c r="J16" s="95" t="n">
        <f aca="false">SUMPRODUCT('Historical Data'!$AX$2:$AX$9*'Historical Data'!$AP$2:$AP$9*'Historical Data'!$AE$2:$AE$9)</f>
        <v>0</v>
      </c>
      <c r="K16" s="97" t="n">
        <f aca="false">IF(E16=0,"",J16/E16)</f>
        <v>0</v>
      </c>
      <c r="L16" s="97" t="str">
        <f aca="false">IF(OR(E16&lt;Controls!$B$43,G16=0),"",SUMPRODUCT('Historical Data'!$AX$2:$AX$9*'Historical Data'!$AP$2:$AP$9*'Historical Data'!$AK$2:$AK$9)/G16)</f>
        <v/>
      </c>
      <c r="M16" s="97" t="str">
        <f aca="false">IF(OR(E16&lt;Controls!$B$43,SUMPRODUCT('Historical Data'!$AX$2:$AX$9*'Historical Data'!$AP$2:$AP$9*'Historical Data'!$AE$2:$AE$9*'Historical Data'!$N$2:$N$9)=0),"",SUMPRODUCT('Historical Data'!$AX$2:$AX$9*'Historical Data'!$AP$2:$AP$9*'Historical Data'!$AE$2:$AE$9*'Historical Data'!$Q$2:$Q$9)/SUMPRODUCT('Historical Data'!$AX$2:$AX$9*'Historical Data'!$AP$2:$AP$9*'Historical Data'!$AE$2:$AE$9*'Historical Data'!$N$2:$N$9))</f>
        <v/>
      </c>
      <c r="N16" s="97" t="str">
        <f aca="false">IF(OR(E16&lt;Controls!$B$43,G16=0),"",SUMPRODUCT('Historical Data'!$AX$2:$AX$9*'Historical Data'!$AP$2:$AP$9*'Historical Data'!$AJ$2:$AJ$9)/G16)</f>
        <v/>
      </c>
      <c r="O16" s="92" t="n">
        <f aca="false">IF(SUMPRODUCT('Historical Data'!$AX$2:$AX$9*'Historical Data'!$AP$2:$AP$9*'Historical Data'!$AM$2:$AM$9)=0,"",SUMPRODUCT('Historical Data'!$AX$2:$AX$9*'Historical Data'!$AP$2:$AP$9*'Historical Data'!$AM$2:$AM$9*'Historical Data'!$AL$2:$AL$9)/SUMPRODUCT('Historical Data'!$AX$2:$AX$9*'Historical Data'!$AP$2:$AP$9*'Historical Data'!$AM$2:$AM$9))</f>
        <v>0.2</v>
      </c>
      <c r="P16" s="93" t="n">
        <f aca="false">IF(E16=0,"",SUMPRODUCT('Historical Data'!$AX$2:$AX$9*'Historical Data'!$AP$2:$AP$9*'Historical Data'!$AA$2:$AA$9)/E16)</f>
        <v>108.275</v>
      </c>
      <c r="Q16" s="92" t="n">
        <f aca="false">IF(E16=0,"",SUMPRODUCT('Historical Data'!$AX$2:$AX$9*'Historical Data'!$AP$2:$AP$9*'Historical Data'!$M$2:$M$9)/E16)</f>
        <v>1.5</v>
      </c>
      <c r="R16" s="102" t="n">
        <f aca="false">IF(E16=0,"",G16/E16)</f>
        <v>10000</v>
      </c>
      <c r="S16" s="93" t="n">
        <f aca="false">IF(E16=0,"",SUMPRODUCT('Historical Data'!$AX$2:$AX$9*'Historical Data'!$AP$2:$AP$9*'Historical Data'!$AN$2:$AN$9)/E16)</f>
        <v>105</v>
      </c>
      <c r="T16" s="97" t="n">
        <f aca="false">IF(E16=0,"",SUMPRODUCT('Historical Data'!$AX$2:$AX$9*'Historical Data'!$AP$2:$AP$9*'Historical Data'!$AO$2:$AO$9)/E16)</f>
        <v>0</v>
      </c>
      <c r="U16" s="95" t="str">
        <f aca="false">IF(AND(E16&gt;=Controls!$B$40,G16&gt;=Controls!$B$41),"Yes","No")</f>
        <v>No</v>
      </c>
      <c r="V16" s="92" t="n">
        <f aca="false">IF(E16+Controls!$B$42=0,0,E16/(E16+Controls!$B$42))</f>
        <v>0.032258064516129</v>
      </c>
      <c r="W16" s="97" t="n">
        <f aca="false">IF(L16="",$C$10,V16*L16+(1-V16)*$C$10)</f>
        <v>0.41</v>
      </c>
      <c r="X16" s="92" t="n">
        <f aca="false">IF(OR($C$10="",$C$10=0),"",W16/$C$10)</f>
        <v>1</v>
      </c>
      <c r="Y16" s="95" t="n">
        <f aca="false">IF(U16="Yes",1,0)</f>
        <v>0</v>
      </c>
      <c r="Z16" s="97" t="n">
        <f aca="false">IF(L16="",0,ABS(W16-$C$10))</f>
        <v>0</v>
      </c>
      <c r="AA16" s="95" t="str">
        <f aca="false">IF(L16="","No","Yes")</f>
        <v>No</v>
      </c>
    </row>
    <row r="17" customFormat="false" ht="15" hidden="false" customHeight="false" outlineLevel="0" collapsed="false">
      <c r="A17" s="83" t="n">
        <v>4</v>
      </c>
      <c r="B17" s="99" t="s">
        <v>235</v>
      </c>
      <c r="C17" s="99" t="s">
        <v>236</v>
      </c>
      <c r="D17" s="95" t="n">
        <f aca="false">SUMPRODUCT('Historical Data'!$AY$2:$AY$9*'Historical Data'!$AD$2:$AD$9)</f>
        <v>3</v>
      </c>
      <c r="E17" s="95" t="n">
        <f aca="false">SUMPRODUCT('Historical Data'!$AY$2:$AY$9*'Historical Data'!$AP$2:$AP$9)</f>
        <v>2</v>
      </c>
      <c r="F17" s="97" t="n">
        <f aca="false">IF(D17=0,"",E17/D17)</f>
        <v>0.666666666666667</v>
      </c>
      <c r="G17" s="102" t="n">
        <f aca="false">SUMPRODUCT('Historical Data'!$AY$2:$AY$9*'Historical Data'!$AP$2:$AP$9*'Historical Data'!$N$2:$N$9)</f>
        <v>40000</v>
      </c>
      <c r="H17" s="95" t="n">
        <f aca="false">SUMPRODUCT('Historical Data'!$AY$2:$AY$9*'Historical Data'!$AP$2:$AP$9*'Historical Data'!$AH$2:$AH$9)</f>
        <v>0</v>
      </c>
      <c r="I17" s="97" t="n">
        <f aca="false">IF(E17=0,"",H17/E17)</f>
        <v>0</v>
      </c>
      <c r="J17" s="95" t="n">
        <f aca="false">SUMPRODUCT('Historical Data'!$AY$2:$AY$9*'Historical Data'!$AP$2:$AP$9*'Historical Data'!$AE$2:$AE$9)</f>
        <v>1</v>
      </c>
      <c r="K17" s="97" t="n">
        <f aca="false">IF(E17=0,"",J17/E17)</f>
        <v>0.5</v>
      </c>
      <c r="L17" s="97" t="n">
        <f aca="false">IF(OR(E17&lt;Controls!$B$43,G17=0),"",SUMPRODUCT('Historical Data'!$AY$2:$AY$9*'Historical Data'!$AP$2:$AP$9*'Historical Data'!$AK$2:$AK$9)/G17)</f>
        <v>0.525</v>
      </c>
      <c r="M17" s="97" t="n">
        <f aca="false">IF(OR(E17&lt;Controls!$B$43,SUMPRODUCT('Historical Data'!$AY$2:$AY$9*'Historical Data'!$AP$2:$AP$9*'Historical Data'!$AE$2:$AE$9*'Historical Data'!$N$2:$N$9)=0),"",SUMPRODUCT('Historical Data'!$AY$2:$AY$9*'Historical Data'!$AP$2:$AP$9*'Historical Data'!$AE$2:$AE$9*'Historical Data'!$Q$2:$Q$9)/SUMPRODUCT('Historical Data'!$AY$2:$AY$9*'Historical Data'!$AP$2:$AP$9*'Historical Data'!$AE$2:$AE$9*'Historical Data'!$N$2:$N$9))</f>
        <v>0.3</v>
      </c>
      <c r="N17" s="97" t="n">
        <f aca="false">IF(OR(E17&lt;Controls!$B$43,G17=0),"",SUMPRODUCT('Historical Data'!$AY$2:$AY$9*'Historical Data'!$AP$2:$AP$9*'Historical Data'!$AJ$2:$AJ$9)/G17)</f>
        <v>-0.4</v>
      </c>
      <c r="O17" s="92" t="n">
        <f aca="false">IF(SUMPRODUCT('Historical Data'!$AY$2:$AY$9*'Historical Data'!$AP$2:$AP$9*'Historical Data'!$AM$2:$AM$9)=0,"",SUMPRODUCT('Historical Data'!$AY$2:$AY$9*'Historical Data'!$AP$2:$AP$9*'Historical Data'!$AM$2:$AM$9*'Historical Data'!$AL$2:$AL$9)/SUMPRODUCT('Historical Data'!$AY$2:$AY$9*'Historical Data'!$AP$2:$AP$9*'Historical Data'!$AM$2:$AM$9))</f>
        <v>0.35</v>
      </c>
      <c r="P17" s="93" t="n">
        <f aca="false">IF(E17=0,"",SUMPRODUCT('Historical Data'!$AY$2:$AY$9*'Historical Data'!$AP$2:$AP$9*'Historical Data'!$AA$2:$AA$9)/E17)</f>
        <v>119.1025</v>
      </c>
      <c r="Q17" s="92" t="n">
        <f aca="false">IF(E17=0,"",SUMPRODUCT('Historical Data'!$AY$2:$AY$9*'Historical Data'!$AP$2:$AP$9*'Historical Data'!$M$2:$M$9)/E17)</f>
        <v>1.5</v>
      </c>
      <c r="R17" s="102" t="n">
        <f aca="false">IF(E17=0,"",G17/E17)</f>
        <v>20000</v>
      </c>
      <c r="S17" s="93" t="n">
        <f aca="false">IF(E17=0,"",SUMPRODUCT('Historical Data'!$AY$2:$AY$9*'Historical Data'!$AP$2:$AP$9*'Historical Data'!$AN$2:$AN$9)/E17)</f>
        <v>85.5</v>
      </c>
      <c r="T17" s="97" t="n">
        <f aca="false">IF(E17=0,"",SUMPRODUCT('Historical Data'!$AY$2:$AY$9*'Historical Data'!$AP$2:$AP$9*'Historical Data'!$AO$2:$AO$9)/E17)</f>
        <v>0</v>
      </c>
      <c r="U17" s="95" t="str">
        <f aca="false">IF(AND(E17&gt;=Controls!$B$40,G17&gt;=Controls!$B$41),"Yes","No")</f>
        <v>No</v>
      </c>
      <c r="V17" s="92" t="n">
        <f aca="false">IF(E17+Controls!$B$42=0,0,E17/(E17+Controls!$B$42))</f>
        <v>0.0625</v>
      </c>
      <c r="W17" s="97" t="n">
        <f aca="false">IF(L17="",$C$10,V17*L17+(1-V17)*$C$10)</f>
        <v>0.4171875</v>
      </c>
      <c r="X17" s="92" t="n">
        <f aca="false">IF(OR($C$10="",$C$10=0),"",W17/$C$10)</f>
        <v>1.01753048780488</v>
      </c>
      <c r="Y17" s="95" t="n">
        <f aca="false">IF(U17="Yes",1,0)</f>
        <v>0</v>
      </c>
      <c r="Z17" s="97" t="n">
        <f aca="false">IF(L17="",0,ABS(W17-$C$10))</f>
        <v>0.00718750000000001</v>
      </c>
      <c r="AA17" s="95" t="str">
        <f aca="false">IF(L17="","No","Yes")</f>
        <v>Yes</v>
      </c>
    </row>
    <row r="18" customFormat="false" ht="15" hidden="false" customHeight="false" outlineLevel="0" collapsed="false">
      <c r="A18" s="83" t="n">
        <v>5</v>
      </c>
      <c r="B18" s="99" t="s">
        <v>237</v>
      </c>
      <c r="C18" s="99" t="s">
        <v>238</v>
      </c>
      <c r="D18" s="95" t="n">
        <f aca="false">SUMPRODUCT('Historical Data'!$AZ$2:$AZ$9*'Historical Data'!$AD$2:$AD$9)</f>
        <v>2</v>
      </c>
      <c r="E18" s="95" t="n">
        <f aca="false">SUMPRODUCT('Historical Data'!$AZ$2:$AZ$9*'Historical Data'!$AP$2:$AP$9)</f>
        <v>1</v>
      </c>
      <c r="F18" s="97" t="n">
        <f aca="false">IF(D18=0,"",E18/D18)</f>
        <v>0.5</v>
      </c>
      <c r="G18" s="102" t="n">
        <f aca="false">SUMPRODUCT('Historical Data'!$AZ$2:$AZ$9*'Historical Data'!$AP$2:$AP$9*'Historical Data'!$N$2:$N$9)</f>
        <v>10000</v>
      </c>
      <c r="H18" s="95" t="n">
        <f aca="false">SUMPRODUCT('Historical Data'!$AZ$2:$AZ$9*'Historical Data'!$AP$2:$AP$9*'Historical Data'!$AH$2:$AH$9)</f>
        <v>0</v>
      </c>
      <c r="I18" s="97" t="n">
        <f aca="false">IF(E18=0,"",H18/E18)</f>
        <v>0</v>
      </c>
      <c r="J18" s="95" t="n">
        <f aca="false">SUMPRODUCT('Historical Data'!$AZ$2:$AZ$9*'Historical Data'!$AP$2:$AP$9*'Historical Data'!$AE$2:$AE$9)</f>
        <v>0</v>
      </c>
      <c r="K18" s="97" t="n">
        <f aca="false">IF(E18=0,"",J18/E18)</f>
        <v>0</v>
      </c>
      <c r="L18" s="97" t="str">
        <f aca="false">IF(OR(E18&lt;Controls!$B$43,G18=0),"",SUMPRODUCT('Historical Data'!$AZ$2:$AZ$9*'Historical Data'!$AP$2:$AP$9*'Historical Data'!$AK$2:$AK$9)/G18)</f>
        <v/>
      </c>
      <c r="M18" s="97" t="str">
        <f aca="false">IF(OR(E18&lt;Controls!$B$43,SUMPRODUCT('Historical Data'!$AZ$2:$AZ$9*'Historical Data'!$AP$2:$AP$9*'Historical Data'!$AE$2:$AE$9*'Historical Data'!$N$2:$N$9)=0),"",SUMPRODUCT('Historical Data'!$AZ$2:$AZ$9*'Historical Data'!$AP$2:$AP$9*'Historical Data'!$AE$2:$AE$9*'Historical Data'!$Q$2:$Q$9)/SUMPRODUCT('Historical Data'!$AZ$2:$AZ$9*'Historical Data'!$AP$2:$AP$9*'Historical Data'!$AE$2:$AE$9*'Historical Data'!$N$2:$N$9))</f>
        <v/>
      </c>
      <c r="N18" s="97" t="str">
        <f aca="false">IF(OR(E18&lt;Controls!$B$43,G18=0),"",SUMPRODUCT('Historical Data'!$AZ$2:$AZ$9*'Historical Data'!$AP$2:$AP$9*'Historical Data'!$AJ$2:$AJ$9)/G18)</f>
        <v/>
      </c>
      <c r="O18" s="92" t="n">
        <f aca="false">IF(SUMPRODUCT('Historical Data'!$AZ$2:$AZ$9*'Historical Data'!$AP$2:$AP$9*'Historical Data'!$AM$2:$AM$9)=0,"",SUMPRODUCT('Historical Data'!$AZ$2:$AZ$9*'Historical Data'!$AP$2:$AP$9*'Historical Data'!$AM$2:$AM$9*'Historical Data'!$AL$2:$AL$9)/SUMPRODUCT('Historical Data'!$AZ$2:$AZ$9*'Historical Data'!$AP$2:$AP$9*'Historical Data'!$AM$2:$AM$9))</f>
        <v>0.2</v>
      </c>
      <c r="P18" s="93" t="n">
        <f aca="false">IF(E18=0,"",SUMPRODUCT('Historical Data'!$AZ$2:$AZ$9*'Historical Data'!$AP$2:$AP$9*'Historical Data'!$AA$2:$AA$9)/E18)</f>
        <v>108.275</v>
      </c>
      <c r="Q18" s="92" t="n">
        <f aca="false">IF(E18=0,"",SUMPRODUCT('Historical Data'!$AZ$2:$AZ$9*'Historical Data'!$AP$2:$AP$9*'Historical Data'!$M$2:$M$9)/E18)</f>
        <v>1.5</v>
      </c>
      <c r="R18" s="102" t="n">
        <f aca="false">IF(E18=0,"",G18/E18)</f>
        <v>10000</v>
      </c>
      <c r="S18" s="93" t="n">
        <f aca="false">IF(E18=0,"",SUMPRODUCT('Historical Data'!$AZ$2:$AZ$9*'Historical Data'!$AP$2:$AP$9*'Historical Data'!$AN$2:$AN$9)/E18)</f>
        <v>105</v>
      </c>
      <c r="T18" s="97" t="n">
        <f aca="false">IF(E18=0,"",SUMPRODUCT('Historical Data'!$AZ$2:$AZ$9*'Historical Data'!$AP$2:$AP$9*'Historical Data'!$AO$2:$AO$9)/E18)</f>
        <v>0</v>
      </c>
      <c r="U18" s="95" t="str">
        <f aca="false">IF(AND(E18&gt;=Controls!$B$40,G18&gt;=Controls!$B$41),"Yes","No")</f>
        <v>No</v>
      </c>
      <c r="V18" s="92" t="n">
        <f aca="false">IF(E18+Controls!$B$42=0,0,E18/(E18+Controls!$B$42))</f>
        <v>0.032258064516129</v>
      </c>
      <c r="W18" s="97" t="n">
        <f aca="false">IF(L18="",$C$10,V18*L18+(1-V18)*$C$10)</f>
        <v>0.41</v>
      </c>
      <c r="X18" s="92" t="n">
        <f aca="false">IF(OR($C$10="",$C$10=0),"",W18/$C$10)</f>
        <v>1</v>
      </c>
      <c r="Y18" s="95" t="n">
        <f aca="false">IF(U18="Yes",1,0)</f>
        <v>0</v>
      </c>
      <c r="Z18" s="97" t="n">
        <f aca="false">IF(L18="",0,ABS(W18-$C$10))</f>
        <v>0</v>
      </c>
      <c r="AA18" s="95" t="str">
        <f aca="false">IF(L18="","No","Yes")</f>
        <v>No</v>
      </c>
    </row>
    <row r="19" customFormat="false" ht="15" hidden="false" customHeight="false" outlineLevel="0" collapsed="false">
      <c r="A19" s="83" t="n">
        <v>6</v>
      </c>
      <c r="B19" s="99" t="s">
        <v>239</v>
      </c>
      <c r="C19" s="99" t="s">
        <v>240</v>
      </c>
      <c r="D19" s="95" t="n">
        <f aca="false">SUMPRODUCT('Historical Data'!$BA$2:$BA$9*'Historical Data'!$AD$2:$AD$9)</f>
        <v>6</v>
      </c>
      <c r="E19" s="95" t="n">
        <f aca="false">SUMPRODUCT('Historical Data'!$BA$2:$BA$9*'Historical Data'!$AP$2:$AP$9)</f>
        <v>5</v>
      </c>
      <c r="F19" s="97" t="n">
        <f aca="false">IF(D19=0,"",E19/D19)</f>
        <v>0.833333333333333</v>
      </c>
      <c r="G19" s="102" t="n">
        <f aca="false">SUMPRODUCT('Historical Data'!$BA$2:$BA$9*'Historical Data'!$AP$2:$AP$9*'Historical Data'!$N$2:$N$9)</f>
        <v>120000</v>
      </c>
      <c r="H19" s="95" t="n">
        <f aca="false">SUMPRODUCT('Historical Data'!$BA$2:$BA$9*'Historical Data'!$AP$2:$AP$9*'Historical Data'!$AH$2:$AH$9)</f>
        <v>0</v>
      </c>
      <c r="I19" s="97" t="n">
        <f aca="false">IF(E19=0,"",H19/E19)</f>
        <v>0</v>
      </c>
      <c r="J19" s="95" t="n">
        <f aca="false">SUMPRODUCT('Historical Data'!$BA$2:$BA$9*'Historical Data'!$AP$2:$AP$9*'Historical Data'!$AE$2:$AE$9)</f>
        <v>3</v>
      </c>
      <c r="K19" s="97" t="n">
        <f aca="false">IF(E19=0,"",J19/E19)</f>
        <v>0.6</v>
      </c>
      <c r="L19" s="97" t="n">
        <f aca="false">IF(OR(E19&lt;Controls!$B$43,G19=0),"",SUMPRODUCT('Historical Data'!$BA$2:$BA$9*'Historical Data'!$AP$2:$AP$9*'Historical Data'!$AK$2:$AK$9)/G19)</f>
        <v>0.508333333333333</v>
      </c>
      <c r="M19" s="97" t="n">
        <f aca="false">IF(OR(E19&lt;Controls!$B$43,SUMPRODUCT('Historical Data'!$BA$2:$BA$9*'Historical Data'!$AP$2:$AP$9*'Historical Data'!$AE$2:$AE$9*'Historical Data'!$N$2:$N$9)=0),"",SUMPRODUCT('Historical Data'!$BA$2:$BA$9*'Historical Data'!$AP$2:$AP$9*'Historical Data'!$AE$2:$AE$9*'Historical Data'!$Q$2:$Q$9)/SUMPRODUCT('Historical Data'!$BA$2:$BA$9*'Historical Data'!$AP$2:$AP$9*'Historical Data'!$AE$2:$AE$9*'Historical Data'!$N$2:$N$9))</f>
        <v>0.322222222222222</v>
      </c>
      <c r="N19" s="97" t="n">
        <f aca="false">IF(OR(E19&lt;Controls!$B$43,G19=0),"",SUMPRODUCT('Historical Data'!$BA$2:$BA$9*'Historical Data'!$AP$2:$AP$9*'Historical Data'!$AJ$2:$AJ$9)/G19)</f>
        <v>-0.383333333333333</v>
      </c>
      <c r="O19" s="92" t="n">
        <f aca="false">IF(SUMPRODUCT('Historical Data'!$BA$2:$BA$9*'Historical Data'!$AP$2:$AP$9*'Historical Data'!$AM$2:$AM$9)=0,"",SUMPRODUCT('Historical Data'!$BA$2:$BA$9*'Historical Data'!$AP$2:$AP$9*'Historical Data'!$AM$2:$AM$9*'Historical Data'!$AL$2:$AL$9)/SUMPRODUCT('Historical Data'!$BA$2:$BA$9*'Historical Data'!$AP$2:$AP$9*'Historical Data'!$AM$2:$AM$9))</f>
        <v>0.35</v>
      </c>
      <c r="P19" s="93" t="n">
        <f aca="false">IF(E19=0,"",SUMPRODUCT('Historical Data'!$BA$2:$BA$9*'Historical Data'!$AP$2:$AP$9*'Historical Data'!$AA$2:$AA$9)/E19)</f>
        <v>107.641</v>
      </c>
      <c r="Q19" s="92" t="n">
        <f aca="false">IF(E19=0,"",SUMPRODUCT('Historical Data'!$BA$2:$BA$9*'Historical Data'!$AP$2:$AP$9*'Historical Data'!$M$2:$M$9)/E19)</f>
        <v>1.5</v>
      </c>
      <c r="R19" s="102" t="n">
        <f aca="false">IF(E19=0,"",G19/E19)</f>
        <v>24000</v>
      </c>
      <c r="S19" s="93" t="n">
        <f aca="false">IF(E19=0,"",SUMPRODUCT('Historical Data'!$BA$2:$BA$9*'Historical Data'!$AP$2:$AP$9*'Historical Data'!$AN$2:$AN$9)/E19)</f>
        <v>85.4</v>
      </c>
      <c r="T19" s="97" t="n">
        <f aca="false">IF(E19=0,"",SUMPRODUCT('Historical Data'!$BA$2:$BA$9*'Historical Data'!$AP$2:$AP$9*'Historical Data'!$AO$2:$AO$9)/E19)</f>
        <v>0</v>
      </c>
      <c r="U19" s="95" t="str">
        <f aca="false">IF(AND(E19&gt;=Controls!$B$40,G19&gt;=Controls!$B$41),"Yes","No")</f>
        <v>Yes</v>
      </c>
      <c r="V19" s="92" t="n">
        <f aca="false">IF(E19+Controls!$B$42=0,0,E19/(E19+Controls!$B$42))</f>
        <v>0.142857142857143</v>
      </c>
      <c r="W19" s="97" t="n">
        <f aca="false">IF(L19="",$C$10,V19*L19+(1-V19)*$C$10)</f>
        <v>0.424047619047619</v>
      </c>
      <c r="X19" s="92" t="n">
        <f aca="false">IF(OR($C$10="",$C$10=0),"",W19/$C$10)</f>
        <v>1.034262485482</v>
      </c>
      <c r="Y19" s="95" t="n">
        <f aca="false">IF(U19="Yes",1,0)</f>
        <v>1</v>
      </c>
      <c r="Z19" s="97" t="n">
        <f aca="false">IF(L19="",0,ABS(W19-$C$10))</f>
        <v>0.014047619047619</v>
      </c>
      <c r="AA19" s="95" t="str">
        <f aca="false">IF(L19="","No","Yes")</f>
        <v>Yes</v>
      </c>
    </row>
    <row r="20" customFormat="false" ht="15" hidden="false" customHeight="false" outlineLevel="0" collapsed="false">
      <c r="A20" s="83" t="n">
        <v>7</v>
      </c>
      <c r="B20" s="99" t="s">
        <v>241</v>
      </c>
      <c r="C20" s="99" t="s">
        <v>242</v>
      </c>
      <c r="D20" s="95" t="n">
        <f aca="false">SUMPRODUCT('Historical Data'!$BB$2:$BB$9*'Historical Data'!$AD$2:$AD$9)</f>
        <v>8</v>
      </c>
      <c r="E20" s="95" t="n">
        <f aca="false">SUMPRODUCT('Historical Data'!$BB$2:$BB$9*'Historical Data'!$AP$2:$AP$9)</f>
        <v>7</v>
      </c>
      <c r="F20" s="97" t="n">
        <f aca="false">IF(D20=0,"",E20/D20)</f>
        <v>0.875</v>
      </c>
      <c r="G20" s="102" t="n">
        <f aca="false">SUMPRODUCT('Historical Data'!$BB$2:$BB$9*'Historical Data'!$AP$2:$AP$9*'Historical Data'!$N$2:$N$9)</f>
        <v>150000</v>
      </c>
      <c r="H20" s="95" t="n">
        <f aca="false">SUMPRODUCT('Historical Data'!$BB$2:$BB$9*'Historical Data'!$AP$2:$AP$9*'Historical Data'!$AH$2:$AH$9)</f>
        <v>0</v>
      </c>
      <c r="I20" s="97" t="n">
        <f aca="false">IF(E20=0,"",H20/E20)</f>
        <v>0</v>
      </c>
      <c r="J20" s="95" t="n">
        <f aca="false">SUMPRODUCT('Historical Data'!$BB$2:$BB$9*'Historical Data'!$AP$2:$AP$9*'Historical Data'!$AE$2:$AE$9)</f>
        <v>4</v>
      </c>
      <c r="K20" s="97" t="n">
        <f aca="false">IF(E20=0,"",J20/E20)</f>
        <v>0.571428571428571</v>
      </c>
      <c r="L20" s="97" t="n">
        <f aca="false">IF(OR(E20&lt;Controls!$B$43,G20=0),"",SUMPRODUCT('Historical Data'!$BB$2:$BB$9*'Historical Data'!$AP$2:$AP$9*'Historical Data'!$AK$2:$AK$9)/G20)</f>
        <v>0.41</v>
      </c>
      <c r="M20" s="97" t="n">
        <f aca="false">IF(OR(E20&lt;Controls!$B$43,SUMPRODUCT('Historical Data'!$BB$2:$BB$9*'Historical Data'!$AP$2:$AP$9*'Historical Data'!$AE$2:$AE$9*'Historical Data'!$N$2:$N$9)=0),"",SUMPRODUCT('Historical Data'!$BB$2:$BB$9*'Historical Data'!$AP$2:$AP$9*'Historical Data'!$AE$2:$AE$9*'Historical Data'!$Q$2:$Q$9)/SUMPRODUCT('Historical Data'!$BB$2:$BB$9*'Historical Data'!$AP$2:$AP$9*'Historical Data'!$AE$2:$AE$9*'Historical Data'!$N$2:$N$9))</f>
        <v>0.385</v>
      </c>
      <c r="N20" s="97" t="n">
        <f aca="false">IF(OR(E20&lt;Controls!$B$43,G20=0),"",SUMPRODUCT('Historical Data'!$BB$2:$BB$9*'Historical Data'!$AP$2:$AP$9*'Historical Data'!$AJ$2:$AJ$9)/G20)</f>
        <v>-0.243333333333333</v>
      </c>
      <c r="O20" s="92" t="n">
        <f aca="false">IF(SUMPRODUCT('Historical Data'!$BB$2:$BB$9*'Historical Data'!$AP$2:$AP$9*'Historical Data'!$AM$2:$AM$9)=0,"",SUMPRODUCT('Historical Data'!$BB$2:$BB$9*'Historical Data'!$AP$2:$AP$9*'Historical Data'!$AM$2:$AM$9*'Historical Data'!$AL$2:$AL$9)/SUMPRODUCT('Historical Data'!$BB$2:$BB$9*'Historical Data'!$AP$2:$AP$9*'Historical Data'!$AM$2:$AM$9))</f>
        <v>0.35</v>
      </c>
      <c r="P20" s="93" t="n">
        <f aca="false">IF(E20=0,"",SUMPRODUCT('Historical Data'!$BB$2:$BB$9*'Historical Data'!$AP$2:$AP$9*'Historical Data'!$AA$2:$AA$9)/E20)</f>
        <v>103.546428571429</v>
      </c>
      <c r="Q20" s="92" t="n">
        <f aca="false">IF(E20=0,"",SUMPRODUCT('Historical Data'!$BB$2:$BB$9*'Historical Data'!$AP$2:$AP$9*'Historical Data'!$M$2:$M$9)/E20)</f>
        <v>1.5</v>
      </c>
      <c r="R20" s="102" t="n">
        <f aca="false">IF(E20=0,"",G20/E20)</f>
        <v>21428.5714285714</v>
      </c>
      <c r="S20" s="93" t="n">
        <f aca="false">IF(E20=0,"",SUMPRODUCT('Historical Data'!$BB$2:$BB$9*'Historical Data'!$AP$2:$AP$9*'Historical Data'!$AN$2:$AN$9)/E20)</f>
        <v>94.1428571428571</v>
      </c>
      <c r="T20" s="97" t="n">
        <f aca="false">IF(E20=0,"",SUMPRODUCT('Historical Data'!$BB$2:$BB$9*'Historical Data'!$AP$2:$AP$9*'Historical Data'!$AO$2:$AO$9)/E20)</f>
        <v>0.285714285714286</v>
      </c>
      <c r="U20" s="95" t="str">
        <f aca="false">IF(AND(E20&gt;=Controls!$B$40,G20&gt;=Controls!$B$41),"Yes","No")</f>
        <v>Yes</v>
      </c>
      <c r="V20" s="92" t="n">
        <f aca="false">IF(E20+Controls!$B$42=0,0,E20/(E20+Controls!$B$42))</f>
        <v>0.189189189189189</v>
      </c>
      <c r="W20" s="97" t="n">
        <f aca="false">IF(L20="",$C$10,V20*L20+(1-V20)*$C$10)</f>
        <v>0.41</v>
      </c>
      <c r="X20" s="92" t="n">
        <f aca="false">IF(OR($C$10="",$C$10=0),"",W20/$C$10)</f>
        <v>1</v>
      </c>
      <c r="Y20" s="95" t="n">
        <f aca="false">IF(U20="Yes",1,0)</f>
        <v>1</v>
      </c>
      <c r="Z20" s="97" t="n">
        <f aca="false">IF(L20="",0,ABS(W20-$C$10))</f>
        <v>0</v>
      </c>
      <c r="AA20" s="95" t="str">
        <f aca="false">IF(L20="","No","Yes")</f>
        <v>Yes</v>
      </c>
    </row>
    <row r="21" customFormat="false" ht="22.35" hidden="false" customHeight="false" outlineLevel="0" collapsed="false">
      <c r="A21" s="75"/>
      <c r="B21" s="75" t="s">
        <v>243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</row>
    <row r="22" customFormat="false" ht="15" hidden="false" customHeight="false" outlineLevel="0" collapsed="false">
      <c r="A22" s="83" t="s">
        <v>244</v>
      </c>
      <c r="B22" s="99" t="s">
        <v>245</v>
      </c>
      <c r="C22" s="99" t="s">
        <v>245</v>
      </c>
      <c r="D22" s="95" t="n">
        <f aca="false">SUMPRODUCT('Historical Data'!$AQ$2:$AQ$9*'Historical Data'!$AD$2:$AD$9)</f>
        <v>2</v>
      </c>
      <c r="E22" s="95" t="n">
        <f aca="false">SUMPRODUCT('Historical Data'!$AQ$2:$AQ$9*'Historical Data'!$AP$2:$AP$9)</f>
        <v>1</v>
      </c>
      <c r="F22" s="97" t="n">
        <f aca="false">IF(D22=0,"",E22/D22)</f>
        <v>0.5</v>
      </c>
      <c r="G22" s="102" t="n">
        <f aca="false">SUMPRODUCT('Historical Data'!$AQ$2:$AQ$9*'Historical Data'!$AP$2:$AP$9*'Historical Data'!$N$2:$N$9)</f>
        <v>10000</v>
      </c>
      <c r="H22" s="95" t="n">
        <f aca="false">SUMPRODUCT('Historical Data'!$AQ$2:$AQ$9*'Historical Data'!$AP$2:$AP$9*'Historical Data'!$AH$2:$AH$9)</f>
        <v>0</v>
      </c>
      <c r="I22" s="97" t="n">
        <f aca="false">IF(E22=0,"",H22/E22)</f>
        <v>0</v>
      </c>
      <c r="J22" s="95" t="n">
        <f aca="false">SUMPRODUCT('Historical Data'!$AQ$2:$AQ$9*'Historical Data'!$AP$2:$AP$9*'Historical Data'!$AE$2:$AE$9)</f>
        <v>0</v>
      </c>
      <c r="K22" s="97" t="n">
        <f aca="false">IF(E22=0,"",J22/E22)</f>
        <v>0</v>
      </c>
      <c r="L22" s="97" t="str">
        <f aca="false">IF(OR(E22&lt;Controls!$B$43,G22=0),"",SUMPRODUCT('Historical Data'!$AQ$2:$AQ$9*'Historical Data'!$AP$2:$AP$9*'Historical Data'!$AK$2:$AK$9)/G22)</f>
        <v/>
      </c>
      <c r="M22" s="97" t="str">
        <f aca="false">IF(OR(E22&lt;Controls!$B$43,SUMPRODUCT('Historical Data'!$AQ$2:$AQ$9*'Historical Data'!$AP$2:$AP$9*'Historical Data'!$AE$2:$AE$9*'Historical Data'!$N$2:$N$9)=0),"",SUMPRODUCT('Historical Data'!$AQ$2:$AQ$9*'Historical Data'!$AP$2:$AP$9*'Historical Data'!$AE$2:$AE$9*'Historical Data'!$Q$2:$Q$9)/SUMPRODUCT('Historical Data'!$AQ$2:$AQ$9*'Historical Data'!$AP$2:$AP$9*'Historical Data'!$AE$2:$AE$9*'Historical Data'!$N$2:$N$9))</f>
        <v/>
      </c>
      <c r="N22" s="97" t="str">
        <f aca="false">IF(OR(E22&lt;Controls!$B$43,G22=0),"",SUMPRODUCT('Historical Data'!$AQ$2:$AQ$9*'Historical Data'!$AP$2:$AP$9*'Historical Data'!$AJ$2:$AJ$9)/G22)</f>
        <v/>
      </c>
      <c r="O22" s="92" t="n">
        <f aca="false">IF(SUMPRODUCT('Historical Data'!$AQ$2:$AQ$9*'Historical Data'!$AP$2:$AP$9*'Historical Data'!$AM$2:$AM$9)=0,"",SUMPRODUCT('Historical Data'!$AQ$2:$AQ$9*'Historical Data'!$AP$2:$AP$9*'Historical Data'!$AM$2:$AM$9*'Historical Data'!$AL$2:$AL$9)/SUMPRODUCT('Historical Data'!$AQ$2:$AQ$9*'Historical Data'!$AP$2:$AP$9*'Historical Data'!$AM$2:$AM$9))</f>
        <v>0.2</v>
      </c>
      <c r="P22" s="93" t="n">
        <f aca="false">IF(E22=0,"",SUMPRODUCT('Historical Data'!$AQ$2:$AQ$9*'Historical Data'!$AP$2:$AP$9*'Historical Data'!$AA$2:$AA$9)/E22)</f>
        <v>108.275</v>
      </c>
      <c r="Q22" s="92" t="n">
        <f aca="false">IF(E22=0,"",SUMPRODUCT('Historical Data'!$AQ$2:$AQ$9*'Historical Data'!$AP$2:$AP$9*'Historical Data'!$M$2:$M$9)/E22)</f>
        <v>1.5</v>
      </c>
      <c r="R22" s="102" t="n">
        <f aca="false">IF(E22=0,"",G22/E22)</f>
        <v>10000</v>
      </c>
      <c r="S22" s="93" t="n">
        <f aca="false">IF(E22=0,"",SUMPRODUCT('Historical Data'!$AQ$2:$AQ$9*'Historical Data'!$AP$2:$AP$9*'Historical Data'!$AN$2:$AN$9)/E22)</f>
        <v>105</v>
      </c>
      <c r="T22" s="97" t="n">
        <f aca="false">IF(E22=0,"",SUMPRODUCT('Historical Data'!$AQ$2:$AQ$9*'Historical Data'!$AP$2:$AP$9*'Historical Data'!$AO$2:$AO$9)/E22)</f>
        <v>0</v>
      </c>
      <c r="U22" s="95" t="str">
        <f aca="false">IF(AND(E22&gt;=Controls!$B$40,G22&gt;=Controls!$B$41),"Yes","No")</f>
        <v>No</v>
      </c>
      <c r="V22" s="92" t="n">
        <f aca="false">IF(E22+Controls!$B$42=0,0,E22/(E22+Controls!$B$42))</f>
        <v>0.032258064516129</v>
      </c>
      <c r="W22" s="97" t="n">
        <f aca="false">IF(L22="",$C$10,V22*L22+(1-V22)*$C$10)</f>
        <v>0.41</v>
      </c>
      <c r="X22" s="92" t="n">
        <f aca="false">IF(OR($C$10="",$C$10=0),"",W22/$C$10)</f>
        <v>1</v>
      </c>
      <c r="Y22" s="95" t="n">
        <f aca="false">IF(U22="Yes",1,0)</f>
        <v>0</v>
      </c>
      <c r="Z22" s="97" t="n">
        <f aca="false">IF(L22="",0,ABS(W22-$C$10))</f>
        <v>0</v>
      </c>
      <c r="AA22" s="95" t="str">
        <f aca="false">IF(L22="","No","Yes")</f>
        <v>No</v>
      </c>
    </row>
    <row r="23" customFormat="false" ht="15" hidden="false" customHeight="false" outlineLevel="0" collapsed="false">
      <c r="A23" s="83" t="s">
        <v>246</v>
      </c>
      <c r="B23" s="99" t="s">
        <v>247</v>
      </c>
      <c r="C23" s="99" t="s">
        <v>247</v>
      </c>
      <c r="D23" s="95" t="n">
        <f aca="false">SUMPRODUCT('Historical Data'!$AR$2:$AR$9*'Historical Data'!$AD$2:$AD$9)</f>
        <v>6</v>
      </c>
      <c r="E23" s="95" t="n">
        <f aca="false">SUMPRODUCT('Historical Data'!$AR$2:$AR$9*'Historical Data'!$AP$2:$AP$9)</f>
        <v>5</v>
      </c>
      <c r="F23" s="97" t="n">
        <f aca="false">IF(D23=0,"",E23/D23)</f>
        <v>0.833333333333333</v>
      </c>
      <c r="G23" s="102" t="n">
        <f aca="false">SUMPRODUCT('Historical Data'!$AR$2:$AR$9*'Historical Data'!$AP$2:$AP$9*'Historical Data'!$N$2:$N$9)</f>
        <v>120000</v>
      </c>
      <c r="H23" s="95" t="n">
        <f aca="false">SUMPRODUCT('Historical Data'!$AR$2:$AR$9*'Historical Data'!$AP$2:$AP$9*'Historical Data'!$AH$2:$AH$9)</f>
        <v>0</v>
      </c>
      <c r="I23" s="97" t="n">
        <f aca="false">IF(E23=0,"",H23/E23)</f>
        <v>0</v>
      </c>
      <c r="J23" s="95" t="n">
        <f aca="false">SUMPRODUCT('Historical Data'!$AR$2:$AR$9*'Historical Data'!$AP$2:$AP$9*'Historical Data'!$AE$2:$AE$9)</f>
        <v>3</v>
      </c>
      <c r="K23" s="97" t="n">
        <f aca="false">IF(E23=0,"",J23/E23)</f>
        <v>0.6</v>
      </c>
      <c r="L23" s="97" t="n">
        <f aca="false">IF(OR(E23&lt;Controls!$B$43,G23=0),"",SUMPRODUCT('Historical Data'!$AR$2:$AR$9*'Historical Data'!$AP$2:$AP$9*'Historical Data'!$AK$2:$AK$9)/G23)</f>
        <v>0.508333333333333</v>
      </c>
      <c r="M23" s="97" t="n">
        <f aca="false">IF(OR(E23&lt;Controls!$B$43,SUMPRODUCT('Historical Data'!$AR$2:$AR$9*'Historical Data'!$AP$2:$AP$9*'Historical Data'!$AE$2:$AE$9*'Historical Data'!$N$2:$N$9)=0),"",SUMPRODUCT('Historical Data'!$AR$2:$AR$9*'Historical Data'!$AP$2:$AP$9*'Historical Data'!$AE$2:$AE$9*'Historical Data'!$Q$2:$Q$9)/SUMPRODUCT('Historical Data'!$AR$2:$AR$9*'Historical Data'!$AP$2:$AP$9*'Historical Data'!$AE$2:$AE$9*'Historical Data'!$N$2:$N$9))</f>
        <v>0.322222222222222</v>
      </c>
      <c r="N23" s="97" t="n">
        <f aca="false">IF(OR(E23&lt;Controls!$B$43,G23=0),"",SUMPRODUCT('Historical Data'!$AR$2:$AR$9*'Historical Data'!$AP$2:$AP$9*'Historical Data'!$AJ$2:$AJ$9)/G23)</f>
        <v>-0.383333333333333</v>
      </c>
      <c r="O23" s="92" t="n">
        <f aca="false">IF(SUMPRODUCT('Historical Data'!$AR$2:$AR$9*'Historical Data'!$AP$2:$AP$9*'Historical Data'!$AM$2:$AM$9)=0,"",SUMPRODUCT('Historical Data'!$AR$2:$AR$9*'Historical Data'!$AP$2:$AP$9*'Historical Data'!$AM$2:$AM$9*'Historical Data'!$AL$2:$AL$9)/SUMPRODUCT('Historical Data'!$AR$2:$AR$9*'Historical Data'!$AP$2:$AP$9*'Historical Data'!$AM$2:$AM$9))</f>
        <v>0.35</v>
      </c>
      <c r="P23" s="93" t="n">
        <f aca="false">IF(E23=0,"",SUMPRODUCT('Historical Data'!$AR$2:$AR$9*'Historical Data'!$AP$2:$AP$9*'Historical Data'!$AA$2:$AA$9)/E23)</f>
        <v>107.641</v>
      </c>
      <c r="Q23" s="92" t="n">
        <f aca="false">IF(E23=0,"",SUMPRODUCT('Historical Data'!$AR$2:$AR$9*'Historical Data'!$AP$2:$AP$9*'Historical Data'!$M$2:$M$9)/E23)</f>
        <v>1.5</v>
      </c>
      <c r="R23" s="102" t="n">
        <f aca="false">IF(E23=0,"",G23/E23)</f>
        <v>24000</v>
      </c>
      <c r="S23" s="93" t="n">
        <f aca="false">IF(E23=0,"",SUMPRODUCT('Historical Data'!$AR$2:$AR$9*'Historical Data'!$AP$2:$AP$9*'Historical Data'!$AN$2:$AN$9)/E23)</f>
        <v>85.4</v>
      </c>
      <c r="T23" s="97" t="n">
        <f aca="false">IF(E23=0,"",SUMPRODUCT('Historical Data'!$AR$2:$AR$9*'Historical Data'!$AP$2:$AP$9*'Historical Data'!$AO$2:$AO$9)/E23)</f>
        <v>0</v>
      </c>
      <c r="U23" s="95" t="str">
        <f aca="false">IF(AND(E23&gt;=Controls!$B$40,G23&gt;=Controls!$B$41),"Yes","No")</f>
        <v>Yes</v>
      </c>
      <c r="V23" s="92" t="n">
        <f aca="false">IF(E23+Controls!$B$42=0,0,E23/(E23+Controls!$B$42))</f>
        <v>0.142857142857143</v>
      </c>
      <c r="W23" s="97" t="n">
        <f aca="false">IF(L23="",$C$10,V23*L23+(1-V23)*$C$10)</f>
        <v>0.424047619047619</v>
      </c>
      <c r="X23" s="92" t="n">
        <f aca="false">IF(OR($C$10="",$C$10=0),"",W23/$C$10)</f>
        <v>1.034262485482</v>
      </c>
      <c r="Y23" s="95" t="n">
        <f aca="false">IF(U23="Yes",1,0)</f>
        <v>1</v>
      </c>
      <c r="Z23" s="97" t="n">
        <f aca="false">IF(L23="",0,ABS(W23-$C$10))</f>
        <v>0.014047619047619</v>
      </c>
      <c r="AA23" s="95" t="str">
        <f aca="false">IF(L23="","No","Yes")</f>
        <v>Yes</v>
      </c>
    </row>
    <row r="24" customFormat="false" ht="15" hidden="false" customHeight="false" outlineLevel="0" collapsed="false">
      <c r="A24" s="83" t="s">
        <v>248</v>
      </c>
      <c r="B24" s="99" t="s">
        <v>249</v>
      </c>
      <c r="C24" s="99" t="s">
        <v>249</v>
      </c>
      <c r="D24" s="95" t="n">
        <f aca="false">SUMPRODUCT('Historical Data'!$AS$2:$AS$9*'Historical Data'!$AD$2:$AD$9)</f>
        <v>1</v>
      </c>
      <c r="E24" s="95" t="n">
        <f aca="false">SUMPRODUCT('Historical Data'!$AS$2:$AS$9*'Historical Data'!$AP$2:$AP$9)</f>
        <v>1</v>
      </c>
      <c r="F24" s="97" t="n">
        <f aca="false">IF(D24=0,"",E24/D24)</f>
        <v>1</v>
      </c>
      <c r="G24" s="102" t="n">
        <f aca="false">SUMPRODUCT('Historical Data'!$AS$2:$AS$9*'Historical Data'!$AP$2:$AP$9*'Historical Data'!$N$2:$N$9)</f>
        <v>10000</v>
      </c>
      <c r="H24" s="95" t="n">
        <f aca="false">SUMPRODUCT('Historical Data'!$AS$2:$AS$9*'Historical Data'!$AP$2:$AP$9*'Historical Data'!$AH$2:$AH$9)</f>
        <v>0</v>
      </c>
      <c r="I24" s="97" t="n">
        <f aca="false">IF(E24=0,"",H24/E24)</f>
        <v>0</v>
      </c>
      <c r="J24" s="95" t="n">
        <f aca="false">SUMPRODUCT('Historical Data'!$AS$2:$AS$9*'Historical Data'!$AP$2:$AP$9*'Historical Data'!$AE$2:$AE$9)</f>
        <v>0</v>
      </c>
      <c r="K24" s="97" t="n">
        <f aca="false">IF(E24=0,"",J24/E24)</f>
        <v>0</v>
      </c>
      <c r="L24" s="97" t="str">
        <f aca="false">IF(OR(E24&lt;Controls!$B$43,G24=0),"",SUMPRODUCT('Historical Data'!$AS$2:$AS$9*'Historical Data'!$AP$2:$AP$9*'Historical Data'!$AK$2:$AK$9)/G24)</f>
        <v/>
      </c>
      <c r="M24" s="97" t="str">
        <f aca="false">IF(OR(E24&lt;Controls!$B$43,SUMPRODUCT('Historical Data'!$AS$2:$AS$9*'Historical Data'!$AP$2:$AP$9*'Historical Data'!$AE$2:$AE$9*'Historical Data'!$N$2:$N$9)=0),"",SUMPRODUCT('Historical Data'!$AS$2:$AS$9*'Historical Data'!$AP$2:$AP$9*'Historical Data'!$AE$2:$AE$9*'Historical Data'!$Q$2:$Q$9)/SUMPRODUCT('Historical Data'!$AS$2:$AS$9*'Historical Data'!$AP$2:$AP$9*'Historical Data'!$AE$2:$AE$9*'Historical Data'!$N$2:$N$9))</f>
        <v/>
      </c>
      <c r="N24" s="97" t="str">
        <f aca="false">IF(OR(E24&lt;Controls!$B$43,G24=0),"",SUMPRODUCT('Historical Data'!$AS$2:$AS$9*'Historical Data'!$AP$2:$AP$9*'Historical Data'!$AJ$2:$AJ$9)/G24)</f>
        <v/>
      </c>
      <c r="O24" s="92" t="n">
        <f aca="false">IF(SUMPRODUCT('Historical Data'!$AS$2:$AS$9*'Historical Data'!$AP$2:$AP$9*'Historical Data'!$AM$2:$AM$9)=0,"",SUMPRODUCT('Historical Data'!$AS$2:$AS$9*'Historical Data'!$AP$2:$AP$9*'Historical Data'!$AM$2:$AM$9*'Historical Data'!$AL$2:$AL$9)/SUMPRODUCT('Historical Data'!$AS$2:$AS$9*'Historical Data'!$AP$2:$AP$9*'Historical Data'!$AM$2:$AM$9))</f>
        <v>0.2</v>
      </c>
      <c r="P24" s="93" t="n">
        <f aca="false">IF(E24=0,"",SUMPRODUCT('Historical Data'!$AS$2:$AS$9*'Historical Data'!$AP$2:$AP$9*'Historical Data'!$AA$2:$AA$9)/E24)</f>
        <v>108.275</v>
      </c>
      <c r="Q24" s="92" t="n">
        <f aca="false">IF(E24=0,"",SUMPRODUCT('Historical Data'!$AS$2:$AS$9*'Historical Data'!$AP$2:$AP$9*'Historical Data'!$M$2:$M$9)/E24)</f>
        <v>1.5</v>
      </c>
      <c r="R24" s="102" t="n">
        <f aca="false">IF(E24=0,"",G24/E24)</f>
        <v>10000</v>
      </c>
      <c r="S24" s="93" t="n">
        <f aca="false">IF(E24=0,"",SUMPRODUCT('Historical Data'!$AS$2:$AS$9*'Historical Data'!$AP$2:$AP$9*'Historical Data'!$AN$2:$AN$9)/E24)</f>
        <v>105</v>
      </c>
      <c r="T24" s="97" t="n">
        <f aca="false">IF(E24=0,"",SUMPRODUCT('Historical Data'!$AS$2:$AS$9*'Historical Data'!$AP$2:$AP$9*'Historical Data'!$AO$2:$AO$9)/E24)</f>
        <v>0</v>
      </c>
      <c r="U24" s="95" t="str">
        <f aca="false">IF(AND(E24&gt;=Controls!$B$40,G24&gt;=Controls!$B$41),"Yes","No")</f>
        <v>No</v>
      </c>
      <c r="V24" s="92" t="n">
        <f aca="false">IF(E24+Controls!$B$42=0,0,E24/(E24+Controls!$B$42))</f>
        <v>0.032258064516129</v>
      </c>
      <c r="W24" s="97" t="n">
        <f aca="false">IF(L24="",$C$10,V24*L24+(1-V24)*$C$10)</f>
        <v>0.41</v>
      </c>
      <c r="X24" s="92" t="n">
        <f aca="false">IF(OR($C$10="",$C$10=0),"",W24/$C$10)</f>
        <v>1</v>
      </c>
      <c r="Y24" s="95" t="n">
        <f aca="false">IF(U24="Yes",1,0)</f>
        <v>0</v>
      </c>
      <c r="Z24" s="97" t="n">
        <f aca="false">IF(L24="",0,ABS(W24-$C$10))</f>
        <v>0</v>
      </c>
      <c r="AA24" s="95" t="str">
        <f aca="false">IF(L24="","No","Yes")</f>
        <v>No</v>
      </c>
    </row>
    <row r="25" customFormat="false" ht="15" hidden="false" customHeight="false" outlineLevel="0" collapsed="false">
      <c r="A25" s="83" t="s">
        <v>250</v>
      </c>
      <c r="B25" s="99" t="s">
        <v>251</v>
      </c>
      <c r="C25" s="99" t="s">
        <v>251</v>
      </c>
      <c r="D25" s="95" t="n">
        <f aca="false">SUMPRODUCT('Historical Data'!$AT$2:$AT$9*'Historical Data'!$AD$2:$AD$9)</f>
        <v>4</v>
      </c>
      <c r="E25" s="95" t="n">
        <f aca="false">SUMPRODUCT('Historical Data'!$AT$2:$AT$9*'Historical Data'!$AP$2:$AP$9)</f>
        <v>3</v>
      </c>
      <c r="F25" s="97" t="n">
        <f aca="false">IF(D25=0,"",E25/D25)</f>
        <v>0.75</v>
      </c>
      <c r="G25" s="102" t="n">
        <f aca="false">SUMPRODUCT('Historical Data'!$AT$2:$AT$9*'Historical Data'!$AP$2:$AP$9*'Historical Data'!$N$2:$N$9)</f>
        <v>50000</v>
      </c>
      <c r="H25" s="95" t="n">
        <f aca="false">SUMPRODUCT('Historical Data'!$AT$2:$AT$9*'Historical Data'!$AP$2:$AP$9*'Historical Data'!$AH$2:$AH$9)</f>
        <v>0</v>
      </c>
      <c r="I25" s="97" t="n">
        <f aca="false">IF(E25=0,"",H25/E25)</f>
        <v>0</v>
      </c>
      <c r="J25" s="95" t="n">
        <f aca="false">SUMPRODUCT('Historical Data'!$AT$2:$AT$9*'Historical Data'!$AP$2:$AP$9*'Historical Data'!$AE$2:$AE$9)</f>
        <v>2</v>
      </c>
      <c r="K25" s="97" t="n">
        <f aca="false">IF(E25=0,"",J25/E25)</f>
        <v>0.666666666666667</v>
      </c>
      <c r="L25" s="97" t="n">
        <f aca="false">IF(OR(E25&lt;Controls!$B$43,G25=0),"",SUMPRODUCT('Historical Data'!$AT$2:$AT$9*'Historical Data'!$AP$2:$AP$9*'Historical Data'!$AK$2:$AK$9)/G25)</f>
        <v>0.43</v>
      </c>
      <c r="M25" s="97" t="n">
        <f aca="false">IF(OR(E25&lt;Controls!$B$43,SUMPRODUCT('Historical Data'!$AT$2:$AT$9*'Historical Data'!$AP$2:$AP$9*'Historical Data'!$AE$2:$AE$9*'Historical Data'!$N$2:$N$9)=0),"",SUMPRODUCT('Historical Data'!$AT$2:$AT$9*'Historical Data'!$AP$2:$AP$9*'Historical Data'!$AE$2:$AE$9*'Historical Data'!$Q$2:$Q$9)/SUMPRODUCT('Historical Data'!$AT$2:$AT$9*'Historical Data'!$AP$2:$AP$9*'Historical Data'!$AE$2:$AE$9*'Historical Data'!$N$2:$N$9))</f>
        <v>0.4625</v>
      </c>
      <c r="N25" s="97" t="n">
        <f aca="false">IF(OR(E25&lt;Controls!$B$43,G25=0),"",SUMPRODUCT('Historical Data'!$AT$2:$AT$9*'Historical Data'!$AP$2:$AP$9*'Historical Data'!$AJ$2:$AJ$9)/G25)</f>
        <v>-0.33</v>
      </c>
      <c r="O25" s="92" t="n">
        <f aca="false">IF(SUMPRODUCT('Historical Data'!$AT$2:$AT$9*'Historical Data'!$AP$2:$AP$9*'Historical Data'!$AM$2:$AM$9)=0,"",SUMPRODUCT('Historical Data'!$AT$2:$AT$9*'Historical Data'!$AP$2:$AP$9*'Historical Data'!$AM$2:$AM$9*'Historical Data'!$AL$2:$AL$9)/SUMPRODUCT('Historical Data'!$AT$2:$AT$9*'Historical Data'!$AP$2:$AP$9*'Historical Data'!$AM$2:$AM$9))</f>
        <v>0.4</v>
      </c>
      <c r="P25" s="93" t="n">
        <f aca="false">IF(E25=0,"",SUMPRODUCT('Historical Data'!$AT$2:$AT$9*'Historical Data'!$AP$2:$AP$9*'Historical Data'!$AA$2:$AA$9)/E25)</f>
        <v>108.275</v>
      </c>
      <c r="Q25" s="92" t="n">
        <f aca="false">IF(E25=0,"",SUMPRODUCT('Historical Data'!$AT$2:$AT$9*'Historical Data'!$AP$2:$AP$9*'Historical Data'!$M$2:$M$9)/E25)</f>
        <v>1.5</v>
      </c>
      <c r="R25" s="102" t="n">
        <f aca="false">IF(E25=0,"",G25/E25)</f>
        <v>16666.6666666667</v>
      </c>
      <c r="S25" s="93" t="n">
        <f aca="false">IF(E25=0,"",SUMPRODUCT('Historical Data'!$AT$2:$AT$9*'Historical Data'!$AP$2:$AP$9*'Historical Data'!$AN$2:$AN$9)/E25)</f>
        <v>99.3333333333333</v>
      </c>
      <c r="T25" s="97" t="n">
        <f aca="false">IF(E25=0,"",SUMPRODUCT('Historical Data'!$AT$2:$AT$9*'Historical Data'!$AP$2:$AP$9*'Historical Data'!$AO$2:$AO$9)/E25)</f>
        <v>0.333333333333333</v>
      </c>
      <c r="U25" s="95" t="str">
        <f aca="false">IF(AND(E25&gt;=Controls!$B$40,G25&gt;=Controls!$B$41),"Yes","No")</f>
        <v>Yes</v>
      </c>
      <c r="V25" s="92" t="n">
        <f aca="false">IF(E25+Controls!$B$42=0,0,E25/(E25+Controls!$B$42))</f>
        <v>0.0909090909090909</v>
      </c>
      <c r="W25" s="97" t="n">
        <f aca="false">IF(L25="",$C$10,V25*L25+(1-V25)*$C$10)</f>
        <v>0.411818181818182</v>
      </c>
      <c r="X25" s="92" t="n">
        <f aca="false">IF(OR($C$10="",$C$10=0),"",W25/$C$10)</f>
        <v>1.00443458980044</v>
      </c>
      <c r="Y25" s="95" t="n">
        <f aca="false">IF(U25="Yes",1,0)</f>
        <v>1</v>
      </c>
      <c r="Z25" s="97" t="n">
        <f aca="false">IF(L25="",0,ABS(W25-$C$10))</f>
        <v>0.00181818181818177</v>
      </c>
      <c r="AA25" s="95" t="str">
        <f aca="false">IF(L25="","No","Yes")</f>
        <v>Yes</v>
      </c>
    </row>
    <row r="26" customFormat="false" ht="15" hidden="false" customHeight="false" outlineLevel="0" collapsed="false">
      <c r="A26" s="83" t="s">
        <v>252</v>
      </c>
      <c r="B26" s="99" t="s">
        <v>253</v>
      </c>
      <c r="C26" s="99" t="s">
        <v>253</v>
      </c>
      <c r="D26" s="95" t="n">
        <f aca="false">SUMPRODUCT('Historical Data'!$AU$2:$AU$9*'Historical Data'!$AD$2:$AD$9)</f>
        <v>4</v>
      </c>
      <c r="E26" s="95" t="n">
        <f aca="false">SUMPRODUCT('Historical Data'!$AU$2:$AU$9*'Historical Data'!$AP$2:$AP$9)</f>
        <v>3</v>
      </c>
      <c r="F26" s="97" t="n">
        <f aca="false">IF(D26=0,"",E26/D26)</f>
        <v>0.75</v>
      </c>
      <c r="G26" s="102" t="n">
        <f aca="false">SUMPRODUCT('Historical Data'!$AU$2:$AU$9*'Historical Data'!$AP$2:$AP$9*'Historical Data'!$N$2:$N$9)</f>
        <v>50000</v>
      </c>
      <c r="H26" s="95" t="n">
        <f aca="false">SUMPRODUCT('Historical Data'!$AU$2:$AU$9*'Historical Data'!$AP$2:$AP$9*'Historical Data'!$AH$2:$AH$9)</f>
        <v>0</v>
      </c>
      <c r="I26" s="97" t="n">
        <f aca="false">IF(E26=0,"",H26/E26)</f>
        <v>0</v>
      </c>
      <c r="J26" s="95" t="n">
        <f aca="false">SUMPRODUCT('Historical Data'!$AU$2:$AU$9*'Historical Data'!$AP$2:$AP$9*'Historical Data'!$AE$2:$AE$9)</f>
        <v>2</v>
      </c>
      <c r="K26" s="97" t="n">
        <f aca="false">IF(E26=0,"",J26/E26)</f>
        <v>0.666666666666667</v>
      </c>
      <c r="L26" s="97" t="n">
        <f aca="false">IF(OR(E26&lt;Controls!$B$43,G26=0),"",SUMPRODUCT('Historical Data'!$AU$2:$AU$9*'Historical Data'!$AP$2:$AP$9*'Historical Data'!$AK$2:$AK$9)/G26)</f>
        <v>0.43</v>
      </c>
      <c r="M26" s="97" t="n">
        <f aca="false">IF(OR(E26&lt;Controls!$B$43,SUMPRODUCT('Historical Data'!$AU$2:$AU$9*'Historical Data'!$AP$2:$AP$9*'Historical Data'!$AE$2:$AE$9*'Historical Data'!$N$2:$N$9)=0),"",SUMPRODUCT('Historical Data'!$AU$2:$AU$9*'Historical Data'!$AP$2:$AP$9*'Historical Data'!$AE$2:$AE$9*'Historical Data'!$Q$2:$Q$9)/SUMPRODUCT('Historical Data'!$AU$2:$AU$9*'Historical Data'!$AP$2:$AP$9*'Historical Data'!$AE$2:$AE$9*'Historical Data'!$N$2:$N$9))</f>
        <v>0.4625</v>
      </c>
      <c r="N26" s="97" t="n">
        <f aca="false">IF(OR(E26&lt;Controls!$B$43,G26=0),"",SUMPRODUCT('Historical Data'!$AU$2:$AU$9*'Historical Data'!$AP$2:$AP$9*'Historical Data'!$AJ$2:$AJ$9)/G26)</f>
        <v>-0.33</v>
      </c>
      <c r="O26" s="92" t="n">
        <f aca="false">IF(SUMPRODUCT('Historical Data'!$AU$2:$AU$9*'Historical Data'!$AP$2:$AP$9*'Historical Data'!$AM$2:$AM$9)=0,"",SUMPRODUCT('Historical Data'!$AU$2:$AU$9*'Historical Data'!$AP$2:$AP$9*'Historical Data'!$AM$2:$AM$9*'Historical Data'!$AL$2:$AL$9)/SUMPRODUCT('Historical Data'!$AU$2:$AU$9*'Historical Data'!$AP$2:$AP$9*'Historical Data'!$AM$2:$AM$9))</f>
        <v>0.4</v>
      </c>
      <c r="P26" s="93" t="n">
        <f aca="false">IF(E26=0,"",SUMPRODUCT('Historical Data'!$AU$2:$AU$9*'Historical Data'!$AP$2:$AP$9*'Historical Data'!$AA$2:$AA$9)/E26)</f>
        <v>108.275</v>
      </c>
      <c r="Q26" s="92" t="n">
        <f aca="false">IF(E26=0,"",SUMPRODUCT('Historical Data'!$AU$2:$AU$9*'Historical Data'!$AP$2:$AP$9*'Historical Data'!$M$2:$M$9)/E26)</f>
        <v>1.5</v>
      </c>
      <c r="R26" s="102" t="n">
        <f aca="false">IF(E26=0,"",G26/E26)</f>
        <v>16666.6666666667</v>
      </c>
      <c r="S26" s="93" t="n">
        <f aca="false">IF(E26=0,"",SUMPRODUCT('Historical Data'!$AU$2:$AU$9*'Historical Data'!$AP$2:$AP$9*'Historical Data'!$AN$2:$AN$9)/E26)</f>
        <v>99.3333333333333</v>
      </c>
      <c r="T26" s="97" t="n">
        <f aca="false">IF(E26=0,"",SUMPRODUCT('Historical Data'!$AU$2:$AU$9*'Historical Data'!$AP$2:$AP$9*'Historical Data'!$AO$2:$AO$9)/E26)</f>
        <v>0.333333333333333</v>
      </c>
      <c r="U26" s="95" t="str">
        <f aca="false">IF(AND(E26&gt;=Controls!$B$40,G26&gt;=Controls!$B$41),"Yes","No")</f>
        <v>Yes</v>
      </c>
      <c r="V26" s="92" t="n">
        <f aca="false">IF(E26+Controls!$B$42=0,0,E26/(E26+Controls!$B$42))</f>
        <v>0.0909090909090909</v>
      </c>
      <c r="W26" s="97" t="n">
        <f aca="false">IF(L26="",$C$10,V26*L26+(1-V26)*$C$10)</f>
        <v>0.411818181818182</v>
      </c>
      <c r="X26" s="92" t="n">
        <f aca="false">IF(OR($C$10="",$C$10=0),"",W26/$C$10)</f>
        <v>1.00443458980044</v>
      </c>
      <c r="Y26" s="95" t="n">
        <f aca="false">IF(U26="Yes",1,0)</f>
        <v>1</v>
      </c>
      <c r="Z26" s="97" t="n">
        <f aca="false">IF(L26="",0,ABS(W26-$C$10))</f>
        <v>0.00181818181818177</v>
      </c>
      <c r="AA26" s="95" t="str">
        <f aca="false">IF(L26="","No","Yes")</f>
        <v>Yes</v>
      </c>
    </row>
    <row r="28" customFormat="false" ht="15" hidden="false" customHeight="false" outlineLevel="0" collapsed="false">
      <c r="A28" s="8" t="s">
        <v>254</v>
      </c>
      <c r="B28" s="8"/>
      <c r="C28" s="8"/>
    </row>
    <row r="29" customFormat="false" ht="15" hidden="false" customHeight="false" outlineLevel="0" collapsed="false">
      <c r="B29" s="99" t="s">
        <v>255</v>
      </c>
      <c r="C29" s="105" t="n">
        <f aca="false">IFERROR(MATCH(1,$Y$14:$Y$20,0),7)</f>
        <v>6</v>
      </c>
    </row>
    <row r="30" customFormat="false" ht="15" hidden="false" customHeight="false" outlineLevel="0" collapsed="false">
      <c r="B30" s="99" t="s">
        <v>256</v>
      </c>
      <c r="C30" s="88" t="str">
        <f aca="false">INDEX($B$14:$B$20,$C$29)</f>
        <v>T6: new/renewal only</v>
      </c>
    </row>
    <row r="31" customFormat="false" ht="15" hidden="false" customHeight="false" outlineLevel="0" collapsed="false">
      <c r="B31" s="99" t="s">
        <v>257</v>
      </c>
      <c r="C31" s="88" t="str">
        <f aca="false">TEXT(INDEX($E$14:$E$20,$C$29),"#,##0")&amp;" / "&amp;TEXT(INDEX($D$14:$D$20,$C$29),"#,##0")</f>
        <v>5 / 6</v>
      </c>
    </row>
    <row r="32" customFormat="false" ht="15" hidden="false" customHeight="false" outlineLevel="0" collapsed="false">
      <c r="B32" s="99" t="s">
        <v>258</v>
      </c>
      <c r="C32" s="106" t="n">
        <f aca="false">INDEX($F$14:$F$20,$C$29)</f>
        <v>0.833333333333333</v>
      </c>
    </row>
    <row r="33" customFormat="false" ht="15" hidden="false" customHeight="false" outlineLevel="0" collapsed="false">
      <c r="B33" s="99" t="s">
        <v>259</v>
      </c>
      <c r="C33" s="106" t="n">
        <f aca="false">INDEX($L$14:$L$20,$C$29)</f>
        <v>0.508333333333333</v>
      </c>
    </row>
    <row r="34" customFormat="false" ht="15" hidden="false" customHeight="false" outlineLevel="0" collapsed="false">
      <c r="B34" s="99" t="s">
        <v>260</v>
      </c>
      <c r="C34" s="106" t="n">
        <f aca="false">INDEX($I$14:$I$20,$C$29)</f>
        <v>0</v>
      </c>
    </row>
    <row r="35" customFormat="false" ht="15" hidden="false" customHeight="false" outlineLevel="0" collapsed="false">
      <c r="B35" s="99" t="s">
        <v>261</v>
      </c>
      <c r="C35" s="106" t="n">
        <f aca="false">INDEX($N$14:$N$20,$C$29)</f>
        <v>-0.383333333333333</v>
      </c>
    </row>
    <row r="36" customFormat="false" ht="15" hidden="false" customHeight="false" outlineLevel="0" collapsed="false">
      <c r="B36" s="99" t="s">
        <v>262</v>
      </c>
      <c r="C36" s="106" t="n">
        <f aca="false">INDEX($M$14:$M$20,$C$29)</f>
        <v>0.322222222222222</v>
      </c>
    </row>
    <row r="37" customFormat="false" ht="15" hidden="false" customHeight="false" outlineLevel="0" collapsed="false">
      <c r="B37" s="99" t="s">
        <v>224</v>
      </c>
      <c r="C37" s="107" t="n">
        <f aca="false">INDEX($V$14:$V$20,$C$29)</f>
        <v>0.142857142857143</v>
      </c>
    </row>
    <row r="38" customFormat="false" ht="15" hidden="false" customHeight="false" outlineLevel="0" collapsed="false">
      <c r="B38" s="99" t="s">
        <v>90</v>
      </c>
      <c r="C38" s="106" t="n">
        <f aca="false">INDEX($W$14:$W$20,$C$29)</f>
        <v>0.424047619047619</v>
      </c>
    </row>
    <row r="39" customFormat="false" ht="15" hidden="false" customHeight="false" outlineLevel="0" collapsed="false">
      <c r="B39" s="99" t="s">
        <v>263</v>
      </c>
      <c r="C39" s="107" t="n">
        <f aca="false">INDEX($X$14:$X$20,$C$29)</f>
        <v>1.034262485482</v>
      </c>
    </row>
    <row r="40" customFormat="false" ht="15" hidden="false" customHeight="false" outlineLevel="0" collapsed="false">
      <c r="B40" s="99" t="s">
        <v>264</v>
      </c>
      <c r="C40" s="105" t="n">
        <f aca="false">IF(OR(C29=7,C39=""),3,COUNTIF(Controls!$A$49:$A$54,"&lt;"&amp;C39)+1)</f>
        <v>3</v>
      </c>
    </row>
    <row r="41" customFormat="false" ht="15" hidden="false" customHeight="false" outlineLevel="0" collapsed="false">
      <c r="B41" s="99" t="s">
        <v>265</v>
      </c>
      <c r="C41" s="88" t="str">
        <f aca="false">INDEX(Controls!$B$49:$B$54,C40)</f>
        <v>Neutral</v>
      </c>
    </row>
    <row r="42" customFormat="false" ht="15" hidden="false" customHeight="false" outlineLevel="0" collapsed="false">
      <c r="B42" s="99" t="s">
        <v>266</v>
      </c>
      <c r="C42" s="108" t="n">
        <f aca="false">INDEX(Controls!$C$49:$C$54,C40)</f>
        <v>0</v>
      </c>
    </row>
    <row r="43" customFormat="false" ht="15" hidden="false" customHeight="false" outlineLevel="0" collapsed="false">
      <c r="B43" s="99" t="s">
        <v>267</v>
      </c>
      <c r="C43" s="107" t="n">
        <f aca="false">INDEX(Controls!$D$49:$D$54,C40)</f>
        <v>1</v>
      </c>
    </row>
    <row r="44" customFormat="false" ht="15" hidden="false" customHeight="false" outlineLevel="0" collapsed="false">
      <c r="B44" s="99" t="s">
        <v>268</v>
      </c>
      <c r="C44" s="105" t="n">
        <f aca="false">INDEX(Controls!$E$49:$E$54,C40)</f>
        <v>0</v>
      </c>
    </row>
    <row r="45" customFormat="false" ht="15" hidden="false" customHeight="false" outlineLevel="0" collapsed="false">
      <c r="B45" s="99" t="s">
        <v>269</v>
      </c>
      <c r="C45" s="105" t="n">
        <f aca="false">INDEX(Controls!$F$49:$F$54,C40)</f>
        <v>0</v>
      </c>
    </row>
    <row r="46" customFormat="false" ht="15" hidden="false" customHeight="false" outlineLevel="0" collapsed="false">
      <c r="B46" s="99" t="s">
        <v>172</v>
      </c>
      <c r="C46" s="88" t="str">
        <f aca="false">INDEX(Controls!$G$49:$G$54,C40)</f>
        <v>As proposed</v>
      </c>
    </row>
    <row r="47" customFormat="false" ht="15" hidden="false" customHeight="false" outlineLevel="0" collapsed="false">
      <c r="B47" s="99" t="s">
        <v>270</v>
      </c>
      <c r="C47" s="88" t="str">
        <f aca="false">INDEX(Controls!$H$49:$H$54,C40)</f>
        <v>N</v>
      </c>
    </row>
    <row r="48" customFormat="false" ht="15" hidden="false" customHeight="false" outlineLevel="0" collapsed="false">
      <c r="B48" s="99" t="s">
        <v>271</v>
      </c>
      <c r="C48" s="88" t="str">
        <f aca="false">IF(MAX($Z$22:$Z$25)=0,"none rated",INDEX($B$22:$B$25,MATCH(MAX($Z$22:$Z$25),$Z$22:$Z$25,0)))</f>
        <v>New/renewal only</v>
      </c>
    </row>
    <row r="49" customFormat="false" ht="15" hidden="false" customHeight="false" outlineLevel="0" collapsed="false">
      <c r="B49" s="99" t="s">
        <v>272</v>
      </c>
      <c r="C49" s="88" t="str">
        <f aca="false">IF(MAX($Z$22:$Z$25)=0,"",TEXT(INDEX($W$22:$W$25,MATCH(MAX($Z$22:$Z$25),$Z$22:$Z$25,0)),"0.0%")&amp;" vs "&amp;TEXT($C$10,"0.0%")&amp;" book ("&amp;TEXT(INDEX($E$22:$E$25,MATCH(MAX($Z$22:$Z$25),$Z$22:$Z$25,0)),"0")&amp;" seasoned deals)")</f>
        <v>42.4% vs 41.0% book (5 seasoned deals)</v>
      </c>
    </row>
    <row r="50" customFormat="false" ht="15" hidden="false" customHeight="false" outlineLevel="0" collapsed="false">
      <c r="B50" s="99" t="s">
        <v>44</v>
      </c>
      <c r="C50" s="88" t="str">
        <f aca="false">IF($C$8="","not entered",IF($E$25=0,$C$8&amp;": no seasoned deals in the book",IF($L$25="",$C$8&amp;": "&amp;$E$25&amp;" seasoned deals - too few to rate",$C$8&amp;": "&amp;$E$25&amp;" seasoned deals, lost "&amp;TEXT($L$25,"0.0%")&amp;" vs "&amp;TEXT($C$10,"0.0%")&amp;" book, Z "&amp;TEXT($V$25,"0.00")&amp;" -&gt; "&amp;IF($X$25&lt;=Controls!$A$50,"stronger than book",IF($X$25&lt;=Controls!$A$51,"neutral","weaker than book")))))</f>
        <v>Fundwell: 3 seasoned deals, lost 43.0% vs 41.0% book, Z 0.09 -&gt; neutral</v>
      </c>
    </row>
    <row r="51" customFormat="false" ht="15" hidden="false" customHeight="false" outlineLevel="0" collapsed="false">
      <c r="B51" s="99" t="s">
        <v>94</v>
      </c>
      <c r="C51" s="88" t="str">
        <f aca="false">IF($C$7="","not entered",IF($E$24=0,$C$7&amp;": no seasoned deals in the book",IF($L$24="",$C$7&amp;": "&amp;$E$24&amp;" seasoned deals - too few to rate",$C$7&amp;": "&amp;$E$24&amp;" seasoned deals, lost "&amp;TEXT($L$24,"0.0%")&amp;" vs "&amp;TEXT($C$10,"0.0%")&amp;" book, Z "&amp;TEXT($V$24,"0.00")&amp;" -&gt; "&amp;IF($X$24&lt;=Controls!$A$50,"stronger than book",IF($X$24&lt;=Controls!$A$51,"neutral","weaker than book")))))</f>
        <v>Eating &amp; Drinking Places: 1 seasoned deals - too few to rate</v>
      </c>
    </row>
    <row r="52" customFormat="false" ht="15" hidden="false" customHeight="false" outlineLevel="0" collapsed="false">
      <c r="B52" s="99" t="s">
        <v>95</v>
      </c>
      <c r="C52" s="88" t="str">
        <f aca="false">IF($C$5="","not entered",IF($L$23="",$C$5&amp;": "&amp;$E$23&amp;" seasoned deals - too few to rate",$C$5&amp;": "&amp;$E$23&amp;" seasoned deals, lost "&amp;TEXT($L$23,"0.0%")&amp;" vs "&amp;TEXT($C$10,"0.0%")&amp;" book -&gt; "&amp;IF($X$23&lt;=Controls!$A$50,"stronger than book",IF($X$23&lt;=Controls!$A$51,"neutral","weaker than book"))))</f>
        <v>New Deal: 5 seasoned deals, lost 50.8% vs 41.0% book -&gt; neutral</v>
      </c>
    </row>
    <row r="53" customFormat="false" ht="15" hidden="false" customHeight="false" outlineLevel="0" collapsed="false">
      <c r="B53" s="99" t="s">
        <v>96</v>
      </c>
      <c r="C53" s="88" t="str">
        <f aca="false">IF($C$6="","not entered",IF($L$22="","position "&amp;$C$6&amp;": "&amp;$E$22&amp;" seasoned deals - too few to rate","position "&amp;$C$6&amp;": "&amp;$E$22&amp;" seasoned deals, lost "&amp;TEXT($L$22,"0.0%")&amp;" vs "&amp;TEXT($C$10,"0.0%")&amp;" book -&gt; "&amp;IF($X$22&lt;=Controls!$A$50,"stronger than book",IF($X$22&lt;=Controls!$A$51,"neutral","weaker than book"))))</f>
        <v>position 1: 1 seasoned deals - too few to rate</v>
      </c>
    </row>
    <row r="54" customFormat="false" ht="15" hidden="false" customHeight="false" outlineLevel="0" collapsed="false">
      <c r="B54" s="99" t="s">
        <v>273</v>
      </c>
      <c r="C54" s="88" t="str">
        <f aca="false">IF($C$9="","not entered - not needed",IF($E$26=0,$C$9&amp;": no seasoned deals",IF($L$26="",$C$9&amp;": "&amp;$E$26&amp;" seasoned deals - too few to rate",$C$9&amp;": "&amp;$E$26&amp;" seasoned deals, lost "&amp;TEXT($L$26,"0.0%")&amp;" vs "&amp;TEXT($C$10,"0.0%")&amp;" book - informational only")))</f>
        <v>NJ: 3 seasoned deals, lost 43.0% vs 41.0% book - informational only</v>
      </c>
    </row>
    <row r="55" customFormat="false" ht="15" hidden="false" customHeight="false" outlineLevel="0" collapsed="false">
      <c r="B55" s="99" t="s">
        <v>274</v>
      </c>
      <c r="C55" s="88" t="str">
        <f aca="false">IF(OR($L$24="",$L$25=""),"No",IF(OR(AND($X$24&lt;Controls!$A$50,$X$25&gt;Controls!$A$51),AND($X$25&lt;Controls!$A$50,$X$24&gt;Controls!$A$51)),"YES - review both cohorts","No"))</f>
        <v>No</v>
      </c>
    </row>
    <row r="56" customFormat="false" ht="15" hidden="false" customHeight="false" outlineLevel="0" collapsed="false">
      <c r="B56" s="99" t="s">
        <v>152</v>
      </c>
      <c r="C56" s="88" t="str">
        <f aca="false">IF($C$29=7,"No cohort met the minimums - book baseline, modifier Neutral; ","")&amp;IF(C29&lt;&gt;1,"Tighter tiers 1-"&amp;(C29-1)&amp;" too small; ","")&amp;IF(C55&lt;&gt;"No","Conflicting ISO / industry signals; ","")</f>
        <v>Tighter tiers 1-5 too small; </v>
      </c>
    </row>
  </sheetData>
  <mergeCells count="2">
    <mergeCell ref="A4:C4"/>
    <mergeCell ref="A28:C28"/>
  </mergeCells>
  <conditionalFormatting sqref="U14:U26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4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6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3" min="12" style="0" width="11"/>
    <col collapsed="false" customWidth="true" hidden="false" outlineLevel="0" max="14" min="14" style="0" width="7"/>
    <col collapsed="false" customWidth="true" hidden="false" outlineLevel="0" max="16" min="15" style="0" width="11"/>
    <col collapsed="false" customWidth="true" hidden="false" outlineLevel="0" max="21" min="17" style="0" width="8"/>
    <col collapsed="false" customWidth="true" hidden="false" outlineLevel="0" max="22" min="22" style="0" width="7"/>
    <col collapsed="false" customWidth="true" hidden="false" outlineLevel="0" max="23" min="23" style="0" width="9"/>
    <col collapsed="false" customWidth="true" hidden="false" outlineLevel="0" max="24" min="24" style="0" width="40"/>
  </cols>
  <sheetData>
    <row r="1" customFormat="false" ht="17.35" hidden="false" customHeight="false" outlineLevel="0" collapsed="false">
      <c r="A1" s="87" t="s">
        <v>275</v>
      </c>
    </row>
    <row r="2" customFormat="false" ht="15" hidden="false" customHeight="false" outlineLevel="0" collapsed="false">
      <c r="A2" s="109" t="str">
        <f aca="false">"Primary cohort: "&amp;'Historical Score'!$C$30&amp;"   |   "&amp;'Historical Score'!$C$31&amp;" seasoned / all   |   first 400 listed"</f>
        <v>Primary cohort: T6: new/renewal only   |   5 / 6 seasoned / all   |   first 400 listed</v>
      </c>
    </row>
    <row r="4" customFormat="false" ht="30" hidden="false" customHeight="true" outlineLevel="0" collapsed="false">
      <c r="A4" s="75" t="s">
        <v>276</v>
      </c>
      <c r="B4" s="75" t="s">
        <v>277</v>
      </c>
      <c r="C4" s="75" t="s">
        <v>278</v>
      </c>
      <c r="D4" s="75" t="s">
        <v>74</v>
      </c>
      <c r="E4" s="75" t="s">
        <v>279</v>
      </c>
      <c r="F4" s="75" t="s">
        <v>96</v>
      </c>
      <c r="G4" s="75" t="s">
        <v>94</v>
      </c>
      <c r="H4" s="75" t="s">
        <v>44</v>
      </c>
      <c r="I4" s="75" t="s">
        <v>280</v>
      </c>
      <c r="J4" s="75" t="s">
        <v>281</v>
      </c>
      <c r="K4" s="75" t="s">
        <v>18</v>
      </c>
      <c r="L4" s="75" t="s">
        <v>282</v>
      </c>
      <c r="M4" s="75" t="s">
        <v>283</v>
      </c>
      <c r="N4" s="75" t="s">
        <v>284</v>
      </c>
      <c r="O4" s="75" t="s">
        <v>285</v>
      </c>
      <c r="P4" s="75" t="s">
        <v>286</v>
      </c>
      <c r="Q4" s="75" t="s">
        <v>287</v>
      </c>
      <c r="R4" s="75" t="s">
        <v>288</v>
      </c>
      <c r="S4" s="75" t="s">
        <v>289</v>
      </c>
      <c r="T4" s="75" t="s">
        <v>207</v>
      </c>
      <c r="U4" s="75" t="s">
        <v>290</v>
      </c>
      <c r="V4" s="75" t="s">
        <v>291</v>
      </c>
      <c r="W4" s="75" t="s">
        <v>292</v>
      </c>
      <c r="X4" s="75" t="s">
        <v>293</v>
      </c>
    </row>
    <row r="5" customFormat="false" ht="15" hidden="false" customHeight="false" outlineLevel="0" collapsed="false">
      <c r="A5" s="110" t="n">
        <v>1</v>
      </c>
      <c r="B5" s="111" t="str">
        <f aca="false">IFERROR(INDEX('Historical Data'!$A$2:$A$9,MATCH($A5,'Historical Data'!$BE$2:$BE$9,0)),"")</f>
        <v>A-001</v>
      </c>
      <c r="C5" s="111" t="str">
        <f aca="false">IFERROR(INDEX('Historical Data'!$B$2:$B$9,MATCH($A5,'Historical Data'!$BE$2:$BE$9,0)),"")</f>
        <v>Ridgeline Cafe</v>
      </c>
      <c r="D5" s="111" t="str">
        <f aca="false">IFERROR(INDEX('Historical Data'!$D$2:$D$9,MATCH($A5,'Historical Data'!$BE$2:$BE$9,0)),"")</f>
        <v>Closed</v>
      </c>
      <c r="E5" s="112" t="n">
        <f aca="false">IFERROR(INDEX('Historical Data'!$E$2:$E$9,MATCH($A5,'Historical Data'!$BE$2:$BE$9,0)),"")</f>
        <v>45672</v>
      </c>
      <c r="F5" s="111" t="n">
        <f aca="false">IFERROR(INDEX('Historical Data'!$G$2:$G$9,MATCH($A5,'Historical Data'!$BE$2:$BE$9,0)),"")</f>
        <v>1</v>
      </c>
      <c r="G5" s="111" t="str">
        <f aca="false">IFERROR(INDEX('Historical Data'!$Y$2:$Y$9,MATCH($A5,'Historical Data'!$BE$2:$BE$9,0)),"")</f>
        <v>Eating &amp; Drinking Places</v>
      </c>
      <c r="H5" s="111" t="str">
        <f aca="false">IFERROR(INDEX('Historical Data'!$K$2:$K$9,MATCH($A5,'Historical Data'!$BE$2:$BE$9,0)),"")</f>
        <v>Fundwell</v>
      </c>
      <c r="I5" s="111" t="str">
        <f aca="false">IFERROR(INDEX('Historical Data'!$J$2:$J$9,MATCH($A5,'Historical Data'!$BE$2:$BE$9,0)),"")</f>
        <v>NJ</v>
      </c>
      <c r="J5" s="111" t="str">
        <f aca="false">IFERROR(INDEX('Historical Data'!$L$2:$L$9,MATCH($A5,'Historical Data'!$BE$2:$BE$9,0)),"")</f>
        <v>New Deal</v>
      </c>
      <c r="K5" s="113" t="n">
        <f aca="false">IFERROR(INDEX('Historical Data'!$M$2:$M$9,MATCH($A5,'Historical Data'!$BE$2:$BE$9,0)),"")</f>
        <v>1.5</v>
      </c>
      <c r="L5" s="114" t="n">
        <f aca="false">IFERROR(INDEX('Historical Data'!$N$2:$N$9,MATCH($A5,'Historical Data'!$BE$2:$BE$9,0)),"")</f>
        <v>10000</v>
      </c>
      <c r="M5" s="114" t="n">
        <f aca="false">IFERROR(INDEX('Historical Data'!$Q$2:$Q$9,MATCH($A5,'Historical Data'!$BE$2:$BE$9,0)),"")</f>
        <v>15000</v>
      </c>
      <c r="N5" s="115" t="n">
        <f aca="false">IFERROR(INDEX('Historical Data'!$S$2:$S$9,MATCH($A5,'Historical Data'!$BE$2:$BE$9,0)),"")</f>
        <v>1</v>
      </c>
      <c r="O5" s="114" t="n">
        <f aca="false">IFERROR(INDEX('Historical Data'!$AJ$2:$AJ$9,MATCH($A5,'Historical Data'!$BE$2:$BE$9,0)),"")</f>
        <v>5000</v>
      </c>
      <c r="P5" s="114" t="n">
        <f aca="false">IFERROR(INDEX('Historical Data'!$AK$2:$AK$9,MATCH($A5,'Historical Data'!$BE$2:$BE$9,0)),"")</f>
        <v>0</v>
      </c>
      <c r="Q5" s="111" t="n">
        <f aca="false">IFERROR(INDEX('Historical Data'!$AA$2:$AA$9,MATCH($A5,'Historical Data'!$BE$2:$BE$9,0)),"")</f>
        <v>108.275</v>
      </c>
      <c r="R5" s="111" t="n">
        <f aca="false">IFERROR(INDEX('Historical Data'!$AB$2:$AB$9,MATCH($A5,'Historical Data'!$BE$2:$BE$9,0)),"")</f>
        <v>405</v>
      </c>
      <c r="S5" s="111" t="n">
        <f aca="false">IFERROR(INDEX('Historical Data'!$AN$2:$AN$9,MATCH($A5,'Historical Data'!$BE$2:$BE$9,0)),"")</f>
        <v>105</v>
      </c>
      <c r="T5" s="111" t="n">
        <f aca="false">IFERROR(INDEX('Historical Data'!$AC$2:$AC$9,MATCH($A5,'Historical Data'!$BE$2:$BE$9,0)),"")</f>
        <v>1</v>
      </c>
      <c r="U5" s="111" t="n">
        <f aca="false">IFERROR(INDEX('Historical Data'!$AE$2:$AE$9,MATCH($A5,'Historical Data'!$BE$2:$BE$9,0)),"")</f>
        <v>0</v>
      </c>
      <c r="V5" s="111" t="n">
        <f aca="false">IFERROR(INDEX('Historical Data'!$AH$2:$AH$9,MATCH($A5,'Historical Data'!$BE$2:$BE$9,0)),"")</f>
        <v>0</v>
      </c>
      <c r="W5" s="111" t="n">
        <f aca="false">IFERROR(INDEX('Historical Data'!$BC$2:$BC$9,MATCH($A5,'Historical Data'!$BE$2:$BE$9,0)),"")</f>
        <v>1</v>
      </c>
      <c r="X5" s="110" t="str">
        <f aca="false">IF(B5="","",IF(W5=1,"NR + industry + position",IF(W5=2,"NR + ISO + position",IF(W5=3,"NR + industry",IF(W5=4,"NR + ISO",IF(W5=5,"NR + position",IF(W5=6,"NR only","book baseline"))))))&amp;"  ["&amp;IF(T5=1,"seasoned","unseasoned")&amp;IF(U5=1,", defaulted","")&amp;IF(V5=1,", open","")&amp;"]")</f>
        <v>NR + industry + position  [seasoned]</v>
      </c>
    </row>
    <row r="6" customFormat="false" ht="15" hidden="false" customHeight="false" outlineLevel="0" collapsed="false">
      <c r="A6" s="110" t="n">
        <v>2</v>
      </c>
      <c r="B6" s="111" t="str">
        <f aca="false">IFERROR(INDEX('Historical Data'!$A$2:$A$9,MATCH($A6,'Historical Data'!$BE$2:$BE$9,0)),"")</f>
        <v>A-003</v>
      </c>
      <c r="C6" s="111" t="str">
        <f aca="false">IFERROR(INDEX('Historical Data'!$B$2:$B$9,MATCH($A6,'Historical Data'!$BE$2:$BE$9,0)),"")</f>
        <v>Kane Construction</v>
      </c>
      <c r="D6" s="111" t="str">
        <f aca="false">IFERROR(INDEX('Historical Data'!$D$2:$D$9,MATCH($A6,'Historical Data'!$BE$2:$BE$9,0)),"")</f>
        <v>Legal</v>
      </c>
      <c r="E6" s="112" t="n">
        <f aca="false">IFERROR(INDEX('Historical Data'!$E$2:$E$9,MATCH($A6,'Historical Data'!$BE$2:$BE$9,0)),"")</f>
        <v>45721</v>
      </c>
      <c r="F6" s="111" t="n">
        <f aca="false">IFERROR(INDEX('Historical Data'!$G$2:$G$9,MATCH($A6,'Historical Data'!$BE$2:$BE$9,0)),"")</f>
        <v>3</v>
      </c>
      <c r="G6" s="111" t="str">
        <f aca="false">IFERROR(INDEX('Historical Data'!$Y$2:$Y$9,MATCH($A6,'Historical Data'!$BE$2:$BE$9,0)),"")</f>
        <v>General Building Contractors</v>
      </c>
      <c r="H6" s="111" t="str">
        <f aca="false">IFERROR(INDEX('Historical Data'!$K$2:$K$9,MATCH($A6,'Historical Data'!$BE$2:$BE$9,0)),"")</f>
        <v>Fundwell</v>
      </c>
      <c r="I6" s="111" t="str">
        <f aca="false">IFERROR(INDEX('Historical Data'!$J$2:$J$9,MATCH($A6,'Historical Data'!$BE$2:$BE$9,0)),"")</f>
        <v>NJ</v>
      </c>
      <c r="J6" s="111" t="str">
        <f aca="false">IFERROR(INDEX('Historical Data'!$L$2:$L$9,MATCH($A6,'Historical Data'!$BE$2:$BE$9,0)),"")</f>
        <v>New Deal</v>
      </c>
      <c r="K6" s="113" t="n">
        <f aca="false">IFERROR(INDEX('Historical Data'!$M$2:$M$9,MATCH($A6,'Historical Data'!$BE$2:$BE$9,0)),"")</f>
        <v>1.5</v>
      </c>
      <c r="L6" s="114" t="n">
        <f aca="false">IFERROR(INDEX('Historical Data'!$N$2:$N$9,MATCH($A6,'Historical Data'!$BE$2:$BE$9,0)),"")</f>
        <v>30000</v>
      </c>
      <c r="M6" s="114" t="n">
        <f aca="false">IFERROR(INDEX('Historical Data'!$Q$2:$Q$9,MATCH($A6,'Historical Data'!$BE$2:$BE$9,0)),"")</f>
        <v>9000</v>
      </c>
      <c r="N6" s="115" t="n">
        <f aca="false">IFERROR(INDEX('Historical Data'!$S$2:$S$9,MATCH($A6,'Historical Data'!$BE$2:$BE$9,0)),"")</f>
        <v>0.2</v>
      </c>
      <c r="O6" s="114" t="n">
        <f aca="false">IFERROR(INDEX('Historical Data'!$AJ$2:$AJ$9,MATCH($A6,'Historical Data'!$BE$2:$BE$9,0)),"")</f>
        <v>-21000</v>
      </c>
      <c r="P6" s="114" t="n">
        <f aca="false">IFERROR(INDEX('Historical Data'!$AK$2:$AK$9,MATCH($A6,'Historical Data'!$BE$2:$BE$9,0)),"")</f>
        <v>21000</v>
      </c>
      <c r="Q6" s="111" t="n">
        <f aca="false">IFERROR(INDEX('Historical Data'!$AA$2:$AA$9,MATCH($A6,'Historical Data'!$BE$2:$BE$9,0)),"")</f>
        <v>129.93</v>
      </c>
      <c r="R6" s="111" t="n">
        <f aca="false">IFERROR(INDEX('Historical Data'!$AB$2:$AB$9,MATCH($A6,'Historical Data'!$BE$2:$BE$9,0)),"")</f>
        <v>372</v>
      </c>
      <c r="S6" s="111" t="n">
        <f aca="false">IFERROR(INDEX('Historical Data'!$AN$2:$AN$9,MATCH($A6,'Historical Data'!$BE$2:$BE$9,0)),"")</f>
        <v>66</v>
      </c>
      <c r="T6" s="111" t="n">
        <f aca="false">IFERROR(INDEX('Historical Data'!$AC$2:$AC$9,MATCH($A6,'Historical Data'!$BE$2:$BE$9,0)),"")</f>
        <v>1</v>
      </c>
      <c r="U6" s="111" t="n">
        <f aca="false">IFERROR(INDEX('Historical Data'!$AE$2:$AE$9,MATCH($A6,'Historical Data'!$BE$2:$BE$9,0)),"")</f>
        <v>1</v>
      </c>
      <c r="V6" s="111" t="n">
        <f aca="false">IFERROR(INDEX('Historical Data'!$AH$2:$AH$9,MATCH($A6,'Historical Data'!$BE$2:$BE$9,0)),"")</f>
        <v>0</v>
      </c>
      <c r="W6" s="111" t="n">
        <f aca="false">IFERROR(INDEX('Historical Data'!$BC$2:$BC$9,MATCH($A6,'Historical Data'!$BE$2:$BE$9,0)),"")</f>
        <v>4</v>
      </c>
      <c r="X6" s="110" t="str">
        <f aca="false">IF(B6="","",IF(W6=1,"NR + industry + position",IF(W6=2,"NR + ISO + position",IF(W6=3,"NR + industry",IF(W6=4,"NR + ISO",IF(W6=5,"NR + position",IF(W6=6,"NR only","book baseline"))))))&amp;"  ["&amp;IF(T6=1,"seasoned","unseasoned")&amp;IF(U6=1,", defaulted","")&amp;IF(V6=1,", open","")&amp;"]")</f>
        <v>NR + ISO  [seasoned, defaulted]</v>
      </c>
    </row>
    <row r="7" customFormat="false" ht="15" hidden="false" customHeight="false" outlineLevel="0" collapsed="false">
      <c r="A7" s="110" t="n">
        <v>3</v>
      </c>
      <c r="B7" s="111" t="str">
        <f aca="false">IFERROR(INDEX('Historical Data'!$A$2:$A$9,MATCH($A7,'Historical Data'!$BE$2:$BE$9,0)),"")</f>
        <v>A-004</v>
      </c>
      <c r="C7" s="111" t="str">
        <f aca="false">IFERROR(INDEX('Historical Data'!$B$2:$B$9,MATCH($A7,'Historical Data'!$BE$2:$BE$9,0)),"")</f>
        <v>Baymont Auto Body</v>
      </c>
      <c r="D7" s="111" t="str">
        <f aca="false">IFERROR(INDEX('Historical Data'!$D$2:$D$9,MATCH($A7,'Historical Data'!$BE$2:$BE$9,0)),"")</f>
        <v>In House Collection</v>
      </c>
      <c r="E7" s="112" t="n">
        <f aca="false">IFERROR(INDEX('Historical Data'!$E$2:$E$9,MATCH($A7,'Historical Data'!$BE$2:$BE$9,0)),"")</f>
        <v>45768</v>
      </c>
      <c r="F7" s="111" t="n">
        <f aca="false">IFERROR(INDEX('Historical Data'!$G$2:$G$9,MATCH($A7,'Historical Data'!$BE$2:$BE$9,0)),"")</f>
        <v>3</v>
      </c>
      <c r="G7" s="111" t="str">
        <f aca="false">IFERROR(INDEX('Historical Data'!$Y$2:$Y$9,MATCH($A7,'Historical Data'!$BE$2:$BE$9,0)),"")</f>
        <v>Auto Repair &amp; Services</v>
      </c>
      <c r="H7" s="111" t="str">
        <f aca="false">IFERROR(INDEX('Historical Data'!$K$2:$K$9,MATCH($A7,'Historical Data'!$BE$2:$BE$9,0)),"")</f>
        <v>Westwood</v>
      </c>
      <c r="I7" s="111" t="str">
        <f aca="false">IFERROR(INDEX('Historical Data'!$J$2:$J$9,MATCH($A7,'Historical Data'!$BE$2:$BE$9,0)),"")</f>
        <v>TX</v>
      </c>
      <c r="J7" s="111" t="str">
        <f aca="false">IFERROR(INDEX('Historical Data'!$L$2:$L$9,MATCH($A7,'Historical Data'!$BE$2:$BE$9,0)),"")</f>
        <v>New Deal</v>
      </c>
      <c r="K7" s="113" t="n">
        <f aca="false">IFERROR(INDEX('Historical Data'!$M$2:$M$9,MATCH($A7,'Historical Data'!$BE$2:$BE$9,0)),"")</f>
        <v>1.5</v>
      </c>
      <c r="L7" s="114" t="n">
        <f aca="false">IFERROR(INDEX('Historical Data'!$N$2:$N$9,MATCH($A7,'Historical Data'!$BE$2:$BE$9,0)),"")</f>
        <v>40000</v>
      </c>
      <c r="M7" s="114" t="n">
        <f aca="false">IFERROR(INDEX('Historical Data'!$Q$2:$Q$9,MATCH($A7,'Historical Data'!$BE$2:$BE$9,0)),"")</f>
        <v>20000</v>
      </c>
      <c r="N7" s="115" t="n">
        <f aca="false">IFERROR(INDEX('Historical Data'!$S$2:$S$9,MATCH($A7,'Historical Data'!$BE$2:$BE$9,0)),"")</f>
        <v>0.333333333333333</v>
      </c>
      <c r="O7" s="114" t="n">
        <f aca="false">IFERROR(INDEX('Historical Data'!$AJ$2:$AJ$9,MATCH($A7,'Historical Data'!$BE$2:$BE$9,0)),"")</f>
        <v>-20000</v>
      </c>
      <c r="P7" s="114" t="n">
        <f aca="false">IFERROR(INDEX('Historical Data'!$AK$2:$AK$9,MATCH($A7,'Historical Data'!$BE$2:$BE$9,0)),"")</f>
        <v>20000</v>
      </c>
      <c r="Q7" s="111" t="n">
        <f aca="false">IFERROR(INDEX('Historical Data'!$AA$2:$AA$9,MATCH($A7,'Historical Data'!$BE$2:$BE$9,0)),"")</f>
        <v>120</v>
      </c>
      <c r="R7" s="111" t="n">
        <f aca="false">IFERROR(INDEX('Historical Data'!$AB$2:$AB$9,MATCH($A7,'Historical Data'!$BE$2:$BE$9,0)),"")</f>
        <v>339</v>
      </c>
      <c r="S7" s="111" t="n">
        <f aca="false">IFERROR(INDEX('Historical Data'!$AN$2:$AN$9,MATCH($A7,'Historical Data'!$BE$2:$BE$9,0)),"")</f>
        <v>85</v>
      </c>
      <c r="T7" s="111" t="n">
        <f aca="false">IFERROR(INDEX('Historical Data'!$AC$2:$AC$9,MATCH($A7,'Historical Data'!$BE$2:$BE$9,0)),"")</f>
        <v>1</v>
      </c>
      <c r="U7" s="111" t="n">
        <f aca="false">IFERROR(INDEX('Historical Data'!$AE$2:$AE$9,MATCH($A7,'Historical Data'!$BE$2:$BE$9,0)),"")</f>
        <v>1</v>
      </c>
      <c r="V7" s="111" t="n">
        <f aca="false">IFERROR(INDEX('Historical Data'!$AH$2:$AH$9,MATCH($A7,'Historical Data'!$BE$2:$BE$9,0)),"")</f>
        <v>0</v>
      </c>
      <c r="W7" s="111" t="n">
        <f aca="false">IFERROR(INDEX('Historical Data'!$BC$2:$BC$9,MATCH($A7,'Historical Data'!$BE$2:$BE$9,0)),"")</f>
        <v>6</v>
      </c>
      <c r="X7" s="110" t="str">
        <f aca="false">IF(B7="","",IF(W7=1,"NR + industry + position",IF(W7=2,"NR + ISO + position",IF(W7=3,"NR + industry",IF(W7=4,"NR + ISO",IF(W7=5,"NR + position",IF(W7=6,"NR only","book baseline"))))))&amp;"  ["&amp;IF(T7=1,"seasoned","unseasoned")&amp;IF(U7=1,", defaulted","")&amp;IF(V7=1,", open","")&amp;"]")</f>
        <v>NR only  [seasoned, defaulted]</v>
      </c>
    </row>
    <row r="8" customFormat="false" ht="15" hidden="false" customHeight="false" outlineLevel="0" collapsed="false">
      <c r="A8" s="110" t="n">
        <v>4</v>
      </c>
      <c r="B8" s="111" t="str">
        <f aca="false">IFERROR(INDEX('Historical Data'!$A$2:$A$9,MATCH($A8,'Historical Data'!$BE$2:$BE$9,0)),"")</f>
        <v>A-006</v>
      </c>
      <c r="C8" s="111" t="str">
        <f aca="false">IFERROR(INDEX('Historical Data'!$B$2:$B$9,MATCH($A8,'Historical Data'!$BE$2:$BE$9,0)),"")</f>
        <v>Orchard Supply</v>
      </c>
      <c r="D8" s="111" t="str">
        <f aca="false">IFERROR(INDEX('Historical Data'!$D$2:$D$9,MATCH($A8,'Historical Data'!$BE$2:$BE$9,0)),"")</f>
        <v>Bankruptcy</v>
      </c>
      <c r="E8" s="112" t="n">
        <f aca="false">IFERROR(INDEX('Historical Data'!$E$2:$E$9,MATCH($A8,'Historical Data'!$BE$2:$BE$9,0)),"")</f>
        <v>45826</v>
      </c>
      <c r="F8" s="111" t="n">
        <f aca="false">IFERROR(INDEX('Historical Data'!$G$2:$G$9,MATCH($A8,'Historical Data'!$BE$2:$BE$9,0)),"")</f>
        <v>4</v>
      </c>
      <c r="G8" s="111" t="str">
        <f aca="false">IFERROR(INDEX('Historical Data'!$Y$2:$Y$9,MATCH($A8,'Historical Data'!$BE$2:$BE$9,0)),"")</f>
        <v>No SIC</v>
      </c>
      <c r="H8" s="111" t="str">
        <f aca="false">IFERROR(INDEX('Historical Data'!$K$2:$K$9,MATCH($A8,'Historical Data'!$BE$2:$BE$9,0)),"")</f>
        <v>Westwood</v>
      </c>
      <c r="I8" s="111" t="str">
        <f aca="false">IFERROR(INDEX('Historical Data'!$J$2:$J$9,MATCH($A8,'Historical Data'!$BE$2:$BE$9,0)),"")</f>
        <v>TX</v>
      </c>
      <c r="J8" s="111" t="str">
        <f aca="false">IFERROR(INDEX('Historical Data'!$L$2:$L$9,MATCH($A8,'Historical Data'!$BE$2:$BE$9,0)),"")</f>
        <v>New Deal</v>
      </c>
      <c r="K8" s="113" t="n">
        <f aca="false">IFERROR(INDEX('Historical Data'!$M$2:$M$9,MATCH($A8,'Historical Data'!$BE$2:$BE$9,0)),"")</f>
        <v>1.5</v>
      </c>
      <c r="L8" s="114" t="n">
        <f aca="false">IFERROR(INDEX('Historical Data'!$N$2:$N$9,MATCH($A8,'Historical Data'!$BE$2:$BE$9,0)),"")</f>
        <v>20000</v>
      </c>
      <c r="M8" s="114" t="n">
        <f aca="false">IFERROR(INDEX('Historical Data'!$Q$2:$Q$9,MATCH($A8,'Historical Data'!$BE$2:$BE$9,0)),"")</f>
        <v>0</v>
      </c>
      <c r="N8" s="115" t="n">
        <f aca="false">IFERROR(INDEX('Historical Data'!$S$2:$S$9,MATCH($A8,'Historical Data'!$BE$2:$BE$9,0)),"")</f>
        <v>0</v>
      </c>
      <c r="O8" s="114" t="n">
        <f aca="false">IFERROR(INDEX('Historical Data'!$AJ$2:$AJ$9,MATCH($A8,'Historical Data'!$BE$2:$BE$9,0)),"")</f>
        <v>-20000</v>
      </c>
      <c r="P8" s="114" t="n">
        <f aca="false">IFERROR(INDEX('Historical Data'!$AK$2:$AK$9,MATCH($A8,'Historical Data'!$BE$2:$BE$9,0)),"")</f>
        <v>20000</v>
      </c>
      <c r="Q8" s="111" t="n">
        <f aca="false">IFERROR(INDEX('Historical Data'!$AA$2:$AA$9,MATCH($A8,'Historical Data'!$BE$2:$BE$9,0)),"")</f>
        <v>80</v>
      </c>
      <c r="R8" s="111" t="n">
        <f aca="false">IFERROR(INDEX('Historical Data'!$AB$2:$AB$9,MATCH($A8,'Historical Data'!$BE$2:$BE$9,0)),"")</f>
        <v>298</v>
      </c>
      <c r="S8" s="111" t="n">
        <f aca="false">IFERROR(INDEX('Historical Data'!$AN$2:$AN$9,MATCH($A8,'Historical Data'!$BE$2:$BE$9,0)),"")</f>
        <v>64</v>
      </c>
      <c r="T8" s="111" t="n">
        <f aca="false">IFERROR(INDEX('Historical Data'!$AC$2:$AC$9,MATCH($A8,'Historical Data'!$BE$2:$BE$9,0)),"")</f>
        <v>1</v>
      </c>
      <c r="U8" s="111" t="n">
        <f aca="false">IFERROR(INDEX('Historical Data'!$AE$2:$AE$9,MATCH($A8,'Historical Data'!$BE$2:$BE$9,0)),"")</f>
        <v>1</v>
      </c>
      <c r="V8" s="111" t="n">
        <f aca="false">IFERROR(INDEX('Historical Data'!$AH$2:$AH$9,MATCH($A8,'Historical Data'!$BE$2:$BE$9,0)),"")</f>
        <v>0</v>
      </c>
      <c r="W8" s="111" t="n">
        <f aca="false">IFERROR(INDEX('Historical Data'!$BC$2:$BC$9,MATCH($A8,'Historical Data'!$BE$2:$BE$9,0)),"")</f>
        <v>6</v>
      </c>
      <c r="X8" s="110" t="str">
        <f aca="false">IF(B8="","",IF(W8=1,"NR + industry + position",IF(W8=2,"NR + ISO + position",IF(W8=3,"NR + industry",IF(W8=4,"NR + ISO",IF(W8=5,"NR + position",IF(W8=6,"NR only","book baseline"))))))&amp;"  ["&amp;IF(T8=1,"seasoned","unseasoned")&amp;IF(U8=1,", defaulted","")&amp;IF(V8=1,", open","")&amp;"]")</f>
        <v>NR only  [seasoned, defaulted]</v>
      </c>
    </row>
    <row r="9" customFormat="false" ht="15" hidden="false" customHeight="false" outlineLevel="0" collapsed="false">
      <c r="A9" s="110" t="n">
        <v>5</v>
      </c>
      <c r="B9" s="111" t="str">
        <f aca="false">IFERROR(INDEX('Historical Data'!$A$2:$A$9,MATCH($A9,'Historical Data'!$BE$2:$BE$9,0)),"")</f>
        <v>A-007</v>
      </c>
      <c r="C9" s="111" t="str">
        <f aca="false">IFERROR(INDEX('Historical Data'!$B$2:$B$9,MATCH($A9,'Historical Data'!$BE$2:$BE$9,0)),"")</f>
        <v>Pinewood Dental</v>
      </c>
      <c r="D9" s="111" t="str">
        <f aca="false">IFERROR(INDEX('Historical Data'!$D$2:$D$9,MATCH($A9,'Historical Data'!$BE$2:$BE$9,0)),"")</f>
        <v>Open</v>
      </c>
      <c r="E9" s="112" t="n">
        <f aca="false">IFERROR(INDEX('Historical Data'!$E$2:$E$9,MATCH($A9,'Historical Data'!$BE$2:$BE$9,0)),"")</f>
        <v>46030</v>
      </c>
      <c r="F9" s="111" t="n">
        <f aca="false">IFERROR(INDEX('Historical Data'!$G$2:$G$9,MATCH($A9,'Historical Data'!$BE$2:$BE$9,0)),"")</f>
        <v>1</v>
      </c>
      <c r="G9" s="111" t="str">
        <f aca="false">IFERROR(INDEX('Historical Data'!$Y$2:$Y$9,MATCH($A9,'Historical Data'!$BE$2:$BE$9,0)),"")</f>
        <v>Health Services</v>
      </c>
      <c r="H9" s="111" t="str">
        <f aca="false">IFERROR(INDEX('Historical Data'!$K$2:$K$9,MATCH($A9,'Historical Data'!$BE$2:$BE$9,0)),"")</f>
        <v>Fundwell</v>
      </c>
      <c r="I9" s="111" t="str">
        <f aca="false">IFERROR(INDEX('Historical Data'!$J$2:$J$9,MATCH($A9,'Historical Data'!$BE$2:$BE$9,0)),"")</f>
        <v>NJ</v>
      </c>
      <c r="J9" s="111" t="str">
        <f aca="false">IFERROR(INDEX('Historical Data'!$L$2:$L$9,MATCH($A9,'Historical Data'!$BE$2:$BE$9,0)),"")</f>
        <v>New Deal</v>
      </c>
      <c r="K9" s="113" t="n">
        <f aca="false">IFERROR(INDEX('Historical Data'!$M$2:$M$9,MATCH($A9,'Historical Data'!$BE$2:$BE$9,0)),"")</f>
        <v>1.5</v>
      </c>
      <c r="L9" s="114" t="n">
        <f aca="false">IFERROR(INDEX('Historical Data'!$N$2:$N$9,MATCH($A9,'Historical Data'!$BE$2:$BE$9,0)),"")</f>
        <v>50000</v>
      </c>
      <c r="M9" s="114" t="n">
        <f aca="false">IFERROR(INDEX('Historical Data'!$Q$2:$Q$9,MATCH($A9,'Historical Data'!$BE$2:$BE$9,0)),"")</f>
        <v>30000</v>
      </c>
      <c r="N9" s="115" t="n">
        <f aca="false">IFERROR(INDEX('Historical Data'!$S$2:$S$9,MATCH($A9,'Historical Data'!$BE$2:$BE$9,0)),"")</f>
        <v>0.4</v>
      </c>
      <c r="O9" s="114" t="n">
        <f aca="false">IFERROR(INDEX('Historical Data'!$AJ$2:$AJ$9,MATCH($A9,'Historical Data'!$BE$2:$BE$9,0)),"")</f>
        <v>-20000</v>
      </c>
      <c r="P9" s="114" t="n">
        <f aca="false">IFERROR(INDEX('Historical Data'!$AK$2:$AK$9,MATCH($A9,'Historical Data'!$BE$2:$BE$9,0)),"")</f>
        <v>0</v>
      </c>
      <c r="Q9" s="111" t="n">
        <f aca="false">IFERROR(INDEX('Historical Data'!$AA$2:$AA$9,MATCH($A9,'Historical Data'!$BE$2:$BE$9,0)),"")</f>
        <v>129.93</v>
      </c>
      <c r="R9" s="111" t="n">
        <f aca="false">IFERROR(INDEX('Historical Data'!$AB$2:$AB$9,MATCH($A9,'Historical Data'!$BE$2:$BE$9,0)),"")</f>
        <v>160</v>
      </c>
      <c r="S9" s="111" t="n">
        <f aca="false">IFERROR(INDEX('Historical Data'!$AN$2:$AN$9,MATCH($A9,'Historical Data'!$BE$2:$BE$9,0)),"")</f>
        <v>144</v>
      </c>
      <c r="T9" s="111" t="n">
        <f aca="false">IFERROR(INDEX('Historical Data'!$AC$2:$AC$9,MATCH($A9,'Historical Data'!$BE$2:$BE$9,0)),"")</f>
        <v>0</v>
      </c>
      <c r="U9" s="111" t="n">
        <f aca="false">IFERROR(INDEX('Historical Data'!$AE$2:$AE$9,MATCH($A9,'Historical Data'!$BE$2:$BE$9,0)),"")</f>
        <v>0</v>
      </c>
      <c r="V9" s="111" t="n">
        <f aca="false">IFERROR(INDEX('Historical Data'!$AH$2:$AH$9,MATCH($A9,'Historical Data'!$BE$2:$BE$9,0)),"")</f>
        <v>1</v>
      </c>
      <c r="W9" s="111" t="n">
        <f aca="false">IFERROR(INDEX('Historical Data'!$BC$2:$BC$9,MATCH($A9,'Historical Data'!$BE$2:$BE$9,0)),"")</f>
        <v>2</v>
      </c>
      <c r="X9" s="110" t="str">
        <f aca="false">IF(B9="","",IF(W9=1,"NR + industry + position",IF(W9=2,"NR + ISO + position",IF(W9=3,"NR + industry",IF(W9=4,"NR + ISO",IF(W9=5,"NR + position",IF(W9=6,"NR only","book baseline"))))))&amp;"  ["&amp;IF(T9=1,"seasoned","unseasoned")&amp;IF(U9=1,", defaulted","")&amp;IF(V9=1,", open","")&amp;"]")</f>
        <v>NR + ISO + position  [unseasoned, open]</v>
      </c>
    </row>
    <row r="10" customFormat="false" ht="15" hidden="false" customHeight="false" outlineLevel="0" collapsed="false">
      <c r="A10" s="110" t="n">
        <v>6</v>
      </c>
      <c r="B10" s="111" t="str">
        <f aca="false">IFERROR(INDEX('Historical Data'!$A$2:$A$9,MATCH($A10,'Historical Data'!$BE$2:$BE$9,0)),"")</f>
        <v>A-008</v>
      </c>
      <c r="C10" s="111" t="str">
        <f aca="false">IFERROR(INDEX('Historical Data'!$B$2:$B$9,MATCH($A10,'Historical Data'!$BE$2:$BE$9,0)),"")</f>
        <v>Harbor Cleaning</v>
      </c>
      <c r="D10" s="111" t="str">
        <f aca="false">IFERROR(INDEX('Historical Data'!$D$2:$D$9,MATCH($A10,'Historical Data'!$BE$2:$BE$9,0)),"")</f>
        <v>Closed/NSF Unpaid</v>
      </c>
      <c r="E10" s="112" t="n">
        <f aca="false">IFERROR(INDEX('Historical Data'!$E$2:$E$9,MATCH($A10,'Historical Data'!$BE$2:$BE$9,0)),"")</f>
        <v>45852</v>
      </c>
      <c r="F10" s="111" t="n">
        <f aca="false">IFERROR(INDEX('Historical Data'!$G$2:$G$9,MATCH($A10,'Historical Data'!$BE$2:$BE$9,0)),"")</f>
        <v>3</v>
      </c>
      <c r="G10" s="111" t="str">
        <f aca="false">IFERROR(INDEX('Historical Data'!$Y$2:$Y$9,MATCH($A10,'Historical Data'!$BE$2:$BE$9,0)),"")</f>
        <v>Business Services</v>
      </c>
      <c r="H10" s="111" t="str">
        <f aca="false">IFERROR(INDEX('Historical Data'!$K$2:$K$9,MATCH($A10,'Historical Data'!$BE$2:$BE$9,0)),"")</f>
        <v>Westwood</v>
      </c>
      <c r="I10" s="111" t="str">
        <f aca="false">IFERROR(INDEX('Historical Data'!$J$2:$J$9,MATCH($A10,'Historical Data'!$BE$2:$BE$9,0)),"")</f>
        <v>TX</v>
      </c>
      <c r="J10" s="111" t="str">
        <f aca="false">IFERROR(INDEX('Historical Data'!$L$2:$L$9,MATCH($A10,'Historical Data'!$BE$2:$BE$9,0)),"")</f>
        <v>New Deal</v>
      </c>
      <c r="K10" s="113" t="n">
        <f aca="false">IFERROR(INDEX('Historical Data'!$M$2:$M$9,MATCH($A10,'Historical Data'!$BE$2:$BE$9,0)),"")</f>
        <v>1.5</v>
      </c>
      <c r="L10" s="114" t="n">
        <f aca="false">IFERROR(INDEX('Historical Data'!$N$2:$N$9,MATCH($A10,'Historical Data'!$BE$2:$BE$9,0)),"")</f>
        <v>20000</v>
      </c>
      <c r="M10" s="114" t="n">
        <f aca="false">IFERROR(INDEX('Historical Data'!$Q$2:$Q$9,MATCH($A10,'Historical Data'!$BE$2:$BE$9,0)),"")</f>
        <v>30000</v>
      </c>
      <c r="N10" s="115" t="n">
        <f aca="false">IFERROR(INDEX('Historical Data'!$S$2:$S$9,MATCH($A10,'Historical Data'!$BE$2:$BE$9,0)),"")</f>
        <v>1</v>
      </c>
      <c r="O10" s="114" t="n">
        <f aca="false">IFERROR(INDEX('Historical Data'!$AJ$2:$AJ$9,MATCH($A10,'Historical Data'!$BE$2:$BE$9,0)),"")</f>
        <v>10000</v>
      </c>
      <c r="P10" s="114" t="n">
        <f aca="false">IFERROR(INDEX('Historical Data'!$AK$2:$AK$9,MATCH($A10,'Historical Data'!$BE$2:$BE$9,0)),"")</f>
        <v>0</v>
      </c>
      <c r="Q10" s="111" t="n">
        <f aca="false">IFERROR(INDEX('Historical Data'!$AA$2:$AA$9,MATCH($A10,'Historical Data'!$BE$2:$BE$9,0)),"")</f>
        <v>100</v>
      </c>
      <c r="R10" s="111" t="n">
        <f aca="false">IFERROR(INDEX('Historical Data'!$AB$2:$AB$9,MATCH($A10,'Historical Data'!$BE$2:$BE$9,0)),"")</f>
        <v>282</v>
      </c>
      <c r="S10" s="111" t="n">
        <f aca="false">IFERROR(INDEX('Historical Data'!$AN$2:$AN$9,MATCH($A10,'Historical Data'!$BE$2:$BE$9,0)),"")</f>
        <v>107</v>
      </c>
      <c r="T10" s="111" t="n">
        <f aca="false">IFERROR(INDEX('Historical Data'!$AC$2:$AC$9,MATCH($A10,'Historical Data'!$BE$2:$BE$9,0)),"")</f>
        <v>1</v>
      </c>
      <c r="U10" s="111" t="n">
        <f aca="false">IFERROR(INDEX('Historical Data'!$AE$2:$AE$9,MATCH($A10,'Historical Data'!$BE$2:$BE$9,0)),"")</f>
        <v>0</v>
      </c>
      <c r="V10" s="111" t="n">
        <f aca="false">IFERROR(INDEX('Historical Data'!$AH$2:$AH$9,MATCH($A10,'Historical Data'!$BE$2:$BE$9,0)),"")</f>
        <v>0</v>
      </c>
      <c r="W10" s="111" t="n">
        <f aca="false">IFERROR(INDEX('Historical Data'!$BC$2:$BC$9,MATCH($A10,'Historical Data'!$BE$2:$BE$9,0)),"")</f>
        <v>6</v>
      </c>
      <c r="X10" s="110" t="str">
        <f aca="false">IF(B10="","",IF(W10=1,"NR + industry + position",IF(W10=2,"NR + ISO + position",IF(W10=3,"NR + industry",IF(W10=4,"NR + ISO",IF(W10=5,"NR + position",IF(W10=6,"NR only","book baseline"))))))&amp;"  ["&amp;IF(T10=1,"seasoned","unseasoned")&amp;IF(U10=1,", defaulted","")&amp;IF(V10=1,", open","")&amp;"]")</f>
        <v>NR only  [seasoned]</v>
      </c>
    </row>
    <row r="11" customFormat="false" ht="15" hidden="false" customHeight="false" outlineLevel="0" collapsed="false">
      <c r="A11" s="110" t="n">
        <v>7</v>
      </c>
      <c r="B11" s="111" t="str">
        <f aca="false">IFERROR(INDEX('Historical Data'!$A$2:$A$9,MATCH($A11,'Historical Data'!$BE$2:$BE$9,0)),"")</f>
        <v/>
      </c>
      <c r="C11" s="111" t="str">
        <f aca="false">IFERROR(INDEX('Historical Data'!$B$2:$B$9,MATCH($A11,'Historical Data'!$BE$2:$BE$9,0)),"")</f>
        <v/>
      </c>
      <c r="D11" s="111" t="str">
        <f aca="false">IFERROR(INDEX('Historical Data'!$D$2:$D$9,MATCH($A11,'Historical Data'!$BE$2:$BE$9,0)),"")</f>
        <v/>
      </c>
      <c r="E11" s="112" t="str">
        <f aca="false">IFERROR(INDEX('Historical Data'!$E$2:$E$9,MATCH($A11,'Historical Data'!$BE$2:$BE$9,0)),"")</f>
        <v/>
      </c>
      <c r="F11" s="111" t="str">
        <f aca="false">IFERROR(INDEX('Historical Data'!$G$2:$G$9,MATCH($A11,'Historical Data'!$BE$2:$BE$9,0)),"")</f>
        <v/>
      </c>
      <c r="G11" s="111" t="str">
        <f aca="false">IFERROR(INDEX('Historical Data'!$Y$2:$Y$9,MATCH($A11,'Historical Data'!$BE$2:$BE$9,0)),"")</f>
        <v/>
      </c>
      <c r="H11" s="111" t="str">
        <f aca="false">IFERROR(INDEX('Historical Data'!$K$2:$K$9,MATCH($A11,'Historical Data'!$BE$2:$BE$9,0)),"")</f>
        <v/>
      </c>
      <c r="I11" s="111" t="str">
        <f aca="false">IFERROR(INDEX('Historical Data'!$J$2:$J$9,MATCH($A11,'Historical Data'!$BE$2:$BE$9,0)),"")</f>
        <v/>
      </c>
      <c r="J11" s="111" t="str">
        <f aca="false">IFERROR(INDEX('Historical Data'!$L$2:$L$9,MATCH($A11,'Historical Data'!$BE$2:$BE$9,0)),"")</f>
        <v/>
      </c>
      <c r="K11" s="113" t="str">
        <f aca="false">IFERROR(INDEX('Historical Data'!$M$2:$M$9,MATCH($A11,'Historical Data'!$BE$2:$BE$9,0)),"")</f>
        <v/>
      </c>
      <c r="L11" s="114" t="str">
        <f aca="false">IFERROR(INDEX('Historical Data'!$N$2:$N$9,MATCH($A11,'Historical Data'!$BE$2:$BE$9,0)),"")</f>
        <v/>
      </c>
      <c r="M11" s="114" t="str">
        <f aca="false">IFERROR(INDEX('Historical Data'!$Q$2:$Q$9,MATCH($A11,'Historical Data'!$BE$2:$BE$9,0)),"")</f>
        <v/>
      </c>
      <c r="N11" s="115" t="str">
        <f aca="false">IFERROR(INDEX('Historical Data'!$S$2:$S$9,MATCH($A11,'Historical Data'!$BE$2:$BE$9,0)),"")</f>
        <v/>
      </c>
      <c r="O11" s="114" t="str">
        <f aca="false">IFERROR(INDEX('Historical Data'!$AJ$2:$AJ$9,MATCH($A11,'Historical Data'!$BE$2:$BE$9,0)),"")</f>
        <v/>
      </c>
      <c r="P11" s="114" t="str">
        <f aca="false">IFERROR(INDEX('Historical Data'!$AK$2:$AK$9,MATCH($A11,'Historical Data'!$BE$2:$BE$9,0)),"")</f>
        <v/>
      </c>
      <c r="Q11" s="111" t="str">
        <f aca="false">IFERROR(INDEX('Historical Data'!$AA$2:$AA$9,MATCH($A11,'Historical Data'!$BE$2:$BE$9,0)),"")</f>
        <v/>
      </c>
      <c r="R11" s="111" t="str">
        <f aca="false">IFERROR(INDEX('Historical Data'!$AB$2:$AB$9,MATCH($A11,'Historical Data'!$BE$2:$BE$9,0)),"")</f>
        <v/>
      </c>
      <c r="S11" s="111" t="str">
        <f aca="false">IFERROR(INDEX('Historical Data'!$AN$2:$AN$9,MATCH($A11,'Historical Data'!$BE$2:$BE$9,0)),"")</f>
        <v/>
      </c>
      <c r="T11" s="111" t="str">
        <f aca="false">IFERROR(INDEX('Historical Data'!$AC$2:$AC$9,MATCH($A11,'Historical Data'!$BE$2:$BE$9,0)),"")</f>
        <v/>
      </c>
      <c r="U11" s="111" t="str">
        <f aca="false">IFERROR(INDEX('Historical Data'!$AE$2:$AE$9,MATCH($A11,'Historical Data'!$BE$2:$BE$9,0)),"")</f>
        <v/>
      </c>
      <c r="V11" s="111" t="str">
        <f aca="false">IFERROR(INDEX('Historical Data'!$AH$2:$AH$9,MATCH($A11,'Historical Data'!$BE$2:$BE$9,0)),"")</f>
        <v/>
      </c>
      <c r="W11" s="111" t="str">
        <f aca="false">IFERROR(INDEX('Historical Data'!$BC$2:$BC$9,MATCH($A11,'Historical Data'!$BE$2:$BE$9,0)),"")</f>
        <v/>
      </c>
      <c r="X11" s="110" t="str">
        <f aca="false">IF(B11="","",IF(W11=1,"NR + industry + position",IF(W11=2,"NR + ISO + position",IF(W11=3,"NR + industry",IF(W11=4,"NR + ISO",IF(W11=5,"NR + position",IF(W11=6,"NR only","book baseline"))))))&amp;"  ["&amp;IF(T11=1,"seasoned","unseasoned")&amp;IF(U11=1,", defaulted","")&amp;IF(V11=1,", open","")&amp;"]")</f>
        <v/>
      </c>
    </row>
    <row r="12" customFormat="false" ht="15" hidden="false" customHeight="false" outlineLevel="0" collapsed="false">
      <c r="A12" s="110" t="n">
        <v>8</v>
      </c>
      <c r="B12" s="111" t="str">
        <f aca="false">IFERROR(INDEX('Historical Data'!$A$2:$A$9,MATCH($A12,'Historical Data'!$BE$2:$BE$9,0)),"")</f>
        <v/>
      </c>
      <c r="C12" s="111" t="str">
        <f aca="false">IFERROR(INDEX('Historical Data'!$B$2:$B$9,MATCH($A12,'Historical Data'!$BE$2:$BE$9,0)),"")</f>
        <v/>
      </c>
      <c r="D12" s="111" t="str">
        <f aca="false">IFERROR(INDEX('Historical Data'!$D$2:$D$9,MATCH($A12,'Historical Data'!$BE$2:$BE$9,0)),"")</f>
        <v/>
      </c>
      <c r="E12" s="112" t="str">
        <f aca="false">IFERROR(INDEX('Historical Data'!$E$2:$E$9,MATCH($A12,'Historical Data'!$BE$2:$BE$9,0)),"")</f>
        <v/>
      </c>
      <c r="F12" s="111" t="str">
        <f aca="false">IFERROR(INDEX('Historical Data'!$G$2:$G$9,MATCH($A12,'Historical Data'!$BE$2:$BE$9,0)),"")</f>
        <v/>
      </c>
      <c r="G12" s="111" t="str">
        <f aca="false">IFERROR(INDEX('Historical Data'!$Y$2:$Y$9,MATCH($A12,'Historical Data'!$BE$2:$BE$9,0)),"")</f>
        <v/>
      </c>
      <c r="H12" s="111" t="str">
        <f aca="false">IFERROR(INDEX('Historical Data'!$K$2:$K$9,MATCH($A12,'Historical Data'!$BE$2:$BE$9,0)),"")</f>
        <v/>
      </c>
      <c r="I12" s="111" t="str">
        <f aca="false">IFERROR(INDEX('Historical Data'!$J$2:$J$9,MATCH($A12,'Historical Data'!$BE$2:$BE$9,0)),"")</f>
        <v/>
      </c>
      <c r="J12" s="111" t="str">
        <f aca="false">IFERROR(INDEX('Historical Data'!$L$2:$L$9,MATCH($A12,'Historical Data'!$BE$2:$BE$9,0)),"")</f>
        <v/>
      </c>
      <c r="K12" s="113" t="str">
        <f aca="false">IFERROR(INDEX('Historical Data'!$M$2:$M$9,MATCH($A12,'Historical Data'!$BE$2:$BE$9,0)),"")</f>
        <v/>
      </c>
      <c r="L12" s="114" t="str">
        <f aca="false">IFERROR(INDEX('Historical Data'!$N$2:$N$9,MATCH($A12,'Historical Data'!$BE$2:$BE$9,0)),"")</f>
        <v/>
      </c>
      <c r="M12" s="114" t="str">
        <f aca="false">IFERROR(INDEX('Historical Data'!$Q$2:$Q$9,MATCH($A12,'Historical Data'!$BE$2:$BE$9,0)),"")</f>
        <v/>
      </c>
      <c r="N12" s="115" t="str">
        <f aca="false">IFERROR(INDEX('Historical Data'!$S$2:$S$9,MATCH($A12,'Historical Data'!$BE$2:$BE$9,0)),"")</f>
        <v/>
      </c>
      <c r="O12" s="114" t="str">
        <f aca="false">IFERROR(INDEX('Historical Data'!$AJ$2:$AJ$9,MATCH($A12,'Historical Data'!$BE$2:$BE$9,0)),"")</f>
        <v/>
      </c>
      <c r="P12" s="114" t="str">
        <f aca="false">IFERROR(INDEX('Historical Data'!$AK$2:$AK$9,MATCH($A12,'Historical Data'!$BE$2:$BE$9,0)),"")</f>
        <v/>
      </c>
      <c r="Q12" s="111" t="str">
        <f aca="false">IFERROR(INDEX('Historical Data'!$AA$2:$AA$9,MATCH($A12,'Historical Data'!$BE$2:$BE$9,0)),"")</f>
        <v/>
      </c>
      <c r="R12" s="111" t="str">
        <f aca="false">IFERROR(INDEX('Historical Data'!$AB$2:$AB$9,MATCH($A12,'Historical Data'!$BE$2:$BE$9,0)),"")</f>
        <v/>
      </c>
      <c r="S12" s="111" t="str">
        <f aca="false">IFERROR(INDEX('Historical Data'!$AN$2:$AN$9,MATCH($A12,'Historical Data'!$BE$2:$BE$9,0)),"")</f>
        <v/>
      </c>
      <c r="T12" s="111" t="str">
        <f aca="false">IFERROR(INDEX('Historical Data'!$AC$2:$AC$9,MATCH($A12,'Historical Data'!$BE$2:$BE$9,0)),"")</f>
        <v/>
      </c>
      <c r="U12" s="111" t="str">
        <f aca="false">IFERROR(INDEX('Historical Data'!$AE$2:$AE$9,MATCH($A12,'Historical Data'!$BE$2:$BE$9,0)),"")</f>
        <v/>
      </c>
      <c r="V12" s="111" t="str">
        <f aca="false">IFERROR(INDEX('Historical Data'!$AH$2:$AH$9,MATCH($A12,'Historical Data'!$BE$2:$BE$9,0)),"")</f>
        <v/>
      </c>
      <c r="W12" s="111" t="str">
        <f aca="false">IFERROR(INDEX('Historical Data'!$BC$2:$BC$9,MATCH($A12,'Historical Data'!$BE$2:$BE$9,0)),"")</f>
        <v/>
      </c>
      <c r="X12" s="110" t="str">
        <f aca="false">IF(B12="","",IF(W12=1,"NR + industry + position",IF(W12=2,"NR + ISO + position",IF(W12=3,"NR + industry",IF(W12=4,"NR + ISO",IF(W12=5,"NR + position",IF(W12=6,"NR only","book baseline"))))))&amp;"  ["&amp;IF(T12=1,"seasoned","unseasoned")&amp;IF(U12=1,", defaulted","")&amp;IF(V12=1,", open","")&amp;"]")</f>
        <v/>
      </c>
    </row>
    <row r="13" customFormat="false" ht="15" hidden="false" customHeight="false" outlineLevel="0" collapsed="false">
      <c r="A13" s="110" t="n">
        <v>9</v>
      </c>
      <c r="B13" s="111" t="str">
        <f aca="false">IFERROR(INDEX('Historical Data'!$A$2:$A$9,MATCH($A13,'Historical Data'!$BE$2:$BE$9,0)),"")</f>
        <v/>
      </c>
      <c r="C13" s="111" t="str">
        <f aca="false">IFERROR(INDEX('Historical Data'!$B$2:$B$9,MATCH($A13,'Historical Data'!$BE$2:$BE$9,0)),"")</f>
        <v/>
      </c>
      <c r="D13" s="111" t="str">
        <f aca="false">IFERROR(INDEX('Historical Data'!$D$2:$D$9,MATCH($A13,'Historical Data'!$BE$2:$BE$9,0)),"")</f>
        <v/>
      </c>
      <c r="E13" s="112" t="str">
        <f aca="false">IFERROR(INDEX('Historical Data'!$E$2:$E$9,MATCH($A13,'Historical Data'!$BE$2:$BE$9,0)),"")</f>
        <v/>
      </c>
      <c r="F13" s="111" t="str">
        <f aca="false">IFERROR(INDEX('Historical Data'!$G$2:$G$9,MATCH($A13,'Historical Data'!$BE$2:$BE$9,0)),"")</f>
        <v/>
      </c>
      <c r="G13" s="111" t="str">
        <f aca="false">IFERROR(INDEX('Historical Data'!$Y$2:$Y$9,MATCH($A13,'Historical Data'!$BE$2:$BE$9,0)),"")</f>
        <v/>
      </c>
      <c r="H13" s="111" t="str">
        <f aca="false">IFERROR(INDEX('Historical Data'!$K$2:$K$9,MATCH($A13,'Historical Data'!$BE$2:$BE$9,0)),"")</f>
        <v/>
      </c>
      <c r="I13" s="111" t="str">
        <f aca="false">IFERROR(INDEX('Historical Data'!$J$2:$J$9,MATCH($A13,'Historical Data'!$BE$2:$BE$9,0)),"")</f>
        <v/>
      </c>
      <c r="J13" s="111" t="str">
        <f aca="false">IFERROR(INDEX('Historical Data'!$L$2:$L$9,MATCH($A13,'Historical Data'!$BE$2:$BE$9,0)),"")</f>
        <v/>
      </c>
      <c r="K13" s="113" t="str">
        <f aca="false">IFERROR(INDEX('Historical Data'!$M$2:$M$9,MATCH($A13,'Historical Data'!$BE$2:$BE$9,0)),"")</f>
        <v/>
      </c>
      <c r="L13" s="114" t="str">
        <f aca="false">IFERROR(INDEX('Historical Data'!$N$2:$N$9,MATCH($A13,'Historical Data'!$BE$2:$BE$9,0)),"")</f>
        <v/>
      </c>
      <c r="M13" s="114" t="str">
        <f aca="false">IFERROR(INDEX('Historical Data'!$Q$2:$Q$9,MATCH($A13,'Historical Data'!$BE$2:$BE$9,0)),"")</f>
        <v/>
      </c>
      <c r="N13" s="115" t="str">
        <f aca="false">IFERROR(INDEX('Historical Data'!$S$2:$S$9,MATCH($A13,'Historical Data'!$BE$2:$BE$9,0)),"")</f>
        <v/>
      </c>
      <c r="O13" s="114" t="str">
        <f aca="false">IFERROR(INDEX('Historical Data'!$AJ$2:$AJ$9,MATCH($A13,'Historical Data'!$BE$2:$BE$9,0)),"")</f>
        <v/>
      </c>
      <c r="P13" s="114" t="str">
        <f aca="false">IFERROR(INDEX('Historical Data'!$AK$2:$AK$9,MATCH($A13,'Historical Data'!$BE$2:$BE$9,0)),"")</f>
        <v/>
      </c>
      <c r="Q13" s="111" t="str">
        <f aca="false">IFERROR(INDEX('Historical Data'!$AA$2:$AA$9,MATCH($A13,'Historical Data'!$BE$2:$BE$9,0)),"")</f>
        <v/>
      </c>
      <c r="R13" s="111" t="str">
        <f aca="false">IFERROR(INDEX('Historical Data'!$AB$2:$AB$9,MATCH($A13,'Historical Data'!$BE$2:$BE$9,0)),"")</f>
        <v/>
      </c>
      <c r="S13" s="111" t="str">
        <f aca="false">IFERROR(INDEX('Historical Data'!$AN$2:$AN$9,MATCH($A13,'Historical Data'!$BE$2:$BE$9,0)),"")</f>
        <v/>
      </c>
      <c r="T13" s="111" t="str">
        <f aca="false">IFERROR(INDEX('Historical Data'!$AC$2:$AC$9,MATCH($A13,'Historical Data'!$BE$2:$BE$9,0)),"")</f>
        <v/>
      </c>
      <c r="U13" s="111" t="str">
        <f aca="false">IFERROR(INDEX('Historical Data'!$AE$2:$AE$9,MATCH($A13,'Historical Data'!$BE$2:$BE$9,0)),"")</f>
        <v/>
      </c>
      <c r="V13" s="111" t="str">
        <f aca="false">IFERROR(INDEX('Historical Data'!$AH$2:$AH$9,MATCH($A13,'Historical Data'!$BE$2:$BE$9,0)),"")</f>
        <v/>
      </c>
      <c r="W13" s="111" t="str">
        <f aca="false">IFERROR(INDEX('Historical Data'!$BC$2:$BC$9,MATCH($A13,'Historical Data'!$BE$2:$BE$9,0)),"")</f>
        <v/>
      </c>
      <c r="X13" s="110" t="str">
        <f aca="false">IF(B13="","",IF(W13=1,"NR + industry + position",IF(W13=2,"NR + ISO + position",IF(W13=3,"NR + industry",IF(W13=4,"NR + ISO",IF(W13=5,"NR + position",IF(W13=6,"NR only","book baseline"))))))&amp;"  ["&amp;IF(T13=1,"seasoned","unseasoned")&amp;IF(U13=1,", defaulted","")&amp;IF(V13=1,", open","")&amp;"]")</f>
        <v/>
      </c>
    </row>
    <row r="14" customFormat="false" ht="15" hidden="false" customHeight="false" outlineLevel="0" collapsed="false">
      <c r="A14" s="110" t="n">
        <v>10</v>
      </c>
      <c r="B14" s="111" t="str">
        <f aca="false">IFERROR(INDEX('Historical Data'!$A$2:$A$9,MATCH($A14,'Historical Data'!$BE$2:$BE$9,0)),"")</f>
        <v/>
      </c>
      <c r="C14" s="111" t="str">
        <f aca="false">IFERROR(INDEX('Historical Data'!$B$2:$B$9,MATCH($A14,'Historical Data'!$BE$2:$BE$9,0)),"")</f>
        <v/>
      </c>
      <c r="D14" s="111" t="str">
        <f aca="false">IFERROR(INDEX('Historical Data'!$D$2:$D$9,MATCH($A14,'Historical Data'!$BE$2:$BE$9,0)),"")</f>
        <v/>
      </c>
      <c r="E14" s="112" t="str">
        <f aca="false">IFERROR(INDEX('Historical Data'!$E$2:$E$9,MATCH($A14,'Historical Data'!$BE$2:$BE$9,0)),"")</f>
        <v/>
      </c>
      <c r="F14" s="111" t="str">
        <f aca="false">IFERROR(INDEX('Historical Data'!$G$2:$G$9,MATCH($A14,'Historical Data'!$BE$2:$BE$9,0)),"")</f>
        <v/>
      </c>
      <c r="G14" s="111" t="str">
        <f aca="false">IFERROR(INDEX('Historical Data'!$Y$2:$Y$9,MATCH($A14,'Historical Data'!$BE$2:$BE$9,0)),"")</f>
        <v/>
      </c>
      <c r="H14" s="111" t="str">
        <f aca="false">IFERROR(INDEX('Historical Data'!$K$2:$K$9,MATCH($A14,'Historical Data'!$BE$2:$BE$9,0)),"")</f>
        <v/>
      </c>
      <c r="I14" s="111" t="str">
        <f aca="false">IFERROR(INDEX('Historical Data'!$J$2:$J$9,MATCH($A14,'Historical Data'!$BE$2:$BE$9,0)),"")</f>
        <v/>
      </c>
      <c r="J14" s="111" t="str">
        <f aca="false">IFERROR(INDEX('Historical Data'!$L$2:$L$9,MATCH($A14,'Historical Data'!$BE$2:$BE$9,0)),"")</f>
        <v/>
      </c>
      <c r="K14" s="113" t="str">
        <f aca="false">IFERROR(INDEX('Historical Data'!$M$2:$M$9,MATCH($A14,'Historical Data'!$BE$2:$BE$9,0)),"")</f>
        <v/>
      </c>
      <c r="L14" s="114" t="str">
        <f aca="false">IFERROR(INDEX('Historical Data'!$N$2:$N$9,MATCH($A14,'Historical Data'!$BE$2:$BE$9,0)),"")</f>
        <v/>
      </c>
      <c r="M14" s="114" t="str">
        <f aca="false">IFERROR(INDEX('Historical Data'!$Q$2:$Q$9,MATCH($A14,'Historical Data'!$BE$2:$BE$9,0)),"")</f>
        <v/>
      </c>
      <c r="N14" s="115" t="str">
        <f aca="false">IFERROR(INDEX('Historical Data'!$S$2:$S$9,MATCH($A14,'Historical Data'!$BE$2:$BE$9,0)),"")</f>
        <v/>
      </c>
      <c r="O14" s="114" t="str">
        <f aca="false">IFERROR(INDEX('Historical Data'!$AJ$2:$AJ$9,MATCH($A14,'Historical Data'!$BE$2:$BE$9,0)),"")</f>
        <v/>
      </c>
      <c r="P14" s="114" t="str">
        <f aca="false">IFERROR(INDEX('Historical Data'!$AK$2:$AK$9,MATCH($A14,'Historical Data'!$BE$2:$BE$9,0)),"")</f>
        <v/>
      </c>
      <c r="Q14" s="111" t="str">
        <f aca="false">IFERROR(INDEX('Historical Data'!$AA$2:$AA$9,MATCH($A14,'Historical Data'!$BE$2:$BE$9,0)),"")</f>
        <v/>
      </c>
      <c r="R14" s="111" t="str">
        <f aca="false">IFERROR(INDEX('Historical Data'!$AB$2:$AB$9,MATCH($A14,'Historical Data'!$BE$2:$BE$9,0)),"")</f>
        <v/>
      </c>
      <c r="S14" s="111" t="str">
        <f aca="false">IFERROR(INDEX('Historical Data'!$AN$2:$AN$9,MATCH($A14,'Historical Data'!$BE$2:$BE$9,0)),"")</f>
        <v/>
      </c>
      <c r="T14" s="111" t="str">
        <f aca="false">IFERROR(INDEX('Historical Data'!$AC$2:$AC$9,MATCH($A14,'Historical Data'!$BE$2:$BE$9,0)),"")</f>
        <v/>
      </c>
      <c r="U14" s="111" t="str">
        <f aca="false">IFERROR(INDEX('Historical Data'!$AE$2:$AE$9,MATCH($A14,'Historical Data'!$BE$2:$BE$9,0)),"")</f>
        <v/>
      </c>
      <c r="V14" s="111" t="str">
        <f aca="false">IFERROR(INDEX('Historical Data'!$AH$2:$AH$9,MATCH($A14,'Historical Data'!$BE$2:$BE$9,0)),"")</f>
        <v/>
      </c>
      <c r="W14" s="111" t="str">
        <f aca="false">IFERROR(INDEX('Historical Data'!$BC$2:$BC$9,MATCH($A14,'Historical Data'!$BE$2:$BE$9,0)),"")</f>
        <v/>
      </c>
      <c r="X14" s="110" t="str">
        <f aca="false">IF(B14="","",IF(W14=1,"NR + industry + position",IF(W14=2,"NR + ISO + position",IF(W14=3,"NR + industry",IF(W14=4,"NR + ISO",IF(W14=5,"NR + position",IF(W14=6,"NR only","book baseline"))))))&amp;"  ["&amp;IF(T14=1,"seasoned","unseasoned")&amp;IF(U14=1,", defaulted","")&amp;IF(V14=1,", open","")&amp;"]")</f>
        <v/>
      </c>
    </row>
    <row r="15" customFormat="false" ht="15" hidden="false" customHeight="false" outlineLevel="0" collapsed="false">
      <c r="A15" s="110" t="n">
        <v>11</v>
      </c>
      <c r="B15" s="111" t="str">
        <f aca="false">IFERROR(INDEX('Historical Data'!$A$2:$A$9,MATCH($A15,'Historical Data'!$BE$2:$BE$9,0)),"")</f>
        <v/>
      </c>
      <c r="C15" s="111" t="str">
        <f aca="false">IFERROR(INDEX('Historical Data'!$B$2:$B$9,MATCH($A15,'Historical Data'!$BE$2:$BE$9,0)),"")</f>
        <v/>
      </c>
      <c r="D15" s="111" t="str">
        <f aca="false">IFERROR(INDEX('Historical Data'!$D$2:$D$9,MATCH($A15,'Historical Data'!$BE$2:$BE$9,0)),"")</f>
        <v/>
      </c>
      <c r="E15" s="112" t="str">
        <f aca="false">IFERROR(INDEX('Historical Data'!$E$2:$E$9,MATCH($A15,'Historical Data'!$BE$2:$BE$9,0)),"")</f>
        <v/>
      </c>
      <c r="F15" s="111" t="str">
        <f aca="false">IFERROR(INDEX('Historical Data'!$G$2:$G$9,MATCH($A15,'Historical Data'!$BE$2:$BE$9,0)),"")</f>
        <v/>
      </c>
      <c r="G15" s="111" t="str">
        <f aca="false">IFERROR(INDEX('Historical Data'!$Y$2:$Y$9,MATCH($A15,'Historical Data'!$BE$2:$BE$9,0)),"")</f>
        <v/>
      </c>
      <c r="H15" s="111" t="str">
        <f aca="false">IFERROR(INDEX('Historical Data'!$K$2:$K$9,MATCH($A15,'Historical Data'!$BE$2:$BE$9,0)),"")</f>
        <v/>
      </c>
      <c r="I15" s="111" t="str">
        <f aca="false">IFERROR(INDEX('Historical Data'!$J$2:$J$9,MATCH($A15,'Historical Data'!$BE$2:$BE$9,0)),"")</f>
        <v/>
      </c>
      <c r="J15" s="111" t="str">
        <f aca="false">IFERROR(INDEX('Historical Data'!$L$2:$L$9,MATCH($A15,'Historical Data'!$BE$2:$BE$9,0)),"")</f>
        <v/>
      </c>
      <c r="K15" s="113" t="str">
        <f aca="false">IFERROR(INDEX('Historical Data'!$M$2:$M$9,MATCH($A15,'Historical Data'!$BE$2:$BE$9,0)),"")</f>
        <v/>
      </c>
      <c r="L15" s="114" t="str">
        <f aca="false">IFERROR(INDEX('Historical Data'!$N$2:$N$9,MATCH($A15,'Historical Data'!$BE$2:$BE$9,0)),"")</f>
        <v/>
      </c>
      <c r="M15" s="114" t="str">
        <f aca="false">IFERROR(INDEX('Historical Data'!$Q$2:$Q$9,MATCH($A15,'Historical Data'!$BE$2:$BE$9,0)),"")</f>
        <v/>
      </c>
      <c r="N15" s="115" t="str">
        <f aca="false">IFERROR(INDEX('Historical Data'!$S$2:$S$9,MATCH($A15,'Historical Data'!$BE$2:$BE$9,0)),"")</f>
        <v/>
      </c>
      <c r="O15" s="114" t="str">
        <f aca="false">IFERROR(INDEX('Historical Data'!$AJ$2:$AJ$9,MATCH($A15,'Historical Data'!$BE$2:$BE$9,0)),"")</f>
        <v/>
      </c>
      <c r="P15" s="114" t="str">
        <f aca="false">IFERROR(INDEX('Historical Data'!$AK$2:$AK$9,MATCH($A15,'Historical Data'!$BE$2:$BE$9,0)),"")</f>
        <v/>
      </c>
      <c r="Q15" s="111" t="str">
        <f aca="false">IFERROR(INDEX('Historical Data'!$AA$2:$AA$9,MATCH($A15,'Historical Data'!$BE$2:$BE$9,0)),"")</f>
        <v/>
      </c>
      <c r="R15" s="111" t="str">
        <f aca="false">IFERROR(INDEX('Historical Data'!$AB$2:$AB$9,MATCH($A15,'Historical Data'!$BE$2:$BE$9,0)),"")</f>
        <v/>
      </c>
      <c r="S15" s="111" t="str">
        <f aca="false">IFERROR(INDEX('Historical Data'!$AN$2:$AN$9,MATCH($A15,'Historical Data'!$BE$2:$BE$9,0)),"")</f>
        <v/>
      </c>
      <c r="T15" s="111" t="str">
        <f aca="false">IFERROR(INDEX('Historical Data'!$AC$2:$AC$9,MATCH($A15,'Historical Data'!$BE$2:$BE$9,0)),"")</f>
        <v/>
      </c>
      <c r="U15" s="111" t="str">
        <f aca="false">IFERROR(INDEX('Historical Data'!$AE$2:$AE$9,MATCH($A15,'Historical Data'!$BE$2:$BE$9,0)),"")</f>
        <v/>
      </c>
      <c r="V15" s="111" t="str">
        <f aca="false">IFERROR(INDEX('Historical Data'!$AH$2:$AH$9,MATCH($A15,'Historical Data'!$BE$2:$BE$9,0)),"")</f>
        <v/>
      </c>
      <c r="W15" s="111" t="str">
        <f aca="false">IFERROR(INDEX('Historical Data'!$BC$2:$BC$9,MATCH($A15,'Historical Data'!$BE$2:$BE$9,0)),"")</f>
        <v/>
      </c>
      <c r="X15" s="110" t="str">
        <f aca="false">IF(B15="","",IF(W15=1,"NR + industry + position",IF(W15=2,"NR + ISO + position",IF(W15=3,"NR + industry",IF(W15=4,"NR + ISO",IF(W15=5,"NR + position",IF(W15=6,"NR only","book baseline"))))))&amp;"  ["&amp;IF(T15=1,"seasoned","unseasoned")&amp;IF(U15=1,", defaulted","")&amp;IF(V15=1,", open","")&amp;"]")</f>
        <v/>
      </c>
    </row>
    <row r="16" customFormat="false" ht="15" hidden="false" customHeight="false" outlineLevel="0" collapsed="false">
      <c r="A16" s="110" t="n">
        <v>12</v>
      </c>
      <c r="B16" s="111" t="str">
        <f aca="false">IFERROR(INDEX('Historical Data'!$A$2:$A$9,MATCH($A16,'Historical Data'!$BE$2:$BE$9,0)),"")</f>
        <v/>
      </c>
      <c r="C16" s="111" t="str">
        <f aca="false">IFERROR(INDEX('Historical Data'!$B$2:$B$9,MATCH($A16,'Historical Data'!$BE$2:$BE$9,0)),"")</f>
        <v/>
      </c>
      <c r="D16" s="111" t="str">
        <f aca="false">IFERROR(INDEX('Historical Data'!$D$2:$D$9,MATCH($A16,'Historical Data'!$BE$2:$BE$9,0)),"")</f>
        <v/>
      </c>
      <c r="E16" s="112" t="str">
        <f aca="false">IFERROR(INDEX('Historical Data'!$E$2:$E$9,MATCH($A16,'Historical Data'!$BE$2:$BE$9,0)),"")</f>
        <v/>
      </c>
      <c r="F16" s="111" t="str">
        <f aca="false">IFERROR(INDEX('Historical Data'!$G$2:$G$9,MATCH($A16,'Historical Data'!$BE$2:$BE$9,0)),"")</f>
        <v/>
      </c>
      <c r="G16" s="111" t="str">
        <f aca="false">IFERROR(INDEX('Historical Data'!$Y$2:$Y$9,MATCH($A16,'Historical Data'!$BE$2:$BE$9,0)),"")</f>
        <v/>
      </c>
      <c r="H16" s="111" t="str">
        <f aca="false">IFERROR(INDEX('Historical Data'!$K$2:$K$9,MATCH($A16,'Historical Data'!$BE$2:$BE$9,0)),"")</f>
        <v/>
      </c>
      <c r="I16" s="111" t="str">
        <f aca="false">IFERROR(INDEX('Historical Data'!$J$2:$J$9,MATCH($A16,'Historical Data'!$BE$2:$BE$9,0)),"")</f>
        <v/>
      </c>
      <c r="J16" s="111" t="str">
        <f aca="false">IFERROR(INDEX('Historical Data'!$L$2:$L$9,MATCH($A16,'Historical Data'!$BE$2:$BE$9,0)),"")</f>
        <v/>
      </c>
      <c r="K16" s="113" t="str">
        <f aca="false">IFERROR(INDEX('Historical Data'!$M$2:$M$9,MATCH($A16,'Historical Data'!$BE$2:$BE$9,0)),"")</f>
        <v/>
      </c>
      <c r="L16" s="114" t="str">
        <f aca="false">IFERROR(INDEX('Historical Data'!$N$2:$N$9,MATCH($A16,'Historical Data'!$BE$2:$BE$9,0)),"")</f>
        <v/>
      </c>
      <c r="M16" s="114" t="str">
        <f aca="false">IFERROR(INDEX('Historical Data'!$Q$2:$Q$9,MATCH($A16,'Historical Data'!$BE$2:$BE$9,0)),"")</f>
        <v/>
      </c>
      <c r="N16" s="115" t="str">
        <f aca="false">IFERROR(INDEX('Historical Data'!$S$2:$S$9,MATCH($A16,'Historical Data'!$BE$2:$BE$9,0)),"")</f>
        <v/>
      </c>
      <c r="O16" s="114" t="str">
        <f aca="false">IFERROR(INDEX('Historical Data'!$AJ$2:$AJ$9,MATCH($A16,'Historical Data'!$BE$2:$BE$9,0)),"")</f>
        <v/>
      </c>
      <c r="P16" s="114" t="str">
        <f aca="false">IFERROR(INDEX('Historical Data'!$AK$2:$AK$9,MATCH($A16,'Historical Data'!$BE$2:$BE$9,0)),"")</f>
        <v/>
      </c>
      <c r="Q16" s="111" t="str">
        <f aca="false">IFERROR(INDEX('Historical Data'!$AA$2:$AA$9,MATCH($A16,'Historical Data'!$BE$2:$BE$9,0)),"")</f>
        <v/>
      </c>
      <c r="R16" s="111" t="str">
        <f aca="false">IFERROR(INDEX('Historical Data'!$AB$2:$AB$9,MATCH($A16,'Historical Data'!$BE$2:$BE$9,0)),"")</f>
        <v/>
      </c>
      <c r="S16" s="111" t="str">
        <f aca="false">IFERROR(INDEX('Historical Data'!$AN$2:$AN$9,MATCH($A16,'Historical Data'!$BE$2:$BE$9,0)),"")</f>
        <v/>
      </c>
      <c r="T16" s="111" t="str">
        <f aca="false">IFERROR(INDEX('Historical Data'!$AC$2:$AC$9,MATCH($A16,'Historical Data'!$BE$2:$BE$9,0)),"")</f>
        <v/>
      </c>
      <c r="U16" s="111" t="str">
        <f aca="false">IFERROR(INDEX('Historical Data'!$AE$2:$AE$9,MATCH($A16,'Historical Data'!$BE$2:$BE$9,0)),"")</f>
        <v/>
      </c>
      <c r="V16" s="111" t="str">
        <f aca="false">IFERROR(INDEX('Historical Data'!$AH$2:$AH$9,MATCH($A16,'Historical Data'!$BE$2:$BE$9,0)),"")</f>
        <v/>
      </c>
      <c r="W16" s="111" t="str">
        <f aca="false">IFERROR(INDEX('Historical Data'!$BC$2:$BC$9,MATCH($A16,'Historical Data'!$BE$2:$BE$9,0)),"")</f>
        <v/>
      </c>
      <c r="X16" s="110" t="str">
        <f aca="false">IF(B16="","",IF(W16=1,"NR + industry + position",IF(W16=2,"NR + ISO + position",IF(W16=3,"NR + industry",IF(W16=4,"NR + ISO",IF(W16=5,"NR + position",IF(W16=6,"NR only","book baseline"))))))&amp;"  ["&amp;IF(T16=1,"seasoned","unseasoned")&amp;IF(U16=1,", defaulted","")&amp;IF(V16=1,", open","")&amp;"]")</f>
        <v/>
      </c>
    </row>
    <row r="17" customFormat="false" ht="15" hidden="false" customHeight="false" outlineLevel="0" collapsed="false">
      <c r="A17" s="110" t="n">
        <v>13</v>
      </c>
      <c r="B17" s="111" t="str">
        <f aca="false">IFERROR(INDEX('Historical Data'!$A$2:$A$9,MATCH($A17,'Historical Data'!$BE$2:$BE$9,0)),"")</f>
        <v/>
      </c>
      <c r="C17" s="111" t="str">
        <f aca="false">IFERROR(INDEX('Historical Data'!$B$2:$B$9,MATCH($A17,'Historical Data'!$BE$2:$BE$9,0)),"")</f>
        <v/>
      </c>
      <c r="D17" s="111" t="str">
        <f aca="false">IFERROR(INDEX('Historical Data'!$D$2:$D$9,MATCH($A17,'Historical Data'!$BE$2:$BE$9,0)),"")</f>
        <v/>
      </c>
      <c r="E17" s="112" t="str">
        <f aca="false">IFERROR(INDEX('Historical Data'!$E$2:$E$9,MATCH($A17,'Historical Data'!$BE$2:$BE$9,0)),"")</f>
        <v/>
      </c>
      <c r="F17" s="111" t="str">
        <f aca="false">IFERROR(INDEX('Historical Data'!$G$2:$G$9,MATCH($A17,'Historical Data'!$BE$2:$BE$9,0)),"")</f>
        <v/>
      </c>
      <c r="G17" s="111" t="str">
        <f aca="false">IFERROR(INDEX('Historical Data'!$Y$2:$Y$9,MATCH($A17,'Historical Data'!$BE$2:$BE$9,0)),"")</f>
        <v/>
      </c>
      <c r="H17" s="111" t="str">
        <f aca="false">IFERROR(INDEX('Historical Data'!$K$2:$K$9,MATCH($A17,'Historical Data'!$BE$2:$BE$9,0)),"")</f>
        <v/>
      </c>
      <c r="I17" s="111" t="str">
        <f aca="false">IFERROR(INDEX('Historical Data'!$J$2:$J$9,MATCH($A17,'Historical Data'!$BE$2:$BE$9,0)),"")</f>
        <v/>
      </c>
      <c r="J17" s="111" t="str">
        <f aca="false">IFERROR(INDEX('Historical Data'!$L$2:$L$9,MATCH($A17,'Historical Data'!$BE$2:$BE$9,0)),"")</f>
        <v/>
      </c>
      <c r="K17" s="113" t="str">
        <f aca="false">IFERROR(INDEX('Historical Data'!$M$2:$M$9,MATCH($A17,'Historical Data'!$BE$2:$BE$9,0)),"")</f>
        <v/>
      </c>
      <c r="L17" s="114" t="str">
        <f aca="false">IFERROR(INDEX('Historical Data'!$N$2:$N$9,MATCH($A17,'Historical Data'!$BE$2:$BE$9,0)),"")</f>
        <v/>
      </c>
      <c r="M17" s="114" t="str">
        <f aca="false">IFERROR(INDEX('Historical Data'!$Q$2:$Q$9,MATCH($A17,'Historical Data'!$BE$2:$BE$9,0)),"")</f>
        <v/>
      </c>
      <c r="N17" s="115" t="str">
        <f aca="false">IFERROR(INDEX('Historical Data'!$S$2:$S$9,MATCH($A17,'Historical Data'!$BE$2:$BE$9,0)),"")</f>
        <v/>
      </c>
      <c r="O17" s="114" t="str">
        <f aca="false">IFERROR(INDEX('Historical Data'!$AJ$2:$AJ$9,MATCH($A17,'Historical Data'!$BE$2:$BE$9,0)),"")</f>
        <v/>
      </c>
      <c r="P17" s="114" t="str">
        <f aca="false">IFERROR(INDEX('Historical Data'!$AK$2:$AK$9,MATCH($A17,'Historical Data'!$BE$2:$BE$9,0)),"")</f>
        <v/>
      </c>
      <c r="Q17" s="111" t="str">
        <f aca="false">IFERROR(INDEX('Historical Data'!$AA$2:$AA$9,MATCH($A17,'Historical Data'!$BE$2:$BE$9,0)),"")</f>
        <v/>
      </c>
      <c r="R17" s="111" t="str">
        <f aca="false">IFERROR(INDEX('Historical Data'!$AB$2:$AB$9,MATCH($A17,'Historical Data'!$BE$2:$BE$9,0)),"")</f>
        <v/>
      </c>
      <c r="S17" s="111" t="str">
        <f aca="false">IFERROR(INDEX('Historical Data'!$AN$2:$AN$9,MATCH($A17,'Historical Data'!$BE$2:$BE$9,0)),"")</f>
        <v/>
      </c>
      <c r="T17" s="111" t="str">
        <f aca="false">IFERROR(INDEX('Historical Data'!$AC$2:$AC$9,MATCH($A17,'Historical Data'!$BE$2:$BE$9,0)),"")</f>
        <v/>
      </c>
      <c r="U17" s="111" t="str">
        <f aca="false">IFERROR(INDEX('Historical Data'!$AE$2:$AE$9,MATCH($A17,'Historical Data'!$BE$2:$BE$9,0)),"")</f>
        <v/>
      </c>
      <c r="V17" s="111" t="str">
        <f aca="false">IFERROR(INDEX('Historical Data'!$AH$2:$AH$9,MATCH($A17,'Historical Data'!$BE$2:$BE$9,0)),"")</f>
        <v/>
      </c>
      <c r="W17" s="111" t="str">
        <f aca="false">IFERROR(INDEX('Historical Data'!$BC$2:$BC$9,MATCH($A17,'Historical Data'!$BE$2:$BE$9,0)),"")</f>
        <v/>
      </c>
      <c r="X17" s="110" t="str">
        <f aca="false">IF(B17="","",IF(W17=1,"NR + industry + position",IF(W17=2,"NR + ISO + position",IF(W17=3,"NR + industry",IF(W17=4,"NR + ISO",IF(W17=5,"NR + position",IF(W17=6,"NR only","book baseline"))))))&amp;"  ["&amp;IF(T17=1,"seasoned","unseasoned")&amp;IF(U17=1,", defaulted","")&amp;IF(V17=1,", open","")&amp;"]")</f>
        <v/>
      </c>
    </row>
    <row r="18" customFormat="false" ht="15" hidden="false" customHeight="false" outlineLevel="0" collapsed="false">
      <c r="A18" s="110" t="n">
        <v>14</v>
      </c>
      <c r="B18" s="111" t="str">
        <f aca="false">IFERROR(INDEX('Historical Data'!$A$2:$A$9,MATCH($A18,'Historical Data'!$BE$2:$BE$9,0)),"")</f>
        <v/>
      </c>
      <c r="C18" s="111" t="str">
        <f aca="false">IFERROR(INDEX('Historical Data'!$B$2:$B$9,MATCH($A18,'Historical Data'!$BE$2:$BE$9,0)),"")</f>
        <v/>
      </c>
      <c r="D18" s="111" t="str">
        <f aca="false">IFERROR(INDEX('Historical Data'!$D$2:$D$9,MATCH($A18,'Historical Data'!$BE$2:$BE$9,0)),"")</f>
        <v/>
      </c>
      <c r="E18" s="112" t="str">
        <f aca="false">IFERROR(INDEX('Historical Data'!$E$2:$E$9,MATCH($A18,'Historical Data'!$BE$2:$BE$9,0)),"")</f>
        <v/>
      </c>
      <c r="F18" s="111" t="str">
        <f aca="false">IFERROR(INDEX('Historical Data'!$G$2:$G$9,MATCH($A18,'Historical Data'!$BE$2:$BE$9,0)),"")</f>
        <v/>
      </c>
      <c r="G18" s="111" t="str">
        <f aca="false">IFERROR(INDEX('Historical Data'!$Y$2:$Y$9,MATCH($A18,'Historical Data'!$BE$2:$BE$9,0)),"")</f>
        <v/>
      </c>
      <c r="H18" s="111" t="str">
        <f aca="false">IFERROR(INDEX('Historical Data'!$K$2:$K$9,MATCH($A18,'Historical Data'!$BE$2:$BE$9,0)),"")</f>
        <v/>
      </c>
      <c r="I18" s="111" t="str">
        <f aca="false">IFERROR(INDEX('Historical Data'!$J$2:$J$9,MATCH($A18,'Historical Data'!$BE$2:$BE$9,0)),"")</f>
        <v/>
      </c>
      <c r="J18" s="111" t="str">
        <f aca="false">IFERROR(INDEX('Historical Data'!$L$2:$L$9,MATCH($A18,'Historical Data'!$BE$2:$BE$9,0)),"")</f>
        <v/>
      </c>
      <c r="K18" s="113" t="str">
        <f aca="false">IFERROR(INDEX('Historical Data'!$M$2:$M$9,MATCH($A18,'Historical Data'!$BE$2:$BE$9,0)),"")</f>
        <v/>
      </c>
      <c r="L18" s="114" t="str">
        <f aca="false">IFERROR(INDEX('Historical Data'!$N$2:$N$9,MATCH($A18,'Historical Data'!$BE$2:$BE$9,0)),"")</f>
        <v/>
      </c>
      <c r="M18" s="114" t="str">
        <f aca="false">IFERROR(INDEX('Historical Data'!$Q$2:$Q$9,MATCH($A18,'Historical Data'!$BE$2:$BE$9,0)),"")</f>
        <v/>
      </c>
      <c r="N18" s="115" t="str">
        <f aca="false">IFERROR(INDEX('Historical Data'!$S$2:$S$9,MATCH($A18,'Historical Data'!$BE$2:$BE$9,0)),"")</f>
        <v/>
      </c>
      <c r="O18" s="114" t="str">
        <f aca="false">IFERROR(INDEX('Historical Data'!$AJ$2:$AJ$9,MATCH($A18,'Historical Data'!$BE$2:$BE$9,0)),"")</f>
        <v/>
      </c>
      <c r="P18" s="114" t="str">
        <f aca="false">IFERROR(INDEX('Historical Data'!$AK$2:$AK$9,MATCH($A18,'Historical Data'!$BE$2:$BE$9,0)),"")</f>
        <v/>
      </c>
      <c r="Q18" s="111" t="str">
        <f aca="false">IFERROR(INDEX('Historical Data'!$AA$2:$AA$9,MATCH($A18,'Historical Data'!$BE$2:$BE$9,0)),"")</f>
        <v/>
      </c>
      <c r="R18" s="111" t="str">
        <f aca="false">IFERROR(INDEX('Historical Data'!$AB$2:$AB$9,MATCH($A18,'Historical Data'!$BE$2:$BE$9,0)),"")</f>
        <v/>
      </c>
      <c r="S18" s="111" t="str">
        <f aca="false">IFERROR(INDEX('Historical Data'!$AN$2:$AN$9,MATCH($A18,'Historical Data'!$BE$2:$BE$9,0)),"")</f>
        <v/>
      </c>
      <c r="T18" s="111" t="str">
        <f aca="false">IFERROR(INDEX('Historical Data'!$AC$2:$AC$9,MATCH($A18,'Historical Data'!$BE$2:$BE$9,0)),"")</f>
        <v/>
      </c>
      <c r="U18" s="111" t="str">
        <f aca="false">IFERROR(INDEX('Historical Data'!$AE$2:$AE$9,MATCH($A18,'Historical Data'!$BE$2:$BE$9,0)),"")</f>
        <v/>
      </c>
      <c r="V18" s="111" t="str">
        <f aca="false">IFERROR(INDEX('Historical Data'!$AH$2:$AH$9,MATCH($A18,'Historical Data'!$BE$2:$BE$9,0)),"")</f>
        <v/>
      </c>
      <c r="W18" s="111" t="str">
        <f aca="false">IFERROR(INDEX('Historical Data'!$BC$2:$BC$9,MATCH($A18,'Historical Data'!$BE$2:$BE$9,0)),"")</f>
        <v/>
      </c>
      <c r="X18" s="110" t="str">
        <f aca="false">IF(B18="","",IF(W18=1,"NR + industry + position",IF(W18=2,"NR + ISO + position",IF(W18=3,"NR + industry",IF(W18=4,"NR + ISO",IF(W18=5,"NR + position",IF(W18=6,"NR only","book baseline"))))))&amp;"  ["&amp;IF(T18=1,"seasoned","unseasoned")&amp;IF(U18=1,", defaulted","")&amp;IF(V18=1,", open","")&amp;"]")</f>
        <v/>
      </c>
    </row>
    <row r="19" customFormat="false" ht="15" hidden="false" customHeight="false" outlineLevel="0" collapsed="false">
      <c r="A19" s="110" t="n">
        <v>15</v>
      </c>
      <c r="B19" s="111" t="str">
        <f aca="false">IFERROR(INDEX('Historical Data'!$A$2:$A$9,MATCH($A19,'Historical Data'!$BE$2:$BE$9,0)),"")</f>
        <v/>
      </c>
      <c r="C19" s="111" t="str">
        <f aca="false">IFERROR(INDEX('Historical Data'!$B$2:$B$9,MATCH($A19,'Historical Data'!$BE$2:$BE$9,0)),"")</f>
        <v/>
      </c>
      <c r="D19" s="111" t="str">
        <f aca="false">IFERROR(INDEX('Historical Data'!$D$2:$D$9,MATCH($A19,'Historical Data'!$BE$2:$BE$9,0)),"")</f>
        <v/>
      </c>
      <c r="E19" s="112" t="str">
        <f aca="false">IFERROR(INDEX('Historical Data'!$E$2:$E$9,MATCH($A19,'Historical Data'!$BE$2:$BE$9,0)),"")</f>
        <v/>
      </c>
      <c r="F19" s="111" t="str">
        <f aca="false">IFERROR(INDEX('Historical Data'!$G$2:$G$9,MATCH($A19,'Historical Data'!$BE$2:$BE$9,0)),"")</f>
        <v/>
      </c>
      <c r="G19" s="111" t="str">
        <f aca="false">IFERROR(INDEX('Historical Data'!$Y$2:$Y$9,MATCH($A19,'Historical Data'!$BE$2:$BE$9,0)),"")</f>
        <v/>
      </c>
      <c r="H19" s="111" t="str">
        <f aca="false">IFERROR(INDEX('Historical Data'!$K$2:$K$9,MATCH($A19,'Historical Data'!$BE$2:$BE$9,0)),"")</f>
        <v/>
      </c>
      <c r="I19" s="111" t="str">
        <f aca="false">IFERROR(INDEX('Historical Data'!$J$2:$J$9,MATCH($A19,'Historical Data'!$BE$2:$BE$9,0)),"")</f>
        <v/>
      </c>
      <c r="J19" s="111" t="str">
        <f aca="false">IFERROR(INDEX('Historical Data'!$L$2:$L$9,MATCH($A19,'Historical Data'!$BE$2:$BE$9,0)),"")</f>
        <v/>
      </c>
      <c r="K19" s="113" t="str">
        <f aca="false">IFERROR(INDEX('Historical Data'!$M$2:$M$9,MATCH($A19,'Historical Data'!$BE$2:$BE$9,0)),"")</f>
        <v/>
      </c>
      <c r="L19" s="114" t="str">
        <f aca="false">IFERROR(INDEX('Historical Data'!$N$2:$N$9,MATCH($A19,'Historical Data'!$BE$2:$BE$9,0)),"")</f>
        <v/>
      </c>
      <c r="M19" s="114" t="str">
        <f aca="false">IFERROR(INDEX('Historical Data'!$Q$2:$Q$9,MATCH($A19,'Historical Data'!$BE$2:$BE$9,0)),"")</f>
        <v/>
      </c>
      <c r="N19" s="115" t="str">
        <f aca="false">IFERROR(INDEX('Historical Data'!$S$2:$S$9,MATCH($A19,'Historical Data'!$BE$2:$BE$9,0)),"")</f>
        <v/>
      </c>
      <c r="O19" s="114" t="str">
        <f aca="false">IFERROR(INDEX('Historical Data'!$AJ$2:$AJ$9,MATCH($A19,'Historical Data'!$BE$2:$BE$9,0)),"")</f>
        <v/>
      </c>
      <c r="P19" s="114" t="str">
        <f aca="false">IFERROR(INDEX('Historical Data'!$AK$2:$AK$9,MATCH($A19,'Historical Data'!$BE$2:$BE$9,0)),"")</f>
        <v/>
      </c>
      <c r="Q19" s="111" t="str">
        <f aca="false">IFERROR(INDEX('Historical Data'!$AA$2:$AA$9,MATCH($A19,'Historical Data'!$BE$2:$BE$9,0)),"")</f>
        <v/>
      </c>
      <c r="R19" s="111" t="str">
        <f aca="false">IFERROR(INDEX('Historical Data'!$AB$2:$AB$9,MATCH($A19,'Historical Data'!$BE$2:$BE$9,0)),"")</f>
        <v/>
      </c>
      <c r="S19" s="111" t="str">
        <f aca="false">IFERROR(INDEX('Historical Data'!$AN$2:$AN$9,MATCH($A19,'Historical Data'!$BE$2:$BE$9,0)),"")</f>
        <v/>
      </c>
      <c r="T19" s="111" t="str">
        <f aca="false">IFERROR(INDEX('Historical Data'!$AC$2:$AC$9,MATCH($A19,'Historical Data'!$BE$2:$BE$9,0)),"")</f>
        <v/>
      </c>
      <c r="U19" s="111" t="str">
        <f aca="false">IFERROR(INDEX('Historical Data'!$AE$2:$AE$9,MATCH($A19,'Historical Data'!$BE$2:$BE$9,0)),"")</f>
        <v/>
      </c>
      <c r="V19" s="111" t="str">
        <f aca="false">IFERROR(INDEX('Historical Data'!$AH$2:$AH$9,MATCH($A19,'Historical Data'!$BE$2:$BE$9,0)),"")</f>
        <v/>
      </c>
      <c r="W19" s="111" t="str">
        <f aca="false">IFERROR(INDEX('Historical Data'!$BC$2:$BC$9,MATCH($A19,'Historical Data'!$BE$2:$BE$9,0)),"")</f>
        <v/>
      </c>
      <c r="X19" s="110" t="str">
        <f aca="false">IF(B19="","",IF(W19=1,"NR + industry + position",IF(W19=2,"NR + ISO + position",IF(W19=3,"NR + industry",IF(W19=4,"NR + ISO",IF(W19=5,"NR + position",IF(W19=6,"NR only","book baseline"))))))&amp;"  ["&amp;IF(T19=1,"seasoned","unseasoned")&amp;IF(U19=1,", defaulted","")&amp;IF(V19=1,", open","")&amp;"]")</f>
        <v/>
      </c>
    </row>
    <row r="20" customFormat="false" ht="15" hidden="false" customHeight="false" outlineLevel="0" collapsed="false">
      <c r="A20" s="110" t="n">
        <v>16</v>
      </c>
      <c r="B20" s="111" t="str">
        <f aca="false">IFERROR(INDEX('Historical Data'!$A$2:$A$9,MATCH($A20,'Historical Data'!$BE$2:$BE$9,0)),"")</f>
        <v/>
      </c>
      <c r="C20" s="111" t="str">
        <f aca="false">IFERROR(INDEX('Historical Data'!$B$2:$B$9,MATCH($A20,'Historical Data'!$BE$2:$BE$9,0)),"")</f>
        <v/>
      </c>
      <c r="D20" s="111" t="str">
        <f aca="false">IFERROR(INDEX('Historical Data'!$D$2:$D$9,MATCH($A20,'Historical Data'!$BE$2:$BE$9,0)),"")</f>
        <v/>
      </c>
      <c r="E20" s="112" t="str">
        <f aca="false">IFERROR(INDEX('Historical Data'!$E$2:$E$9,MATCH($A20,'Historical Data'!$BE$2:$BE$9,0)),"")</f>
        <v/>
      </c>
      <c r="F20" s="111" t="str">
        <f aca="false">IFERROR(INDEX('Historical Data'!$G$2:$G$9,MATCH($A20,'Historical Data'!$BE$2:$BE$9,0)),"")</f>
        <v/>
      </c>
      <c r="G20" s="111" t="str">
        <f aca="false">IFERROR(INDEX('Historical Data'!$Y$2:$Y$9,MATCH($A20,'Historical Data'!$BE$2:$BE$9,0)),"")</f>
        <v/>
      </c>
      <c r="H20" s="111" t="str">
        <f aca="false">IFERROR(INDEX('Historical Data'!$K$2:$K$9,MATCH($A20,'Historical Data'!$BE$2:$BE$9,0)),"")</f>
        <v/>
      </c>
      <c r="I20" s="111" t="str">
        <f aca="false">IFERROR(INDEX('Historical Data'!$J$2:$J$9,MATCH($A20,'Historical Data'!$BE$2:$BE$9,0)),"")</f>
        <v/>
      </c>
      <c r="J20" s="111" t="str">
        <f aca="false">IFERROR(INDEX('Historical Data'!$L$2:$L$9,MATCH($A20,'Historical Data'!$BE$2:$BE$9,0)),"")</f>
        <v/>
      </c>
      <c r="K20" s="113" t="str">
        <f aca="false">IFERROR(INDEX('Historical Data'!$M$2:$M$9,MATCH($A20,'Historical Data'!$BE$2:$BE$9,0)),"")</f>
        <v/>
      </c>
      <c r="L20" s="114" t="str">
        <f aca="false">IFERROR(INDEX('Historical Data'!$N$2:$N$9,MATCH($A20,'Historical Data'!$BE$2:$BE$9,0)),"")</f>
        <v/>
      </c>
      <c r="M20" s="114" t="str">
        <f aca="false">IFERROR(INDEX('Historical Data'!$Q$2:$Q$9,MATCH($A20,'Historical Data'!$BE$2:$BE$9,0)),"")</f>
        <v/>
      </c>
      <c r="N20" s="115" t="str">
        <f aca="false">IFERROR(INDEX('Historical Data'!$S$2:$S$9,MATCH($A20,'Historical Data'!$BE$2:$BE$9,0)),"")</f>
        <v/>
      </c>
      <c r="O20" s="114" t="str">
        <f aca="false">IFERROR(INDEX('Historical Data'!$AJ$2:$AJ$9,MATCH($A20,'Historical Data'!$BE$2:$BE$9,0)),"")</f>
        <v/>
      </c>
      <c r="P20" s="114" t="str">
        <f aca="false">IFERROR(INDEX('Historical Data'!$AK$2:$AK$9,MATCH($A20,'Historical Data'!$BE$2:$BE$9,0)),"")</f>
        <v/>
      </c>
      <c r="Q20" s="111" t="str">
        <f aca="false">IFERROR(INDEX('Historical Data'!$AA$2:$AA$9,MATCH($A20,'Historical Data'!$BE$2:$BE$9,0)),"")</f>
        <v/>
      </c>
      <c r="R20" s="111" t="str">
        <f aca="false">IFERROR(INDEX('Historical Data'!$AB$2:$AB$9,MATCH($A20,'Historical Data'!$BE$2:$BE$9,0)),"")</f>
        <v/>
      </c>
      <c r="S20" s="111" t="str">
        <f aca="false">IFERROR(INDEX('Historical Data'!$AN$2:$AN$9,MATCH($A20,'Historical Data'!$BE$2:$BE$9,0)),"")</f>
        <v/>
      </c>
      <c r="T20" s="111" t="str">
        <f aca="false">IFERROR(INDEX('Historical Data'!$AC$2:$AC$9,MATCH($A20,'Historical Data'!$BE$2:$BE$9,0)),"")</f>
        <v/>
      </c>
      <c r="U20" s="111" t="str">
        <f aca="false">IFERROR(INDEX('Historical Data'!$AE$2:$AE$9,MATCH($A20,'Historical Data'!$BE$2:$BE$9,0)),"")</f>
        <v/>
      </c>
      <c r="V20" s="111" t="str">
        <f aca="false">IFERROR(INDEX('Historical Data'!$AH$2:$AH$9,MATCH($A20,'Historical Data'!$BE$2:$BE$9,0)),"")</f>
        <v/>
      </c>
      <c r="W20" s="111" t="str">
        <f aca="false">IFERROR(INDEX('Historical Data'!$BC$2:$BC$9,MATCH($A20,'Historical Data'!$BE$2:$BE$9,0)),"")</f>
        <v/>
      </c>
      <c r="X20" s="110" t="str">
        <f aca="false">IF(B20="","",IF(W20=1,"NR + industry + position",IF(W20=2,"NR + ISO + position",IF(W20=3,"NR + industry",IF(W20=4,"NR + ISO",IF(W20=5,"NR + position",IF(W20=6,"NR only","book baseline"))))))&amp;"  ["&amp;IF(T20=1,"seasoned","unseasoned")&amp;IF(U20=1,", defaulted","")&amp;IF(V20=1,", open","")&amp;"]")</f>
        <v/>
      </c>
    </row>
    <row r="21" customFormat="false" ht="15" hidden="false" customHeight="false" outlineLevel="0" collapsed="false">
      <c r="A21" s="110" t="n">
        <v>17</v>
      </c>
      <c r="B21" s="111" t="str">
        <f aca="false">IFERROR(INDEX('Historical Data'!$A$2:$A$9,MATCH($A21,'Historical Data'!$BE$2:$BE$9,0)),"")</f>
        <v/>
      </c>
      <c r="C21" s="111" t="str">
        <f aca="false">IFERROR(INDEX('Historical Data'!$B$2:$B$9,MATCH($A21,'Historical Data'!$BE$2:$BE$9,0)),"")</f>
        <v/>
      </c>
      <c r="D21" s="111" t="str">
        <f aca="false">IFERROR(INDEX('Historical Data'!$D$2:$D$9,MATCH($A21,'Historical Data'!$BE$2:$BE$9,0)),"")</f>
        <v/>
      </c>
      <c r="E21" s="112" t="str">
        <f aca="false">IFERROR(INDEX('Historical Data'!$E$2:$E$9,MATCH($A21,'Historical Data'!$BE$2:$BE$9,0)),"")</f>
        <v/>
      </c>
      <c r="F21" s="111" t="str">
        <f aca="false">IFERROR(INDEX('Historical Data'!$G$2:$G$9,MATCH($A21,'Historical Data'!$BE$2:$BE$9,0)),"")</f>
        <v/>
      </c>
      <c r="G21" s="111" t="str">
        <f aca="false">IFERROR(INDEX('Historical Data'!$Y$2:$Y$9,MATCH($A21,'Historical Data'!$BE$2:$BE$9,0)),"")</f>
        <v/>
      </c>
      <c r="H21" s="111" t="str">
        <f aca="false">IFERROR(INDEX('Historical Data'!$K$2:$K$9,MATCH($A21,'Historical Data'!$BE$2:$BE$9,0)),"")</f>
        <v/>
      </c>
      <c r="I21" s="111" t="str">
        <f aca="false">IFERROR(INDEX('Historical Data'!$J$2:$J$9,MATCH($A21,'Historical Data'!$BE$2:$BE$9,0)),"")</f>
        <v/>
      </c>
      <c r="J21" s="111" t="str">
        <f aca="false">IFERROR(INDEX('Historical Data'!$L$2:$L$9,MATCH($A21,'Historical Data'!$BE$2:$BE$9,0)),"")</f>
        <v/>
      </c>
      <c r="K21" s="113" t="str">
        <f aca="false">IFERROR(INDEX('Historical Data'!$M$2:$M$9,MATCH($A21,'Historical Data'!$BE$2:$BE$9,0)),"")</f>
        <v/>
      </c>
      <c r="L21" s="114" t="str">
        <f aca="false">IFERROR(INDEX('Historical Data'!$N$2:$N$9,MATCH($A21,'Historical Data'!$BE$2:$BE$9,0)),"")</f>
        <v/>
      </c>
      <c r="M21" s="114" t="str">
        <f aca="false">IFERROR(INDEX('Historical Data'!$Q$2:$Q$9,MATCH($A21,'Historical Data'!$BE$2:$BE$9,0)),"")</f>
        <v/>
      </c>
      <c r="N21" s="115" t="str">
        <f aca="false">IFERROR(INDEX('Historical Data'!$S$2:$S$9,MATCH($A21,'Historical Data'!$BE$2:$BE$9,0)),"")</f>
        <v/>
      </c>
      <c r="O21" s="114" t="str">
        <f aca="false">IFERROR(INDEX('Historical Data'!$AJ$2:$AJ$9,MATCH($A21,'Historical Data'!$BE$2:$BE$9,0)),"")</f>
        <v/>
      </c>
      <c r="P21" s="114" t="str">
        <f aca="false">IFERROR(INDEX('Historical Data'!$AK$2:$AK$9,MATCH($A21,'Historical Data'!$BE$2:$BE$9,0)),"")</f>
        <v/>
      </c>
      <c r="Q21" s="111" t="str">
        <f aca="false">IFERROR(INDEX('Historical Data'!$AA$2:$AA$9,MATCH($A21,'Historical Data'!$BE$2:$BE$9,0)),"")</f>
        <v/>
      </c>
      <c r="R21" s="111" t="str">
        <f aca="false">IFERROR(INDEX('Historical Data'!$AB$2:$AB$9,MATCH($A21,'Historical Data'!$BE$2:$BE$9,0)),"")</f>
        <v/>
      </c>
      <c r="S21" s="111" t="str">
        <f aca="false">IFERROR(INDEX('Historical Data'!$AN$2:$AN$9,MATCH($A21,'Historical Data'!$BE$2:$BE$9,0)),"")</f>
        <v/>
      </c>
      <c r="T21" s="111" t="str">
        <f aca="false">IFERROR(INDEX('Historical Data'!$AC$2:$AC$9,MATCH($A21,'Historical Data'!$BE$2:$BE$9,0)),"")</f>
        <v/>
      </c>
      <c r="U21" s="111" t="str">
        <f aca="false">IFERROR(INDEX('Historical Data'!$AE$2:$AE$9,MATCH($A21,'Historical Data'!$BE$2:$BE$9,0)),"")</f>
        <v/>
      </c>
      <c r="V21" s="111" t="str">
        <f aca="false">IFERROR(INDEX('Historical Data'!$AH$2:$AH$9,MATCH($A21,'Historical Data'!$BE$2:$BE$9,0)),"")</f>
        <v/>
      </c>
      <c r="W21" s="111" t="str">
        <f aca="false">IFERROR(INDEX('Historical Data'!$BC$2:$BC$9,MATCH($A21,'Historical Data'!$BE$2:$BE$9,0)),"")</f>
        <v/>
      </c>
      <c r="X21" s="110" t="str">
        <f aca="false">IF(B21="","",IF(W21=1,"NR + industry + position",IF(W21=2,"NR + ISO + position",IF(W21=3,"NR + industry",IF(W21=4,"NR + ISO",IF(W21=5,"NR + position",IF(W21=6,"NR only","book baseline"))))))&amp;"  ["&amp;IF(T21=1,"seasoned","unseasoned")&amp;IF(U21=1,", defaulted","")&amp;IF(V21=1,", open","")&amp;"]")</f>
        <v/>
      </c>
    </row>
    <row r="22" customFormat="false" ht="15" hidden="false" customHeight="false" outlineLevel="0" collapsed="false">
      <c r="A22" s="110" t="n">
        <v>18</v>
      </c>
      <c r="B22" s="111" t="str">
        <f aca="false">IFERROR(INDEX('Historical Data'!$A$2:$A$9,MATCH($A22,'Historical Data'!$BE$2:$BE$9,0)),"")</f>
        <v/>
      </c>
      <c r="C22" s="111" t="str">
        <f aca="false">IFERROR(INDEX('Historical Data'!$B$2:$B$9,MATCH($A22,'Historical Data'!$BE$2:$BE$9,0)),"")</f>
        <v/>
      </c>
      <c r="D22" s="111" t="str">
        <f aca="false">IFERROR(INDEX('Historical Data'!$D$2:$D$9,MATCH($A22,'Historical Data'!$BE$2:$BE$9,0)),"")</f>
        <v/>
      </c>
      <c r="E22" s="112" t="str">
        <f aca="false">IFERROR(INDEX('Historical Data'!$E$2:$E$9,MATCH($A22,'Historical Data'!$BE$2:$BE$9,0)),"")</f>
        <v/>
      </c>
      <c r="F22" s="111" t="str">
        <f aca="false">IFERROR(INDEX('Historical Data'!$G$2:$G$9,MATCH($A22,'Historical Data'!$BE$2:$BE$9,0)),"")</f>
        <v/>
      </c>
      <c r="G22" s="111" t="str">
        <f aca="false">IFERROR(INDEX('Historical Data'!$Y$2:$Y$9,MATCH($A22,'Historical Data'!$BE$2:$BE$9,0)),"")</f>
        <v/>
      </c>
      <c r="H22" s="111" t="str">
        <f aca="false">IFERROR(INDEX('Historical Data'!$K$2:$K$9,MATCH($A22,'Historical Data'!$BE$2:$BE$9,0)),"")</f>
        <v/>
      </c>
      <c r="I22" s="111" t="str">
        <f aca="false">IFERROR(INDEX('Historical Data'!$J$2:$J$9,MATCH($A22,'Historical Data'!$BE$2:$BE$9,0)),"")</f>
        <v/>
      </c>
      <c r="J22" s="111" t="str">
        <f aca="false">IFERROR(INDEX('Historical Data'!$L$2:$L$9,MATCH($A22,'Historical Data'!$BE$2:$BE$9,0)),"")</f>
        <v/>
      </c>
      <c r="K22" s="113" t="str">
        <f aca="false">IFERROR(INDEX('Historical Data'!$M$2:$M$9,MATCH($A22,'Historical Data'!$BE$2:$BE$9,0)),"")</f>
        <v/>
      </c>
      <c r="L22" s="114" t="str">
        <f aca="false">IFERROR(INDEX('Historical Data'!$N$2:$N$9,MATCH($A22,'Historical Data'!$BE$2:$BE$9,0)),"")</f>
        <v/>
      </c>
      <c r="M22" s="114" t="str">
        <f aca="false">IFERROR(INDEX('Historical Data'!$Q$2:$Q$9,MATCH($A22,'Historical Data'!$BE$2:$BE$9,0)),"")</f>
        <v/>
      </c>
      <c r="N22" s="115" t="str">
        <f aca="false">IFERROR(INDEX('Historical Data'!$S$2:$S$9,MATCH($A22,'Historical Data'!$BE$2:$BE$9,0)),"")</f>
        <v/>
      </c>
      <c r="O22" s="114" t="str">
        <f aca="false">IFERROR(INDEX('Historical Data'!$AJ$2:$AJ$9,MATCH($A22,'Historical Data'!$BE$2:$BE$9,0)),"")</f>
        <v/>
      </c>
      <c r="P22" s="114" t="str">
        <f aca="false">IFERROR(INDEX('Historical Data'!$AK$2:$AK$9,MATCH($A22,'Historical Data'!$BE$2:$BE$9,0)),"")</f>
        <v/>
      </c>
      <c r="Q22" s="111" t="str">
        <f aca="false">IFERROR(INDEX('Historical Data'!$AA$2:$AA$9,MATCH($A22,'Historical Data'!$BE$2:$BE$9,0)),"")</f>
        <v/>
      </c>
      <c r="R22" s="111" t="str">
        <f aca="false">IFERROR(INDEX('Historical Data'!$AB$2:$AB$9,MATCH($A22,'Historical Data'!$BE$2:$BE$9,0)),"")</f>
        <v/>
      </c>
      <c r="S22" s="111" t="str">
        <f aca="false">IFERROR(INDEX('Historical Data'!$AN$2:$AN$9,MATCH($A22,'Historical Data'!$BE$2:$BE$9,0)),"")</f>
        <v/>
      </c>
      <c r="T22" s="111" t="str">
        <f aca="false">IFERROR(INDEX('Historical Data'!$AC$2:$AC$9,MATCH($A22,'Historical Data'!$BE$2:$BE$9,0)),"")</f>
        <v/>
      </c>
      <c r="U22" s="111" t="str">
        <f aca="false">IFERROR(INDEX('Historical Data'!$AE$2:$AE$9,MATCH($A22,'Historical Data'!$BE$2:$BE$9,0)),"")</f>
        <v/>
      </c>
      <c r="V22" s="111" t="str">
        <f aca="false">IFERROR(INDEX('Historical Data'!$AH$2:$AH$9,MATCH($A22,'Historical Data'!$BE$2:$BE$9,0)),"")</f>
        <v/>
      </c>
      <c r="W22" s="111" t="str">
        <f aca="false">IFERROR(INDEX('Historical Data'!$BC$2:$BC$9,MATCH($A22,'Historical Data'!$BE$2:$BE$9,0)),"")</f>
        <v/>
      </c>
      <c r="X22" s="110" t="str">
        <f aca="false">IF(B22="","",IF(W22=1,"NR + industry + position",IF(W22=2,"NR + ISO + position",IF(W22=3,"NR + industry",IF(W22=4,"NR + ISO",IF(W22=5,"NR + position",IF(W22=6,"NR only","book baseline"))))))&amp;"  ["&amp;IF(T22=1,"seasoned","unseasoned")&amp;IF(U22=1,", defaulted","")&amp;IF(V22=1,", open","")&amp;"]")</f>
        <v/>
      </c>
    </row>
    <row r="23" customFormat="false" ht="15" hidden="false" customHeight="false" outlineLevel="0" collapsed="false">
      <c r="A23" s="110" t="n">
        <v>19</v>
      </c>
      <c r="B23" s="111" t="str">
        <f aca="false">IFERROR(INDEX('Historical Data'!$A$2:$A$9,MATCH($A23,'Historical Data'!$BE$2:$BE$9,0)),"")</f>
        <v/>
      </c>
      <c r="C23" s="111" t="str">
        <f aca="false">IFERROR(INDEX('Historical Data'!$B$2:$B$9,MATCH($A23,'Historical Data'!$BE$2:$BE$9,0)),"")</f>
        <v/>
      </c>
      <c r="D23" s="111" t="str">
        <f aca="false">IFERROR(INDEX('Historical Data'!$D$2:$D$9,MATCH($A23,'Historical Data'!$BE$2:$BE$9,0)),"")</f>
        <v/>
      </c>
      <c r="E23" s="112" t="str">
        <f aca="false">IFERROR(INDEX('Historical Data'!$E$2:$E$9,MATCH($A23,'Historical Data'!$BE$2:$BE$9,0)),"")</f>
        <v/>
      </c>
      <c r="F23" s="111" t="str">
        <f aca="false">IFERROR(INDEX('Historical Data'!$G$2:$G$9,MATCH($A23,'Historical Data'!$BE$2:$BE$9,0)),"")</f>
        <v/>
      </c>
      <c r="G23" s="111" t="str">
        <f aca="false">IFERROR(INDEX('Historical Data'!$Y$2:$Y$9,MATCH($A23,'Historical Data'!$BE$2:$BE$9,0)),"")</f>
        <v/>
      </c>
      <c r="H23" s="111" t="str">
        <f aca="false">IFERROR(INDEX('Historical Data'!$K$2:$K$9,MATCH($A23,'Historical Data'!$BE$2:$BE$9,0)),"")</f>
        <v/>
      </c>
      <c r="I23" s="111" t="str">
        <f aca="false">IFERROR(INDEX('Historical Data'!$J$2:$J$9,MATCH($A23,'Historical Data'!$BE$2:$BE$9,0)),"")</f>
        <v/>
      </c>
      <c r="J23" s="111" t="str">
        <f aca="false">IFERROR(INDEX('Historical Data'!$L$2:$L$9,MATCH($A23,'Historical Data'!$BE$2:$BE$9,0)),"")</f>
        <v/>
      </c>
      <c r="K23" s="113" t="str">
        <f aca="false">IFERROR(INDEX('Historical Data'!$M$2:$M$9,MATCH($A23,'Historical Data'!$BE$2:$BE$9,0)),"")</f>
        <v/>
      </c>
      <c r="L23" s="114" t="str">
        <f aca="false">IFERROR(INDEX('Historical Data'!$N$2:$N$9,MATCH($A23,'Historical Data'!$BE$2:$BE$9,0)),"")</f>
        <v/>
      </c>
      <c r="M23" s="114" t="str">
        <f aca="false">IFERROR(INDEX('Historical Data'!$Q$2:$Q$9,MATCH($A23,'Historical Data'!$BE$2:$BE$9,0)),"")</f>
        <v/>
      </c>
      <c r="N23" s="115" t="str">
        <f aca="false">IFERROR(INDEX('Historical Data'!$S$2:$S$9,MATCH($A23,'Historical Data'!$BE$2:$BE$9,0)),"")</f>
        <v/>
      </c>
      <c r="O23" s="114" t="str">
        <f aca="false">IFERROR(INDEX('Historical Data'!$AJ$2:$AJ$9,MATCH($A23,'Historical Data'!$BE$2:$BE$9,0)),"")</f>
        <v/>
      </c>
      <c r="P23" s="114" t="str">
        <f aca="false">IFERROR(INDEX('Historical Data'!$AK$2:$AK$9,MATCH($A23,'Historical Data'!$BE$2:$BE$9,0)),"")</f>
        <v/>
      </c>
      <c r="Q23" s="111" t="str">
        <f aca="false">IFERROR(INDEX('Historical Data'!$AA$2:$AA$9,MATCH($A23,'Historical Data'!$BE$2:$BE$9,0)),"")</f>
        <v/>
      </c>
      <c r="R23" s="111" t="str">
        <f aca="false">IFERROR(INDEX('Historical Data'!$AB$2:$AB$9,MATCH($A23,'Historical Data'!$BE$2:$BE$9,0)),"")</f>
        <v/>
      </c>
      <c r="S23" s="111" t="str">
        <f aca="false">IFERROR(INDEX('Historical Data'!$AN$2:$AN$9,MATCH($A23,'Historical Data'!$BE$2:$BE$9,0)),"")</f>
        <v/>
      </c>
      <c r="T23" s="111" t="str">
        <f aca="false">IFERROR(INDEX('Historical Data'!$AC$2:$AC$9,MATCH($A23,'Historical Data'!$BE$2:$BE$9,0)),"")</f>
        <v/>
      </c>
      <c r="U23" s="111" t="str">
        <f aca="false">IFERROR(INDEX('Historical Data'!$AE$2:$AE$9,MATCH($A23,'Historical Data'!$BE$2:$BE$9,0)),"")</f>
        <v/>
      </c>
      <c r="V23" s="111" t="str">
        <f aca="false">IFERROR(INDEX('Historical Data'!$AH$2:$AH$9,MATCH($A23,'Historical Data'!$BE$2:$BE$9,0)),"")</f>
        <v/>
      </c>
      <c r="W23" s="111" t="str">
        <f aca="false">IFERROR(INDEX('Historical Data'!$BC$2:$BC$9,MATCH($A23,'Historical Data'!$BE$2:$BE$9,0)),"")</f>
        <v/>
      </c>
      <c r="X23" s="110" t="str">
        <f aca="false">IF(B23="","",IF(W23=1,"NR + industry + position",IF(W23=2,"NR + ISO + position",IF(W23=3,"NR + industry",IF(W23=4,"NR + ISO",IF(W23=5,"NR + position",IF(W23=6,"NR only","book baseline"))))))&amp;"  ["&amp;IF(T23=1,"seasoned","unseasoned")&amp;IF(U23=1,", defaulted","")&amp;IF(V23=1,", open","")&amp;"]")</f>
        <v/>
      </c>
    </row>
    <row r="24" customFormat="false" ht="15" hidden="false" customHeight="false" outlineLevel="0" collapsed="false">
      <c r="A24" s="110" t="n">
        <v>20</v>
      </c>
      <c r="B24" s="111" t="str">
        <f aca="false">IFERROR(INDEX('Historical Data'!$A$2:$A$9,MATCH($A24,'Historical Data'!$BE$2:$BE$9,0)),"")</f>
        <v/>
      </c>
      <c r="C24" s="111" t="str">
        <f aca="false">IFERROR(INDEX('Historical Data'!$B$2:$B$9,MATCH($A24,'Historical Data'!$BE$2:$BE$9,0)),"")</f>
        <v/>
      </c>
      <c r="D24" s="111" t="str">
        <f aca="false">IFERROR(INDEX('Historical Data'!$D$2:$D$9,MATCH($A24,'Historical Data'!$BE$2:$BE$9,0)),"")</f>
        <v/>
      </c>
      <c r="E24" s="112" t="str">
        <f aca="false">IFERROR(INDEX('Historical Data'!$E$2:$E$9,MATCH($A24,'Historical Data'!$BE$2:$BE$9,0)),"")</f>
        <v/>
      </c>
      <c r="F24" s="111" t="str">
        <f aca="false">IFERROR(INDEX('Historical Data'!$G$2:$G$9,MATCH($A24,'Historical Data'!$BE$2:$BE$9,0)),"")</f>
        <v/>
      </c>
      <c r="G24" s="111" t="str">
        <f aca="false">IFERROR(INDEX('Historical Data'!$Y$2:$Y$9,MATCH($A24,'Historical Data'!$BE$2:$BE$9,0)),"")</f>
        <v/>
      </c>
      <c r="H24" s="111" t="str">
        <f aca="false">IFERROR(INDEX('Historical Data'!$K$2:$K$9,MATCH($A24,'Historical Data'!$BE$2:$BE$9,0)),"")</f>
        <v/>
      </c>
      <c r="I24" s="111" t="str">
        <f aca="false">IFERROR(INDEX('Historical Data'!$J$2:$J$9,MATCH($A24,'Historical Data'!$BE$2:$BE$9,0)),"")</f>
        <v/>
      </c>
      <c r="J24" s="111" t="str">
        <f aca="false">IFERROR(INDEX('Historical Data'!$L$2:$L$9,MATCH($A24,'Historical Data'!$BE$2:$BE$9,0)),"")</f>
        <v/>
      </c>
      <c r="K24" s="113" t="str">
        <f aca="false">IFERROR(INDEX('Historical Data'!$M$2:$M$9,MATCH($A24,'Historical Data'!$BE$2:$BE$9,0)),"")</f>
        <v/>
      </c>
      <c r="L24" s="114" t="str">
        <f aca="false">IFERROR(INDEX('Historical Data'!$N$2:$N$9,MATCH($A24,'Historical Data'!$BE$2:$BE$9,0)),"")</f>
        <v/>
      </c>
      <c r="M24" s="114" t="str">
        <f aca="false">IFERROR(INDEX('Historical Data'!$Q$2:$Q$9,MATCH($A24,'Historical Data'!$BE$2:$BE$9,0)),"")</f>
        <v/>
      </c>
      <c r="N24" s="115" t="str">
        <f aca="false">IFERROR(INDEX('Historical Data'!$S$2:$S$9,MATCH($A24,'Historical Data'!$BE$2:$BE$9,0)),"")</f>
        <v/>
      </c>
      <c r="O24" s="114" t="str">
        <f aca="false">IFERROR(INDEX('Historical Data'!$AJ$2:$AJ$9,MATCH($A24,'Historical Data'!$BE$2:$BE$9,0)),"")</f>
        <v/>
      </c>
      <c r="P24" s="114" t="str">
        <f aca="false">IFERROR(INDEX('Historical Data'!$AK$2:$AK$9,MATCH($A24,'Historical Data'!$BE$2:$BE$9,0)),"")</f>
        <v/>
      </c>
      <c r="Q24" s="111" t="str">
        <f aca="false">IFERROR(INDEX('Historical Data'!$AA$2:$AA$9,MATCH($A24,'Historical Data'!$BE$2:$BE$9,0)),"")</f>
        <v/>
      </c>
      <c r="R24" s="111" t="str">
        <f aca="false">IFERROR(INDEX('Historical Data'!$AB$2:$AB$9,MATCH($A24,'Historical Data'!$BE$2:$BE$9,0)),"")</f>
        <v/>
      </c>
      <c r="S24" s="111" t="str">
        <f aca="false">IFERROR(INDEX('Historical Data'!$AN$2:$AN$9,MATCH($A24,'Historical Data'!$BE$2:$BE$9,0)),"")</f>
        <v/>
      </c>
      <c r="T24" s="111" t="str">
        <f aca="false">IFERROR(INDEX('Historical Data'!$AC$2:$AC$9,MATCH($A24,'Historical Data'!$BE$2:$BE$9,0)),"")</f>
        <v/>
      </c>
      <c r="U24" s="111" t="str">
        <f aca="false">IFERROR(INDEX('Historical Data'!$AE$2:$AE$9,MATCH($A24,'Historical Data'!$BE$2:$BE$9,0)),"")</f>
        <v/>
      </c>
      <c r="V24" s="111" t="str">
        <f aca="false">IFERROR(INDEX('Historical Data'!$AH$2:$AH$9,MATCH($A24,'Historical Data'!$BE$2:$BE$9,0)),"")</f>
        <v/>
      </c>
      <c r="W24" s="111" t="str">
        <f aca="false">IFERROR(INDEX('Historical Data'!$BC$2:$BC$9,MATCH($A24,'Historical Data'!$BE$2:$BE$9,0)),"")</f>
        <v/>
      </c>
      <c r="X24" s="110" t="str">
        <f aca="false">IF(B24="","",IF(W24=1,"NR + industry + position",IF(W24=2,"NR + ISO + position",IF(W24=3,"NR + industry",IF(W24=4,"NR + ISO",IF(W24=5,"NR + position",IF(W24=6,"NR only","book baseline"))))))&amp;"  ["&amp;IF(T24=1,"seasoned","unseasoned")&amp;IF(U24=1,", defaulted","")&amp;IF(V24=1,", open","")&amp;"]")</f>
        <v/>
      </c>
    </row>
    <row r="25" customFormat="false" ht="15" hidden="false" customHeight="false" outlineLevel="0" collapsed="false">
      <c r="A25" s="110" t="n">
        <v>21</v>
      </c>
      <c r="B25" s="111" t="str">
        <f aca="false">IFERROR(INDEX('Historical Data'!$A$2:$A$9,MATCH($A25,'Historical Data'!$BE$2:$BE$9,0)),"")</f>
        <v/>
      </c>
      <c r="C25" s="111" t="str">
        <f aca="false">IFERROR(INDEX('Historical Data'!$B$2:$B$9,MATCH($A25,'Historical Data'!$BE$2:$BE$9,0)),"")</f>
        <v/>
      </c>
      <c r="D25" s="111" t="str">
        <f aca="false">IFERROR(INDEX('Historical Data'!$D$2:$D$9,MATCH($A25,'Historical Data'!$BE$2:$BE$9,0)),"")</f>
        <v/>
      </c>
      <c r="E25" s="112" t="str">
        <f aca="false">IFERROR(INDEX('Historical Data'!$E$2:$E$9,MATCH($A25,'Historical Data'!$BE$2:$BE$9,0)),"")</f>
        <v/>
      </c>
      <c r="F25" s="111" t="str">
        <f aca="false">IFERROR(INDEX('Historical Data'!$G$2:$G$9,MATCH($A25,'Historical Data'!$BE$2:$BE$9,0)),"")</f>
        <v/>
      </c>
      <c r="G25" s="111" t="str">
        <f aca="false">IFERROR(INDEX('Historical Data'!$Y$2:$Y$9,MATCH($A25,'Historical Data'!$BE$2:$BE$9,0)),"")</f>
        <v/>
      </c>
      <c r="H25" s="111" t="str">
        <f aca="false">IFERROR(INDEX('Historical Data'!$K$2:$K$9,MATCH($A25,'Historical Data'!$BE$2:$BE$9,0)),"")</f>
        <v/>
      </c>
      <c r="I25" s="111" t="str">
        <f aca="false">IFERROR(INDEX('Historical Data'!$J$2:$J$9,MATCH($A25,'Historical Data'!$BE$2:$BE$9,0)),"")</f>
        <v/>
      </c>
      <c r="J25" s="111" t="str">
        <f aca="false">IFERROR(INDEX('Historical Data'!$L$2:$L$9,MATCH($A25,'Historical Data'!$BE$2:$BE$9,0)),"")</f>
        <v/>
      </c>
      <c r="K25" s="113" t="str">
        <f aca="false">IFERROR(INDEX('Historical Data'!$M$2:$M$9,MATCH($A25,'Historical Data'!$BE$2:$BE$9,0)),"")</f>
        <v/>
      </c>
      <c r="L25" s="114" t="str">
        <f aca="false">IFERROR(INDEX('Historical Data'!$N$2:$N$9,MATCH($A25,'Historical Data'!$BE$2:$BE$9,0)),"")</f>
        <v/>
      </c>
      <c r="M25" s="114" t="str">
        <f aca="false">IFERROR(INDEX('Historical Data'!$Q$2:$Q$9,MATCH($A25,'Historical Data'!$BE$2:$BE$9,0)),"")</f>
        <v/>
      </c>
      <c r="N25" s="115" t="str">
        <f aca="false">IFERROR(INDEX('Historical Data'!$S$2:$S$9,MATCH($A25,'Historical Data'!$BE$2:$BE$9,0)),"")</f>
        <v/>
      </c>
      <c r="O25" s="114" t="str">
        <f aca="false">IFERROR(INDEX('Historical Data'!$AJ$2:$AJ$9,MATCH($A25,'Historical Data'!$BE$2:$BE$9,0)),"")</f>
        <v/>
      </c>
      <c r="P25" s="114" t="str">
        <f aca="false">IFERROR(INDEX('Historical Data'!$AK$2:$AK$9,MATCH($A25,'Historical Data'!$BE$2:$BE$9,0)),"")</f>
        <v/>
      </c>
      <c r="Q25" s="111" t="str">
        <f aca="false">IFERROR(INDEX('Historical Data'!$AA$2:$AA$9,MATCH($A25,'Historical Data'!$BE$2:$BE$9,0)),"")</f>
        <v/>
      </c>
      <c r="R25" s="111" t="str">
        <f aca="false">IFERROR(INDEX('Historical Data'!$AB$2:$AB$9,MATCH($A25,'Historical Data'!$BE$2:$BE$9,0)),"")</f>
        <v/>
      </c>
      <c r="S25" s="111" t="str">
        <f aca="false">IFERROR(INDEX('Historical Data'!$AN$2:$AN$9,MATCH($A25,'Historical Data'!$BE$2:$BE$9,0)),"")</f>
        <v/>
      </c>
      <c r="T25" s="111" t="str">
        <f aca="false">IFERROR(INDEX('Historical Data'!$AC$2:$AC$9,MATCH($A25,'Historical Data'!$BE$2:$BE$9,0)),"")</f>
        <v/>
      </c>
      <c r="U25" s="111" t="str">
        <f aca="false">IFERROR(INDEX('Historical Data'!$AE$2:$AE$9,MATCH($A25,'Historical Data'!$BE$2:$BE$9,0)),"")</f>
        <v/>
      </c>
      <c r="V25" s="111" t="str">
        <f aca="false">IFERROR(INDEX('Historical Data'!$AH$2:$AH$9,MATCH($A25,'Historical Data'!$BE$2:$BE$9,0)),"")</f>
        <v/>
      </c>
      <c r="W25" s="111" t="str">
        <f aca="false">IFERROR(INDEX('Historical Data'!$BC$2:$BC$9,MATCH($A25,'Historical Data'!$BE$2:$BE$9,0)),"")</f>
        <v/>
      </c>
      <c r="X25" s="110" t="str">
        <f aca="false">IF(B25="","",IF(W25=1,"NR + industry + position",IF(W25=2,"NR + ISO + position",IF(W25=3,"NR + industry",IF(W25=4,"NR + ISO",IF(W25=5,"NR + position",IF(W25=6,"NR only","book baseline"))))))&amp;"  ["&amp;IF(T25=1,"seasoned","unseasoned")&amp;IF(U25=1,", defaulted","")&amp;IF(V25=1,", open","")&amp;"]")</f>
        <v/>
      </c>
    </row>
    <row r="26" customFormat="false" ht="15" hidden="false" customHeight="false" outlineLevel="0" collapsed="false">
      <c r="A26" s="110" t="n">
        <v>22</v>
      </c>
      <c r="B26" s="111" t="str">
        <f aca="false">IFERROR(INDEX('Historical Data'!$A$2:$A$9,MATCH($A26,'Historical Data'!$BE$2:$BE$9,0)),"")</f>
        <v/>
      </c>
      <c r="C26" s="111" t="str">
        <f aca="false">IFERROR(INDEX('Historical Data'!$B$2:$B$9,MATCH($A26,'Historical Data'!$BE$2:$BE$9,0)),"")</f>
        <v/>
      </c>
      <c r="D26" s="111" t="str">
        <f aca="false">IFERROR(INDEX('Historical Data'!$D$2:$D$9,MATCH($A26,'Historical Data'!$BE$2:$BE$9,0)),"")</f>
        <v/>
      </c>
      <c r="E26" s="112" t="str">
        <f aca="false">IFERROR(INDEX('Historical Data'!$E$2:$E$9,MATCH($A26,'Historical Data'!$BE$2:$BE$9,0)),"")</f>
        <v/>
      </c>
      <c r="F26" s="111" t="str">
        <f aca="false">IFERROR(INDEX('Historical Data'!$G$2:$G$9,MATCH($A26,'Historical Data'!$BE$2:$BE$9,0)),"")</f>
        <v/>
      </c>
      <c r="G26" s="111" t="str">
        <f aca="false">IFERROR(INDEX('Historical Data'!$Y$2:$Y$9,MATCH($A26,'Historical Data'!$BE$2:$BE$9,0)),"")</f>
        <v/>
      </c>
      <c r="H26" s="111" t="str">
        <f aca="false">IFERROR(INDEX('Historical Data'!$K$2:$K$9,MATCH($A26,'Historical Data'!$BE$2:$BE$9,0)),"")</f>
        <v/>
      </c>
      <c r="I26" s="111" t="str">
        <f aca="false">IFERROR(INDEX('Historical Data'!$J$2:$J$9,MATCH($A26,'Historical Data'!$BE$2:$BE$9,0)),"")</f>
        <v/>
      </c>
      <c r="J26" s="111" t="str">
        <f aca="false">IFERROR(INDEX('Historical Data'!$L$2:$L$9,MATCH($A26,'Historical Data'!$BE$2:$BE$9,0)),"")</f>
        <v/>
      </c>
      <c r="K26" s="113" t="str">
        <f aca="false">IFERROR(INDEX('Historical Data'!$M$2:$M$9,MATCH($A26,'Historical Data'!$BE$2:$BE$9,0)),"")</f>
        <v/>
      </c>
      <c r="L26" s="114" t="str">
        <f aca="false">IFERROR(INDEX('Historical Data'!$N$2:$N$9,MATCH($A26,'Historical Data'!$BE$2:$BE$9,0)),"")</f>
        <v/>
      </c>
      <c r="M26" s="114" t="str">
        <f aca="false">IFERROR(INDEX('Historical Data'!$Q$2:$Q$9,MATCH($A26,'Historical Data'!$BE$2:$BE$9,0)),"")</f>
        <v/>
      </c>
      <c r="N26" s="115" t="str">
        <f aca="false">IFERROR(INDEX('Historical Data'!$S$2:$S$9,MATCH($A26,'Historical Data'!$BE$2:$BE$9,0)),"")</f>
        <v/>
      </c>
      <c r="O26" s="114" t="str">
        <f aca="false">IFERROR(INDEX('Historical Data'!$AJ$2:$AJ$9,MATCH($A26,'Historical Data'!$BE$2:$BE$9,0)),"")</f>
        <v/>
      </c>
      <c r="P26" s="114" t="str">
        <f aca="false">IFERROR(INDEX('Historical Data'!$AK$2:$AK$9,MATCH($A26,'Historical Data'!$BE$2:$BE$9,0)),"")</f>
        <v/>
      </c>
      <c r="Q26" s="111" t="str">
        <f aca="false">IFERROR(INDEX('Historical Data'!$AA$2:$AA$9,MATCH($A26,'Historical Data'!$BE$2:$BE$9,0)),"")</f>
        <v/>
      </c>
      <c r="R26" s="111" t="str">
        <f aca="false">IFERROR(INDEX('Historical Data'!$AB$2:$AB$9,MATCH($A26,'Historical Data'!$BE$2:$BE$9,0)),"")</f>
        <v/>
      </c>
      <c r="S26" s="111" t="str">
        <f aca="false">IFERROR(INDEX('Historical Data'!$AN$2:$AN$9,MATCH($A26,'Historical Data'!$BE$2:$BE$9,0)),"")</f>
        <v/>
      </c>
      <c r="T26" s="111" t="str">
        <f aca="false">IFERROR(INDEX('Historical Data'!$AC$2:$AC$9,MATCH($A26,'Historical Data'!$BE$2:$BE$9,0)),"")</f>
        <v/>
      </c>
      <c r="U26" s="111" t="str">
        <f aca="false">IFERROR(INDEX('Historical Data'!$AE$2:$AE$9,MATCH($A26,'Historical Data'!$BE$2:$BE$9,0)),"")</f>
        <v/>
      </c>
      <c r="V26" s="111" t="str">
        <f aca="false">IFERROR(INDEX('Historical Data'!$AH$2:$AH$9,MATCH($A26,'Historical Data'!$BE$2:$BE$9,0)),"")</f>
        <v/>
      </c>
      <c r="W26" s="111" t="str">
        <f aca="false">IFERROR(INDEX('Historical Data'!$BC$2:$BC$9,MATCH($A26,'Historical Data'!$BE$2:$BE$9,0)),"")</f>
        <v/>
      </c>
      <c r="X26" s="110" t="str">
        <f aca="false">IF(B26="","",IF(W26=1,"NR + industry + position",IF(W26=2,"NR + ISO + position",IF(W26=3,"NR + industry",IF(W26=4,"NR + ISO",IF(W26=5,"NR + position",IF(W26=6,"NR only","book baseline"))))))&amp;"  ["&amp;IF(T26=1,"seasoned","unseasoned")&amp;IF(U26=1,", defaulted","")&amp;IF(V26=1,", open","")&amp;"]")</f>
        <v/>
      </c>
    </row>
    <row r="27" customFormat="false" ht="15" hidden="false" customHeight="false" outlineLevel="0" collapsed="false">
      <c r="A27" s="110" t="n">
        <v>23</v>
      </c>
      <c r="B27" s="111" t="str">
        <f aca="false">IFERROR(INDEX('Historical Data'!$A$2:$A$9,MATCH($A27,'Historical Data'!$BE$2:$BE$9,0)),"")</f>
        <v/>
      </c>
      <c r="C27" s="111" t="str">
        <f aca="false">IFERROR(INDEX('Historical Data'!$B$2:$B$9,MATCH($A27,'Historical Data'!$BE$2:$BE$9,0)),"")</f>
        <v/>
      </c>
      <c r="D27" s="111" t="str">
        <f aca="false">IFERROR(INDEX('Historical Data'!$D$2:$D$9,MATCH($A27,'Historical Data'!$BE$2:$BE$9,0)),"")</f>
        <v/>
      </c>
      <c r="E27" s="112" t="str">
        <f aca="false">IFERROR(INDEX('Historical Data'!$E$2:$E$9,MATCH($A27,'Historical Data'!$BE$2:$BE$9,0)),"")</f>
        <v/>
      </c>
      <c r="F27" s="111" t="str">
        <f aca="false">IFERROR(INDEX('Historical Data'!$G$2:$G$9,MATCH($A27,'Historical Data'!$BE$2:$BE$9,0)),"")</f>
        <v/>
      </c>
      <c r="G27" s="111" t="str">
        <f aca="false">IFERROR(INDEX('Historical Data'!$Y$2:$Y$9,MATCH($A27,'Historical Data'!$BE$2:$BE$9,0)),"")</f>
        <v/>
      </c>
      <c r="H27" s="111" t="str">
        <f aca="false">IFERROR(INDEX('Historical Data'!$K$2:$K$9,MATCH($A27,'Historical Data'!$BE$2:$BE$9,0)),"")</f>
        <v/>
      </c>
      <c r="I27" s="111" t="str">
        <f aca="false">IFERROR(INDEX('Historical Data'!$J$2:$J$9,MATCH($A27,'Historical Data'!$BE$2:$BE$9,0)),"")</f>
        <v/>
      </c>
      <c r="J27" s="111" t="str">
        <f aca="false">IFERROR(INDEX('Historical Data'!$L$2:$L$9,MATCH($A27,'Historical Data'!$BE$2:$BE$9,0)),"")</f>
        <v/>
      </c>
      <c r="K27" s="113" t="str">
        <f aca="false">IFERROR(INDEX('Historical Data'!$M$2:$M$9,MATCH($A27,'Historical Data'!$BE$2:$BE$9,0)),"")</f>
        <v/>
      </c>
      <c r="L27" s="114" t="str">
        <f aca="false">IFERROR(INDEX('Historical Data'!$N$2:$N$9,MATCH($A27,'Historical Data'!$BE$2:$BE$9,0)),"")</f>
        <v/>
      </c>
      <c r="M27" s="114" t="str">
        <f aca="false">IFERROR(INDEX('Historical Data'!$Q$2:$Q$9,MATCH($A27,'Historical Data'!$BE$2:$BE$9,0)),"")</f>
        <v/>
      </c>
      <c r="N27" s="115" t="str">
        <f aca="false">IFERROR(INDEX('Historical Data'!$S$2:$S$9,MATCH($A27,'Historical Data'!$BE$2:$BE$9,0)),"")</f>
        <v/>
      </c>
      <c r="O27" s="114" t="str">
        <f aca="false">IFERROR(INDEX('Historical Data'!$AJ$2:$AJ$9,MATCH($A27,'Historical Data'!$BE$2:$BE$9,0)),"")</f>
        <v/>
      </c>
      <c r="P27" s="114" t="str">
        <f aca="false">IFERROR(INDEX('Historical Data'!$AK$2:$AK$9,MATCH($A27,'Historical Data'!$BE$2:$BE$9,0)),"")</f>
        <v/>
      </c>
      <c r="Q27" s="111" t="str">
        <f aca="false">IFERROR(INDEX('Historical Data'!$AA$2:$AA$9,MATCH($A27,'Historical Data'!$BE$2:$BE$9,0)),"")</f>
        <v/>
      </c>
      <c r="R27" s="111" t="str">
        <f aca="false">IFERROR(INDEX('Historical Data'!$AB$2:$AB$9,MATCH($A27,'Historical Data'!$BE$2:$BE$9,0)),"")</f>
        <v/>
      </c>
      <c r="S27" s="111" t="str">
        <f aca="false">IFERROR(INDEX('Historical Data'!$AN$2:$AN$9,MATCH($A27,'Historical Data'!$BE$2:$BE$9,0)),"")</f>
        <v/>
      </c>
      <c r="T27" s="111" t="str">
        <f aca="false">IFERROR(INDEX('Historical Data'!$AC$2:$AC$9,MATCH($A27,'Historical Data'!$BE$2:$BE$9,0)),"")</f>
        <v/>
      </c>
      <c r="U27" s="111" t="str">
        <f aca="false">IFERROR(INDEX('Historical Data'!$AE$2:$AE$9,MATCH($A27,'Historical Data'!$BE$2:$BE$9,0)),"")</f>
        <v/>
      </c>
      <c r="V27" s="111" t="str">
        <f aca="false">IFERROR(INDEX('Historical Data'!$AH$2:$AH$9,MATCH($A27,'Historical Data'!$BE$2:$BE$9,0)),"")</f>
        <v/>
      </c>
      <c r="W27" s="111" t="str">
        <f aca="false">IFERROR(INDEX('Historical Data'!$BC$2:$BC$9,MATCH($A27,'Historical Data'!$BE$2:$BE$9,0)),"")</f>
        <v/>
      </c>
      <c r="X27" s="110" t="str">
        <f aca="false">IF(B27="","",IF(W27=1,"NR + industry + position",IF(W27=2,"NR + ISO + position",IF(W27=3,"NR + industry",IF(W27=4,"NR + ISO",IF(W27=5,"NR + position",IF(W27=6,"NR only","book baseline"))))))&amp;"  ["&amp;IF(T27=1,"seasoned","unseasoned")&amp;IF(U27=1,", defaulted","")&amp;IF(V27=1,", open","")&amp;"]")</f>
        <v/>
      </c>
    </row>
    <row r="28" customFormat="false" ht="15" hidden="false" customHeight="false" outlineLevel="0" collapsed="false">
      <c r="A28" s="110" t="n">
        <v>24</v>
      </c>
      <c r="B28" s="111" t="str">
        <f aca="false">IFERROR(INDEX('Historical Data'!$A$2:$A$9,MATCH($A28,'Historical Data'!$BE$2:$BE$9,0)),"")</f>
        <v/>
      </c>
      <c r="C28" s="111" t="str">
        <f aca="false">IFERROR(INDEX('Historical Data'!$B$2:$B$9,MATCH($A28,'Historical Data'!$BE$2:$BE$9,0)),"")</f>
        <v/>
      </c>
      <c r="D28" s="111" t="str">
        <f aca="false">IFERROR(INDEX('Historical Data'!$D$2:$D$9,MATCH($A28,'Historical Data'!$BE$2:$BE$9,0)),"")</f>
        <v/>
      </c>
      <c r="E28" s="112" t="str">
        <f aca="false">IFERROR(INDEX('Historical Data'!$E$2:$E$9,MATCH($A28,'Historical Data'!$BE$2:$BE$9,0)),"")</f>
        <v/>
      </c>
      <c r="F28" s="111" t="str">
        <f aca="false">IFERROR(INDEX('Historical Data'!$G$2:$G$9,MATCH($A28,'Historical Data'!$BE$2:$BE$9,0)),"")</f>
        <v/>
      </c>
      <c r="G28" s="111" t="str">
        <f aca="false">IFERROR(INDEX('Historical Data'!$Y$2:$Y$9,MATCH($A28,'Historical Data'!$BE$2:$BE$9,0)),"")</f>
        <v/>
      </c>
      <c r="H28" s="111" t="str">
        <f aca="false">IFERROR(INDEX('Historical Data'!$K$2:$K$9,MATCH($A28,'Historical Data'!$BE$2:$BE$9,0)),"")</f>
        <v/>
      </c>
      <c r="I28" s="111" t="str">
        <f aca="false">IFERROR(INDEX('Historical Data'!$J$2:$J$9,MATCH($A28,'Historical Data'!$BE$2:$BE$9,0)),"")</f>
        <v/>
      </c>
      <c r="J28" s="111" t="str">
        <f aca="false">IFERROR(INDEX('Historical Data'!$L$2:$L$9,MATCH($A28,'Historical Data'!$BE$2:$BE$9,0)),"")</f>
        <v/>
      </c>
      <c r="K28" s="113" t="str">
        <f aca="false">IFERROR(INDEX('Historical Data'!$M$2:$M$9,MATCH($A28,'Historical Data'!$BE$2:$BE$9,0)),"")</f>
        <v/>
      </c>
      <c r="L28" s="114" t="str">
        <f aca="false">IFERROR(INDEX('Historical Data'!$N$2:$N$9,MATCH($A28,'Historical Data'!$BE$2:$BE$9,0)),"")</f>
        <v/>
      </c>
      <c r="M28" s="114" t="str">
        <f aca="false">IFERROR(INDEX('Historical Data'!$Q$2:$Q$9,MATCH($A28,'Historical Data'!$BE$2:$BE$9,0)),"")</f>
        <v/>
      </c>
      <c r="N28" s="115" t="str">
        <f aca="false">IFERROR(INDEX('Historical Data'!$S$2:$S$9,MATCH($A28,'Historical Data'!$BE$2:$BE$9,0)),"")</f>
        <v/>
      </c>
      <c r="O28" s="114" t="str">
        <f aca="false">IFERROR(INDEX('Historical Data'!$AJ$2:$AJ$9,MATCH($A28,'Historical Data'!$BE$2:$BE$9,0)),"")</f>
        <v/>
      </c>
      <c r="P28" s="114" t="str">
        <f aca="false">IFERROR(INDEX('Historical Data'!$AK$2:$AK$9,MATCH($A28,'Historical Data'!$BE$2:$BE$9,0)),"")</f>
        <v/>
      </c>
      <c r="Q28" s="111" t="str">
        <f aca="false">IFERROR(INDEX('Historical Data'!$AA$2:$AA$9,MATCH($A28,'Historical Data'!$BE$2:$BE$9,0)),"")</f>
        <v/>
      </c>
      <c r="R28" s="111" t="str">
        <f aca="false">IFERROR(INDEX('Historical Data'!$AB$2:$AB$9,MATCH($A28,'Historical Data'!$BE$2:$BE$9,0)),"")</f>
        <v/>
      </c>
      <c r="S28" s="111" t="str">
        <f aca="false">IFERROR(INDEX('Historical Data'!$AN$2:$AN$9,MATCH($A28,'Historical Data'!$BE$2:$BE$9,0)),"")</f>
        <v/>
      </c>
      <c r="T28" s="111" t="str">
        <f aca="false">IFERROR(INDEX('Historical Data'!$AC$2:$AC$9,MATCH($A28,'Historical Data'!$BE$2:$BE$9,0)),"")</f>
        <v/>
      </c>
      <c r="U28" s="111" t="str">
        <f aca="false">IFERROR(INDEX('Historical Data'!$AE$2:$AE$9,MATCH($A28,'Historical Data'!$BE$2:$BE$9,0)),"")</f>
        <v/>
      </c>
      <c r="V28" s="111" t="str">
        <f aca="false">IFERROR(INDEX('Historical Data'!$AH$2:$AH$9,MATCH($A28,'Historical Data'!$BE$2:$BE$9,0)),"")</f>
        <v/>
      </c>
      <c r="W28" s="111" t="str">
        <f aca="false">IFERROR(INDEX('Historical Data'!$BC$2:$BC$9,MATCH($A28,'Historical Data'!$BE$2:$BE$9,0)),"")</f>
        <v/>
      </c>
      <c r="X28" s="110" t="str">
        <f aca="false">IF(B28="","",IF(W28=1,"NR + industry + position",IF(W28=2,"NR + ISO + position",IF(W28=3,"NR + industry",IF(W28=4,"NR + ISO",IF(W28=5,"NR + position",IF(W28=6,"NR only","book baseline"))))))&amp;"  ["&amp;IF(T28=1,"seasoned","unseasoned")&amp;IF(U28=1,", defaulted","")&amp;IF(V28=1,", open","")&amp;"]")</f>
        <v/>
      </c>
    </row>
    <row r="29" customFormat="false" ht="15" hidden="false" customHeight="false" outlineLevel="0" collapsed="false">
      <c r="A29" s="110" t="n">
        <v>25</v>
      </c>
      <c r="B29" s="111" t="str">
        <f aca="false">IFERROR(INDEX('Historical Data'!$A$2:$A$9,MATCH($A29,'Historical Data'!$BE$2:$BE$9,0)),"")</f>
        <v/>
      </c>
      <c r="C29" s="111" t="str">
        <f aca="false">IFERROR(INDEX('Historical Data'!$B$2:$B$9,MATCH($A29,'Historical Data'!$BE$2:$BE$9,0)),"")</f>
        <v/>
      </c>
      <c r="D29" s="111" t="str">
        <f aca="false">IFERROR(INDEX('Historical Data'!$D$2:$D$9,MATCH($A29,'Historical Data'!$BE$2:$BE$9,0)),"")</f>
        <v/>
      </c>
      <c r="E29" s="112" t="str">
        <f aca="false">IFERROR(INDEX('Historical Data'!$E$2:$E$9,MATCH($A29,'Historical Data'!$BE$2:$BE$9,0)),"")</f>
        <v/>
      </c>
      <c r="F29" s="111" t="str">
        <f aca="false">IFERROR(INDEX('Historical Data'!$G$2:$G$9,MATCH($A29,'Historical Data'!$BE$2:$BE$9,0)),"")</f>
        <v/>
      </c>
      <c r="G29" s="111" t="str">
        <f aca="false">IFERROR(INDEX('Historical Data'!$Y$2:$Y$9,MATCH($A29,'Historical Data'!$BE$2:$BE$9,0)),"")</f>
        <v/>
      </c>
      <c r="H29" s="111" t="str">
        <f aca="false">IFERROR(INDEX('Historical Data'!$K$2:$K$9,MATCH($A29,'Historical Data'!$BE$2:$BE$9,0)),"")</f>
        <v/>
      </c>
      <c r="I29" s="111" t="str">
        <f aca="false">IFERROR(INDEX('Historical Data'!$J$2:$J$9,MATCH($A29,'Historical Data'!$BE$2:$BE$9,0)),"")</f>
        <v/>
      </c>
      <c r="J29" s="111" t="str">
        <f aca="false">IFERROR(INDEX('Historical Data'!$L$2:$L$9,MATCH($A29,'Historical Data'!$BE$2:$BE$9,0)),"")</f>
        <v/>
      </c>
      <c r="K29" s="113" t="str">
        <f aca="false">IFERROR(INDEX('Historical Data'!$M$2:$M$9,MATCH($A29,'Historical Data'!$BE$2:$BE$9,0)),"")</f>
        <v/>
      </c>
      <c r="L29" s="114" t="str">
        <f aca="false">IFERROR(INDEX('Historical Data'!$N$2:$N$9,MATCH($A29,'Historical Data'!$BE$2:$BE$9,0)),"")</f>
        <v/>
      </c>
      <c r="M29" s="114" t="str">
        <f aca="false">IFERROR(INDEX('Historical Data'!$Q$2:$Q$9,MATCH($A29,'Historical Data'!$BE$2:$BE$9,0)),"")</f>
        <v/>
      </c>
      <c r="N29" s="115" t="str">
        <f aca="false">IFERROR(INDEX('Historical Data'!$S$2:$S$9,MATCH($A29,'Historical Data'!$BE$2:$BE$9,0)),"")</f>
        <v/>
      </c>
      <c r="O29" s="114" t="str">
        <f aca="false">IFERROR(INDEX('Historical Data'!$AJ$2:$AJ$9,MATCH($A29,'Historical Data'!$BE$2:$BE$9,0)),"")</f>
        <v/>
      </c>
      <c r="P29" s="114" t="str">
        <f aca="false">IFERROR(INDEX('Historical Data'!$AK$2:$AK$9,MATCH($A29,'Historical Data'!$BE$2:$BE$9,0)),"")</f>
        <v/>
      </c>
      <c r="Q29" s="111" t="str">
        <f aca="false">IFERROR(INDEX('Historical Data'!$AA$2:$AA$9,MATCH($A29,'Historical Data'!$BE$2:$BE$9,0)),"")</f>
        <v/>
      </c>
      <c r="R29" s="111" t="str">
        <f aca="false">IFERROR(INDEX('Historical Data'!$AB$2:$AB$9,MATCH($A29,'Historical Data'!$BE$2:$BE$9,0)),"")</f>
        <v/>
      </c>
      <c r="S29" s="111" t="str">
        <f aca="false">IFERROR(INDEX('Historical Data'!$AN$2:$AN$9,MATCH($A29,'Historical Data'!$BE$2:$BE$9,0)),"")</f>
        <v/>
      </c>
      <c r="T29" s="111" t="str">
        <f aca="false">IFERROR(INDEX('Historical Data'!$AC$2:$AC$9,MATCH($A29,'Historical Data'!$BE$2:$BE$9,0)),"")</f>
        <v/>
      </c>
      <c r="U29" s="111" t="str">
        <f aca="false">IFERROR(INDEX('Historical Data'!$AE$2:$AE$9,MATCH($A29,'Historical Data'!$BE$2:$BE$9,0)),"")</f>
        <v/>
      </c>
      <c r="V29" s="111" t="str">
        <f aca="false">IFERROR(INDEX('Historical Data'!$AH$2:$AH$9,MATCH($A29,'Historical Data'!$BE$2:$BE$9,0)),"")</f>
        <v/>
      </c>
      <c r="W29" s="111" t="str">
        <f aca="false">IFERROR(INDEX('Historical Data'!$BC$2:$BC$9,MATCH($A29,'Historical Data'!$BE$2:$BE$9,0)),"")</f>
        <v/>
      </c>
      <c r="X29" s="110" t="str">
        <f aca="false">IF(B29="","",IF(W29=1,"NR + industry + position",IF(W29=2,"NR + ISO + position",IF(W29=3,"NR + industry",IF(W29=4,"NR + ISO",IF(W29=5,"NR + position",IF(W29=6,"NR only","book baseline"))))))&amp;"  ["&amp;IF(T29=1,"seasoned","unseasoned")&amp;IF(U29=1,", defaulted","")&amp;IF(V29=1,", open","")&amp;"]")</f>
        <v/>
      </c>
    </row>
    <row r="30" customFormat="false" ht="15" hidden="false" customHeight="false" outlineLevel="0" collapsed="false">
      <c r="A30" s="110" t="n">
        <v>26</v>
      </c>
      <c r="B30" s="111" t="str">
        <f aca="false">IFERROR(INDEX('Historical Data'!$A$2:$A$9,MATCH($A30,'Historical Data'!$BE$2:$BE$9,0)),"")</f>
        <v/>
      </c>
      <c r="C30" s="111" t="str">
        <f aca="false">IFERROR(INDEX('Historical Data'!$B$2:$B$9,MATCH($A30,'Historical Data'!$BE$2:$BE$9,0)),"")</f>
        <v/>
      </c>
      <c r="D30" s="111" t="str">
        <f aca="false">IFERROR(INDEX('Historical Data'!$D$2:$D$9,MATCH($A30,'Historical Data'!$BE$2:$BE$9,0)),"")</f>
        <v/>
      </c>
      <c r="E30" s="112" t="str">
        <f aca="false">IFERROR(INDEX('Historical Data'!$E$2:$E$9,MATCH($A30,'Historical Data'!$BE$2:$BE$9,0)),"")</f>
        <v/>
      </c>
      <c r="F30" s="111" t="str">
        <f aca="false">IFERROR(INDEX('Historical Data'!$G$2:$G$9,MATCH($A30,'Historical Data'!$BE$2:$BE$9,0)),"")</f>
        <v/>
      </c>
      <c r="G30" s="111" t="str">
        <f aca="false">IFERROR(INDEX('Historical Data'!$Y$2:$Y$9,MATCH($A30,'Historical Data'!$BE$2:$BE$9,0)),"")</f>
        <v/>
      </c>
      <c r="H30" s="111" t="str">
        <f aca="false">IFERROR(INDEX('Historical Data'!$K$2:$K$9,MATCH($A30,'Historical Data'!$BE$2:$BE$9,0)),"")</f>
        <v/>
      </c>
      <c r="I30" s="111" t="str">
        <f aca="false">IFERROR(INDEX('Historical Data'!$J$2:$J$9,MATCH($A30,'Historical Data'!$BE$2:$BE$9,0)),"")</f>
        <v/>
      </c>
      <c r="J30" s="111" t="str">
        <f aca="false">IFERROR(INDEX('Historical Data'!$L$2:$L$9,MATCH($A30,'Historical Data'!$BE$2:$BE$9,0)),"")</f>
        <v/>
      </c>
      <c r="K30" s="113" t="str">
        <f aca="false">IFERROR(INDEX('Historical Data'!$M$2:$M$9,MATCH($A30,'Historical Data'!$BE$2:$BE$9,0)),"")</f>
        <v/>
      </c>
      <c r="L30" s="114" t="str">
        <f aca="false">IFERROR(INDEX('Historical Data'!$N$2:$N$9,MATCH($A30,'Historical Data'!$BE$2:$BE$9,0)),"")</f>
        <v/>
      </c>
      <c r="M30" s="114" t="str">
        <f aca="false">IFERROR(INDEX('Historical Data'!$Q$2:$Q$9,MATCH($A30,'Historical Data'!$BE$2:$BE$9,0)),"")</f>
        <v/>
      </c>
      <c r="N30" s="115" t="str">
        <f aca="false">IFERROR(INDEX('Historical Data'!$S$2:$S$9,MATCH($A30,'Historical Data'!$BE$2:$BE$9,0)),"")</f>
        <v/>
      </c>
      <c r="O30" s="114" t="str">
        <f aca="false">IFERROR(INDEX('Historical Data'!$AJ$2:$AJ$9,MATCH($A30,'Historical Data'!$BE$2:$BE$9,0)),"")</f>
        <v/>
      </c>
      <c r="P30" s="114" t="str">
        <f aca="false">IFERROR(INDEX('Historical Data'!$AK$2:$AK$9,MATCH($A30,'Historical Data'!$BE$2:$BE$9,0)),"")</f>
        <v/>
      </c>
      <c r="Q30" s="111" t="str">
        <f aca="false">IFERROR(INDEX('Historical Data'!$AA$2:$AA$9,MATCH($A30,'Historical Data'!$BE$2:$BE$9,0)),"")</f>
        <v/>
      </c>
      <c r="R30" s="111" t="str">
        <f aca="false">IFERROR(INDEX('Historical Data'!$AB$2:$AB$9,MATCH($A30,'Historical Data'!$BE$2:$BE$9,0)),"")</f>
        <v/>
      </c>
      <c r="S30" s="111" t="str">
        <f aca="false">IFERROR(INDEX('Historical Data'!$AN$2:$AN$9,MATCH($A30,'Historical Data'!$BE$2:$BE$9,0)),"")</f>
        <v/>
      </c>
      <c r="T30" s="111" t="str">
        <f aca="false">IFERROR(INDEX('Historical Data'!$AC$2:$AC$9,MATCH($A30,'Historical Data'!$BE$2:$BE$9,0)),"")</f>
        <v/>
      </c>
      <c r="U30" s="111" t="str">
        <f aca="false">IFERROR(INDEX('Historical Data'!$AE$2:$AE$9,MATCH($A30,'Historical Data'!$BE$2:$BE$9,0)),"")</f>
        <v/>
      </c>
      <c r="V30" s="111" t="str">
        <f aca="false">IFERROR(INDEX('Historical Data'!$AH$2:$AH$9,MATCH($A30,'Historical Data'!$BE$2:$BE$9,0)),"")</f>
        <v/>
      </c>
      <c r="W30" s="111" t="str">
        <f aca="false">IFERROR(INDEX('Historical Data'!$BC$2:$BC$9,MATCH($A30,'Historical Data'!$BE$2:$BE$9,0)),"")</f>
        <v/>
      </c>
      <c r="X30" s="110" t="str">
        <f aca="false">IF(B30="","",IF(W30=1,"NR + industry + position",IF(W30=2,"NR + ISO + position",IF(W30=3,"NR + industry",IF(W30=4,"NR + ISO",IF(W30=5,"NR + position",IF(W30=6,"NR only","book baseline"))))))&amp;"  ["&amp;IF(T30=1,"seasoned","unseasoned")&amp;IF(U30=1,", defaulted","")&amp;IF(V30=1,", open","")&amp;"]")</f>
        <v/>
      </c>
    </row>
    <row r="31" customFormat="false" ht="15" hidden="false" customHeight="false" outlineLevel="0" collapsed="false">
      <c r="A31" s="110" t="n">
        <v>27</v>
      </c>
      <c r="B31" s="111" t="str">
        <f aca="false">IFERROR(INDEX('Historical Data'!$A$2:$A$9,MATCH($A31,'Historical Data'!$BE$2:$BE$9,0)),"")</f>
        <v/>
      </c>
      <c r="C31" s="111" t="str">
        <f aca="false">IFERROR(INDEX('Historical Data'!$B$2:$B$9,MATCH($A31,'Historical Data'!$BE$2:$BE$9,0)),"")</f>
        <v/>
      </c>
      <c r="D31" s="111" t="str">
        <f aca="false">IFERROR(INDEX('Historical Data'!$D$2:$D$9,MATCH($A31,'Historical Data'!$BE$2:$BE$9,0)),"")</f>
        <v/>
      </c>
      <c r="E31" s="112" t="str">
        <f aca="false">IFERROR(INDEX('Historical Data'!$E$2:$E$9,MATCH($A31,'Historical Data'!$BE$2:$BE$9,0)),"")</f>
        <v/>
      </c>
      <c r="F31" s="111" t="str">
        <f aca="false">IFERROR(INDEX('Historical Data'!$G$2:$G$9,MATCH($A31,'Historical Data'!$BE$2:$BE$9,0)),"")</f>
        <v/>
      </c>
      <c r="G31" s="111" t="str">
        <f aca="false">IFERROR(INDEX('Historical Data'!$Y$2:$Y$9,MATCH($A31,'Historical Data'!$BE$2:$BE$9,0)),"")</f>
        <v/>
      </c>
      <c r="H31" s="111" t="str">
        <f aca="false">IFERROR(INDEX('Historical Data'!$K$2:$K$9,MATCH($A31,'Historical Data'!$BE$2:$BE$9,0)),"")</f>
        <v/>
      </c>
      <c r="I31" s="111" t="str">
        <f aca="false">IFERROR(INDEX('Historical Data'!$J$2:$J$9,MATCH($A31,'Historical Data'!$BE$2:$BE$9,0)),"")</f>
        <v/>
      </c>
      <c r="J31" s="111" t="str">
        <f aca="false">IFERROR(INDEX('Historical Data'!$L$2:$L$9,MATCH($A31,'Historical Data'!$BE$2:$BE$9,0)),"")</f>
        <v/>
      </c>
      <c r="K31" s="113" t="str">
        <f aca="false">IFERROR(INDEX('Historical Data'!$M$2:$M$9,MATCH($A31,'Historical Data'!$BE$2:$BE$9,0)),"")</f>
        <v/>
      </c>
      <c r="L31" s="114" t="str">
        <f aca="false">IFERROR(INDEX('Historical Data'!$N$2:$N$9,MATCH($A31,'Historical Data'!$BE$2:$BE$9,0)),"")</f>
        <v/>
      </c>
      <c r="M31" s="114" t="str">
        <f aca="false">IFERROR(INDEX('Historical Data'!$Q$2:$Q$9,MATCH($A31,'Historical Data'!$BE$2:$BE$9,0)),"")</f>
        <v/>
      </c>
      <c r="N31" s="115" t="str">
        <f aca="false">IFERROR(INDEX('Historical Data'!$S$2:$S$9,MATCH($A31,'Historical Data'!$BE$2:$BE$9,0)),"")</f>
        <v/>
      </c>
      <c r="O31" s="114" t="str">
        <f aca="false">IFERROR(INDEX('Historical Data'!$AJ$2:$AJ$9,MATCH($A31,'Historical Data'!$BE$2:$BE$9,0)),"")</f>
        <v/>
      </c>
      <c r="P31" s="114" t="str">
        <f aca="false">IFERROR(INDEX('Historical Data'!$AK$2:$AK$9,MATCH($A31,'Historical Data'!$BE$2:$BE$9,0)),"")</f>
        <v/>
      </c>
      <c r="Q31" s="111" t="str">
        <f aca="false">IFERROR(INDEX('Historical Data'!$AA$2:$AA$9,MATCH($A31,'Historical Data'!$BE$2:$BE$9,0)),"")</f>
        <v/>
      </c>
      <c r="R31" s="111" t="str">
        <f aca="false">IFERROR(INDEX('Historical Data'!$AB$2:$AB$9,MATCH($A31,'Historical Data'!$BE$2:$BE$9,0)),"")</f>
        <v/>
      </c>
      <c r="S31" s="111" t="str">
        <f aca="false">IFERROR(INDEX('Historical Data'!$AN$2:$AN$9,MATCH($A31,'Historical Data'!$BE$2:$BE$9,0)),"")</f>
        <v/>
      </c>
      <c r="T31" s="111" t="str">
        <f aca="false">IFERROR(INDEX('Historical Data'!$AC$2:$AC$9,MATCH($A31,'Historical Data'!$BE$2:$BE$9,0)),"")</f>
        <v/>
      </c>
      <c r="U31" s="111" t="str">
        <f aca="false">IFERROR(INDEX('Historical Data'!$AE$2:$AE$9,MATCH($A31,'Historical Data'!$BE$2:$BE$9,0)),"")</f>
        <v/>
      </c>
      <c r="V31" s="111" t="str">
        <f aca="false">IFERROR(INDEX('Historical Data'!$AH$2:$AH$9,MATCH($A31,'Historical Data'!$BE$2:$BE$9,0)),"")</f>
        <v/>
      </c>
      <c r="W31" s="111" t="str">
        <f aca="false">IFERROR(INDEX('Historical Data'!$BC$2:$BC$9,MATCH($A31,'Historical Data'!$BE$2:$BE$9,0)),"")</f>
        <v/>
      </c>
      <c r="X31" s="110" t="str">
        <f aca="false">IF(B31="","",IF(W31=1,"NR + industry + position",IF(W31=2,"NR + ISO + position",IF(W31=3,"NR + industry",IF(W31=4,"NR + ISO",IF(W31=5,"NR + position",IF(W31=6,"NR only","book baseline"))))))&amp;"  ["&amp;IF(T31=1,"seasoned","unseasoned")&amp;IF(U31=1,", defaulted","")&amp;IF(V31=1,", open","")&amp;"]")</f>
        <v/>
      </c>
    </row>
    <row r="32" customFormat="false" ht="15" hidden="false" customHeight="false" outlineLevel="0" collapsed="false">
      <c r="A32" s="110" t="n">
        <v>28</v>
      </c>
      <c r="B32" s="111" t="str">
        <f aca="false">IFERROR(INDEX('Historical Data'!$A$2:$A$9,MATCH($A32,'Historical Data'!$BE$2:$BE$9,0)),"")</f>
        <v/>
      </c>
      <c r="C32" s="111" t="str">
        <f aca="false">IFERROR(INDEX('Historical Data'!$B$2:$B$9,MATCH($A32,'Historical Data'!$BE$2:$BE$9,0)),"")</f>
        <v/>
      </c>
      <c r="D32" s="111" t="str">
        <f aca="false">IFERROR(INDEX('Historical Data'!$D$2:$D$9,MATCH($A32,'Historical Data'!$BE$2:$BE$9,0)),"")</f>
        <v/>
      </c>
      <c r="E32" s="112" t="str">
        <f aca="false">IFERROR(INDEX('Historical Data'!$E$2:$E$9,MATCH($A32,'Historical Data'!$BE$2:$BE$9,0)),"")</f>
        <v/>
      </c>
      <c r="F32" s="111" t="str">
        <f aca="false">IFERROR(INDEX('Historical Data'!$G$2:$G$9,MATCH($A32,'Historical Data'!$BE$2:$BE$9,0)),"")</f>
        <v/>
      </c>
      <c r="G32" s="111" t="str">
        <f aca="false">IFERROR(INDEX('Historical Data'!$Y$2:$Y$9,MATCH($A32,'Historical Data'!$BE$2:$BE$9,0)),"")</f>
        <v/>
      </c>
      <c r="H32" s="111" t="str">
        <f aca="false">IFERROR(INDEX('Historical Data'!$K$2:$K$9,MATCH($A32,'Historical Data'!$BE$2:$BE$9,0)),"")</f>
        <v/>
      </c>
      <c r="I32" s="111" t="str">
        <f aca="false">IFERROR(INDEX('Historical Data'!$J$2:$J$9,MATCH($A32,'Historical Data'!$BE$2:$BE$9,0)),"")</f>
        <v/>
      </c>
      <c r="J32" s="111" t="str">
        <f aca="false">IFERROR(INDEX('Historical Data'!$L$2:$L$9,MATCH($A32,'Historical Data'!$BE$2:$BE$9,0)),"")</f>
        <v/>
      </c>
      <c r="K32" s="113" t="str">
        <f aca="false">IFERROR(INDEX('Historical Data'!$M$2:$M$9,MATCH($A32,'Historical Data'!$BE$2:$BE$9,0)),"")</f>
        <v/>
      </c>
      <c r="L32" s="114" t="str">
        <f aca="false">IFERROR(INDEX('Historical Data'!$N$2:$N$9,MATCH($A32,'Historical Data'!$BE$2:$BE$9,0)),"")</f>
        <v/>
      </c>
      <c r="M32" s="114" t="str">
        <f aca="false">IFERROR(INDEX('Historical Data'!$Q$2:$Q$9,MATCH($A32,'Historical Data'!$BE$2:$BE$9,0)),"")</f>
        <v/>
      </c>
      <c r="N32" s="115" t="str">
        <f aca="false">IFERROR(INDEX('Historical Data'!$S$2:$S$9,MATCH($A32,'Historical Data'!$BE$2:$BE$9,0)),"")</f>
        <v/>
      </c>
      <c r="O32" s="114" t="str">
        <f aca="false">IFERROR(INDEX('Historical Data'!$AJ$2:$AJ$9,MATCH($A32,'Historical Data'!$BE$2:$BE$9,0)),"")</f>
        <v/>
      </c>
      <c r="P32" s="114" t="str">
        <f aca="false">IFERROR(INDEX('Historical Data'!$AK$2:$AK$9,MATCH($A32,'Historical Data'!$BE$2:$BE$9,0)),"")</f>
        <v/>
      </c>
      <c r="Q32" s="111" t="str">
        <f aca="false">IFERROR(INDEX('Historical Data'!$AA$2:$AA$9,MATCH($A32,'Historical Data'!$BE$2:$BE$9,0)),"")</f>
        <v/>
      </c>
      <c r="R32" s="111" t="str">
        <f aca="false">IFERROR(INDEX('Historical Data'!$AB$2:$AB$9,MATCH($A32,'Historical Data'!$BE$2:$BE$9,0)),"")</f>
        <v/>
      </c>
      <c r="S32" s="111" t="str">
        <f aca="false">IFERROR(INDEX('Historical Data'!$AN$2:$AN$9,MATCH($A32,'Historical Data'!$BE$2:$BE$9,0)),"")</f>
        <v/>
      </c>
      <c r="T32" s="111" t="str">
        <f aca="false">IFERROR(INDEX('Historical Data'!$AC$2:$AC$9,MATCH($A32,'Historical Data'!$BE$2:$BE$9,0)),"")</f>
        <v/>
      </c>
      <c r="U32" s="111" t="str">
        <f aca="false">IFERROR(INDEX('Historical Data'!$AE$2:$AE$9,MATCH($A32,'Historical Data'!$BE$2:$BE$9,0)),"")</f>
        <v/>
      </c>
      <c r="V32" s="111" t="str">
        <f aca="false">IFERROR(INDEX('Historical Data'!$AH$2:$AH$9,MATCH($A32,'Historical Data'!$BE$2:$BE$9,0)),"")</f>
        <v/>
      </c>
      <c r="W32" s="111" t="str">
        <f aca="false">IFERROR(INDEX('Historical Data'!$BC$2:$BC$9,MATCH($A32,'Historical Data'!$BE$2:$BE$9,0)),"")</f>
        <v/>
      </c>
      <c r="X32" s="110" t="str">
        <f aca="false">IF(B32="","",IF(W32=1,"NR + industry + position",IF(W32=2,"NR + ISO + position",IF(W32=3,"NR + industry",IF(W32=4,"NR + ISO",IF(W32=5,"NR + position",IF(W32=6,"NR only","book baseline"))))))&amp;"  ["&amp;IF(T32=1,"seasoned","unseasoned")&amp;IF(U32=1,", defaulted","")&amp;IF(V32=1,", open","")&amp;"]")</f>
        <v/>
      </c>
    </row>
    <row r="33" customFormat="false" ht="15" hidden="false" customHeight="false" outlineLevel="0" collapsed="false">
      <c r="A33" s="110" t="n">
        <v>29</v>
      </c>
      <c r="B33" s="111" t="str">
        <f aca="false">IFERROR(INDEX('Historical Data'!$A$2:$A$9,MATCH($A33,'Historical Data'!$BE$2:$BE$9,0)),"")</f>
        <v/>
      </c>
      <c r="C33" s="111" t="str">
        <f aca="false">IFERROR(INDEX('Historical Data'!$B$2:$B$9,MATCH($A33,'Historical Data'!$BE$2:$BE$9,0)),"")</f>
        <v/>
      </c>
      <c r="D33" s="111" t="str">
        <f aca="false">IFERROR(INDEX('Historical Data'!$D$2:$D$9,MATCH($A33,'Historical Data'!$BE$2:$BE$9,0)),"")</f>
        <v/>
      </c>
      <c r="E33" s="112" t="str">
        <f aca="false">IFERROR(INDEX('Historical Data'!$E$2:$E$9,MATCH($A33,'Historical Data'!$BE$2:$BE$9,0)),"")</f>
        <v/>
      </c>
      <c r="F33" s="111" t="str">
        <f aca="false">IFERROR(INDEX('Historical Data'!$G$2:$G$9,MATCH($A33,'Historical Data'!$BE$2:$BE$9,0)),"")</f>
        <v/>
      </c>
      <c r="G33" s="111" t="str">
        <f aca="false">IFERROR(INDEX('Historical Data'!$Y$2:$Y$9,MATCH($A33,'Historical Data'!$BE$2:$BE$9,0)),"")</f>
        <v/>
      </c>
      <c r="H33" s="111" t="str">
        <f aca="false">IFERROR(INDEX('Historical Data'!$K$2:$K$9,MATCH($A33,'Historical Data'!$BE$2:$BE$9,0)),"")</f>
        <v/>
      </c>
      <c r="I33" s="111" t="str">
        <f aca="false">IFERROR(INDEX('Historical Data'!$J$2:$J$9,MATCH($A33,'Historical Data'!$BE$2:$BE$9,0)),"")</f>
        <v/>
      </c>
      <c r="J33" s="111" t="str">
        <f aca="false">IFERROR(INDEX('Historical Data'!$L$2:$L$9,MATCH($A33,'Historical Data'!$BE$2:$BE$9,0)),"")</f>
        <v/>
      </c>
      <c r="K33" s="113" t="str">
        <f aca="false">IFERROR(INDEX('Historical Data'!$M$2:$M$9,MATCH($A33,'Historical Data'!$BE$2:$BE$9,0)),"")</f>
        <v/>
      </c>
      <c r="L33" s="114" t="str">
        <f aca="false">IFERROR(INDEX('Historical Data'!$N$2:$N$9,MATCH($A33,'Historical Data'!$BE$2:$BE$9,0)),"")</f>
        <v/>
      </c>
      <c r="M33" s="114" t="str">
        <f aca="false">IFERROR(INDEX('Historical Data'!$Q$2:$Q$9,MATCH($A33,'Historical Data'!$BE$2:$BE$9,0)),"")</f>
        <v/>
      </c>
      <c r="N33" s="115" t="str">
        <f aca="false">IFERROR(INDEX('Historical Data'!$S$2:$S$9,MATCH($A33,'Historical Data'!$BE$2:$BE$9,0)),"")</f>
        <v/>
      </c>
      <c r="O33" s="114" t="str">
        <f aca="false">IFERROR(INDEX('Historical Data'!$AJ$2:$AJ$9,MATCH($A33,'Historical Data'!$BE$2:$BE$9,0)),"")</f>
        <v/>
      </c>
      <c r="P33" s="114" t="str">
        <f aca="false">IFERROR(INDEX('Historical Data'!$AK$2:$AK$9,MATCH($A33,'Historical Data'!$BE$2:$BE$9,0)),"")</f>
        <v/>
      </c>
      <c r="Q33" s="111" t="str">
        <f aca="false">IFERROR(INDEX('Historical Data'!$AA$2:$AA$9,MATCH($A33,'Historical Data'!$BE$2:$BE$9,0)),"")</f>
        <v/>
      </c>
      <c r="R33" s="111" t="str">
        <f aca="false">IFERROR(INDEX('Historical Data'!$AB$2:$AB$9,MATCH($A33,'Historical Data'!$BE$2:$BE$9,0)),"")</f>
        <v/>
      </c>
      <c r="S33" s="111" t="str">
        <f aca="false">IFERROR(INDEX('Historical Data'!$AN$2:$AN$9,MATCH($A33,'Historical Data'!$BE$2:$BE$9,0)),"")</f>
        <v/>
      </c>
      <c r="T33" s="111" t="str">
        <f aca="false">IFERROR(INDEX('Historical Data'!$AC$2:$AC$9,MATCH($A33,'Historical Data'!$BE$2:$BE$9,0)),"")</f>
        <v/>
      </c>
      <c r="U33" s="111" t="str">
        <f aca="false">IFERROR(INDEX('Historical Data'!$AE$2:$AE$9,MATCH($A33,'Historical Data'!$BE$2:$BE$9,0)),"")</f>
        <v/>
      </c>
      <c r="V33" s="111" t="str">
        <f aca="false">IFERROR(INDEX('Historical Data'!$AH$2:$AH$9,MATCH($A33,'Historical Data'!$BE$2:$BE$9,0)),"")</f>
        <v/>
      </c>
      <c r="W33" s="111" t="str">
        <f aca="false">IFERROR(INDEX('Historical Data'!$BC$2:$BC$9,MATCH($A33,'Historical Data'!$BE$2:$BE$9,0)),"")</f>
        <v/>
      </c>
      <c r="X33" s="110" t="str">
        <f aca="false">IF(B33="","",IF(W33=1,"NR + industry + position",IF(W33=2,"NR + ISO + position",IF(W33=3,"NR + industry",IF(W33=4,"NR + ISO",IF(W33=5,"NR + position",IF(W33=6,"NR only","book baseline"))))))&amp;"  ["&amp;IF(T33=1,"seasoned","unseasoned")&amp;IF(U33=1,", defaulted","")&amp;IF(V33=1,", open","")&amp;"]")</f>
        <v/>
      </c>
    </row>
    <row r="34" customFormat="false" ht="15" hidden="false" customHeight="false" outlineLevel="0" collapsed="false">
      <c r="A34" s="110" t="n">
        <v>30</v>
      </c>
      <c r="B34" s="111" t="str">
        <f aca="false">IFERROR(INDEX('Historical Data'!$A$2:$A$9,MATCH($A34,'Historical Data'!$BE$2:$BE$9,0)),"")</f>
        <v/>
      </c>
      <c r="C34" s="111" t="str">
        <f aca="false">IFERROR(INDEX('Historical Data'!$B$2:$B$9,MATCH($A34,'Historical Data'!$BE$2:$BE$9,0)),"")</f>
        <v/>
      </c>
      <c r="D34" s="111" t="str">
        <f aca="false">IFERROR(INDEX('Historical Data'!$D$2:$D$9,MATCH($A34,'Historical Data'!$BE$2:$BE$9,0)),"")</f>
        <v/>
      </c>
      <c r="E34" s="112" t="str">
        <f aca="false">IFERROR(INDEX('Historical Data'!$E$2:$E$9,MATCH($A34,'Historical Data'!$BE$2:$BE$9,0)),"")</f>
        <v/>
      </c>
      <c r="F34" s="111" t="str">
        <f aca="false">IFERROR(INDEX('Historical Data'!$G$2:$G$9,MATCH($A34,'Historical Data'!$BE$2:$BE$9,0)),"")</f>
        <v/>
      </c>
      <c r="G34" s="111" t="str">
        <f aca="false">IFERROR(INDEX('Historical Data'!$Y$2:$Y$9,MATCH($A34,'Historical Data'!$BE$2:$BE$9,0)),"")</f>
        <v/>
      </c>
      <c r="H34" s="111" t="str">
        <f aca="false">IFERROR(INDEX('Historical Data'!$K$2:$K$9,MATCH($A34,'Historical Data'!$BE$2:$BE$9,0)),"")</f>
        <v/>
      </c>
      <c r="I34" s="111" t="str">
        <f aca="false">IFERROR(INDEX('Historical Data'!$J$2:$J$9,MATCH($A34,'Historical Data'!$BE$2:$BE$9,0)),"")</f>
        <v/>
      </c>
      <c r="J34" s="111" t="str">
        <f aca="false">IFERROR(INDEX('Historical Data'!$L$2:$L$9,MATCH($A34,'Historical Data'!$BE$2:$BE$9,0)),"")</f>
        <v/>
      </c>
      <c r="K34" s="113" t="str">
        <f aca="false">IFERROR(INDEX('Historical Data'!$M$2:$M$9,MATCH($A34,'Historical Data'!$BE$2:$BE$9,0)),"")</f>
        <v/>
      </c>
      <c r="L34" s="114" t="str">
        <f aca="false">IFERROR(INDEX('Historical Data'!$N$2:$N$9,MATCH($A34,'Historical Data'!$BE$2:$BE$9,0)),"")</f>
        <v/>
      </c>
      <c r="M34" s="114" t="str">
        <f aca="false">IFERROR(INDEX('Historical Data'!$Q$2:$Q$9,MATCH($A34,'Historical Data'!$BE$2:$BE$9,0)),"")</f>
        <v/>
      </c>
      <c r="N34" s="115" t="str">
        <f aca="false">IFERROR(INDEX('Historical Data'!$S$2:$S$9,MATCH($A34,'Historical Data'!$BE$2:$BE$9,0)),"")</f>
        <v/>
      </c>
      <c r="O34" s="114" t="str">
        <f aca="false">IFERROR(INDEX('Historical Data'!$AJ$2:$AJ$9,MATCH($A34,'Historical Data'!$BE$2:$BE$9,0)),"")</f>
        <v/>
      </c>
      <c r="P34" s="114" t="str">
        <f aca="false">IFERROR(INDEX('Historical Data'!$AK$2:$AK$9,MATCH($A34,'Historical Data'!$BE$2:$BE$9,0)),"")</f>
        <v/>
      </c>
      <c r="Q34" s="111" t="str">
        <f aca="false">IFERROR(INDEX('Historical Data'!$AA$2:$AA$9,MATCH($A34,'Historical Data'!$BE$2:$BE$9,0)),"")</f>
        <v/>
      </c>
      <c r="R34" s="111" t="str">
        <f aca="false">IFERROR(INDEX('Historical Data'!$AB$2:$AB$9,MATCH($A34,'Historical Data'!$BE$2:$BE$9,0)),"")</f>
        <v/>
      </c>
      <c r="S34" s="111" t="str">
        <f aca="false">IFERROR(INDEX('Historical Data'!$AN$2:$AN$9,MATCH($A34,'Historical Data'!$BE$2:$BE$9,0)),"")</f>
        <v/>
      </c>
      <c r="T34" s="111" t="str">
        <f aca="false">IFERROR(INDEX('Historical Data'!$AC$2:$AC$9,MATCH($A34,'Historical Data'!$BE$2:$BE$9,0)),"")</f>
        <v/>
      </c>
      <c r="U34" s="111" t="str">
        <f aca="false">IFERROR(INDEX('Historical Data'!$AE$2:$AE$9,MATCH($A34,'Historical Data'!$BE$2:$BE$9,0)),"")</f>
        <v/>
      </c>
      <c r="V34" s="111" t="str">
        <f aca="false">IFERROR(INDEX('Historical Data'!$AH$2:$AH$9,MATCH($A34,'Historical Data'!$BE$2:$BE$9,0)),"")</f>
        <v/>
      </c>
      <c r="W34" s="111" t="str">
        <f aca="false">IFERROR(INDEX('Historical Data'!$BC$2:$BC$9,MATCH($A34,'Historical Data'!$BE$2:$BE$9,0)),"")</f>
        <v/>
      </c>
      <c r="X34" s="110" t="str">
        <f aca="false">IF(B34="","",IF(W34=1,"NR + industry + position",IF(W34=2,"NR + ISO + position",IF(W34=3,"NR + industry",IF(W34=4,"NR + ISO",IF(W34=5,"NR + position",IF(W34=6,"NR only","book baseline"))))))&amp;"  ["&amp;IF(T34=1,"seasoned","unseasoned")&amp;IF(U34=1,", defaulted","")&amp;IF(V34=1,", open","")&amp;"]")</f>
        <v/>
      </c>
    </row>
    <row r="35" customFormat="false" ht="15" hidden="false" customHeight="false" outlineLevel="0" collapsed="false">
      <c r="A35" s="110" t="n">
        <v>31</v>
      </c>
      <c r="B35" s="111" t="str">
        <f aca="false">IFERROR(INDEX('Historical Data'!$A$2:$A$9,MATCH($A35,'Historical Data'!$BE$2:$BE$9,0)),"")</f>
        <v/>
      </c>
      <c r="C35" s="111" t="str">
        <f aca="false">IFERROR(INDEX('Historical Data'!$B$2:$B$9,MATCH($A35,'Historical Data'!$BE$2:$BE$9,0)),"")</f>
        <v/>
      </c>
      <c r="D35" s="111" t="str">
        <f aca="false">IFERROR(INDEX('Historical Data'!$D$2:$D$9,MATCH($A35,'Historical Data'!$BE$2:$BE$9,0)),"")</f>
        <v/>
      </c>
      <c r="E35" s="112" t="str">
        <f aca="false">IFERROR(INDEX('Historical Data'!$E$2:$E$9,MATCH($A35,'Historical Data'!$BE$2:$BE$9,0)),"")</f>
        <v/>
      </c>
      <c r="F35" s="111" t="str">
        <f aca="false">IFERROR(INDEX('Historical Data'!$G$2:$G$9,MATCH($A35,'Historical Data'!$BE$2:$BE$9,0)),"")</f>
        <v/>
      </c>
      <c r="G35" s="111" t="str">
        <f aca="false">IFERROR(INDEX('Historical Data'!$Y$2:$Y$9,MATCH($A35,'Historical Data'!$BE$2:$BE$9,0)),"")</f>
        <v/>
      </c>
      <c r="H35" s="111" t="str">
        <f aca="false">IFERROR(INDEX('Historical Data'!$K$2:$K$9,MATCH($A35,'Historical Data'!$BE$2:$BE$9,0)),"")</f>
        <v/>
      </c>
      <c r="I35" s="111" t="str">
        <f aca="false">IFERROR(INDEX('Historical Data'!$J$2:$J$9,MATCH($A35,'Historical Data'!$BE$2:$BE$9,0)),"")</f>
        <v/>
      </c>
      <c r="J35" s="111" t="str">
        <f aca="false">IFERROR(INDEX('Historical Data'!$L$2:$L$9,MATCH($A35,'Historical Data'!$BE$2:$BE$9,0)),"")</f>
        <v/>
      </c>
      <c r="K35" s="113" t="str">
        <f aca="false">IFERROR(INDEX('Historical Data'!$M$2:$M$9,MATCH($A35,'Historical Data'!$BE$2:$BE$9,0)),"")</f>
        <v/>
      </c>
      <c r="L35" s="114" t="str">
        <f aca="false">IFERROR(INDEX('Historical Data'!$N$2:$N$9,MATCH($A35,'Historical Data'!$BE$2:$BE$9,0)),"")</f>
        <v/>
      </c>
      <c r="M35" s="114" t="str">
        <f aca="false">IFERROR(INDEX('Historical Data'!$Q$2:$Q$9,MATCH($A35,'Historical Data'!$BE$2:$BE$9,0)),"")</f>
        <v/>
      </c>
      <c r="N35" s="115" t="str">
        <f aca="false">IFERROR(INDEX('Historical Data'!$S$2:$S$9,MATCH($A35,'Historical Data'!$BE$2:$BE$9,0)),"")</f>
        <v/>
      </c>
      <c r="O35" s="114" t="str">
        <f aca="false">IFERROR(INDEX('Historical Data'!$AJ$2:$AJ$9,MATCH($A35,'Historical Data'!$BE$2:$BE$9,0)),"")</f>
        <v/>
      </c>
      <c r="P35" s="114" t="str">
        <f aca="false">IFERROR(INDEX('Historical Data'!$AK$2:$AK$9,MATCH($A35,'Historical Data'!$BE$2:$BE$9,0)),"")</f>
        <v/>
      </c>
      <c r="Q35" s="111" t="str">
        <f aca="false">IFERROR(INDEX('Historical Data'!$AA$2:$AA$9,MATCH($A35,'Historical Data'!$BE$2:$BE$9,0)),"")</f>
        <v/>
      </c>
      <c r="R35" s="111" t="str">
        <f aca="false">IFERROR(INDEX('Historical Data'!$AB$2:$AB$9,MATCH($A35,'Historical Data'!$BE$2:$BE$9,0)),"")</f>
        <v/>
      </c>
      <c r="S35" s="111" t="str">
        <f aca="false">IFERROR(INDEX('Historical Data'!$AN$2:$AN$9,MATCH($A35,'Historical Data'!$BE$2:$BE$9,0)),"")</f>
        <v/>
      </c>
      <c r="T35" s="111" t="str">
        <f aca="false">IFERROR(INDEX('Historical Data'!$AC$2:$AC$9,MATCH($A35,'Historical Data'!$BE$2:$BE$9,0)),"")</f>
        <v/>
      </c>
      <c r="U35" s="111" t="str">
        <f aca="false">IFERROR(INDEX('Historical Data'!$AE$2:$AE$9,MATCH($A35,'Historical Data'!$BE$2:$BE$9,0)),"")</f>
        <v/>
      </c>
      <c r="V35" s="111" t="str">
        <f aca="false">IFERROR(INDEX('Historical Data'!$AH$2:$AH$9,MATCH($A35,'Historical Data'!$BE$2:$BE$9,0)),"")</f>
        <v/>
      </c>
      <c r="W35" s="111" t="str">
        <f aca="false">IFERROR(INDEX('Historical Data'!$BC$2:$BC$9,MATCH($A35,'Historical Data'!$BE$2:$BE$9,0)),"")</f>
        <v/>
      </c>
      <c r="X35" s="110" t="str">
        <f aca="false">IF(B35="","",IF(W35=1,"NR + industry + position",IF(W35=2,"NR + ISO + position",IF(W35=3,"NR + industry",IF(W35=4,"NR + ISO",IF(W35=5,"NR + position",IF(W35=6,"NR only","book baseline"))))))&amp;"  ["&amp;IF(T35=1,"seasoned","unseasoned")&amp;IF(U35=1,", defaulted","")&amp;IF(V35=1,", open","")&amp;"]")</f>
        <v/>
      </c>
    </row>
    <row r="36" customFormat="false" ht="15" hidden="false" customHeight="false" outlineLevel="0" collapsed="false">
      <c r="A36" s="110" t="n">
        <v>32</v>
      </c>
      <c r="B36" s="111" t="str">
        <f aca="false">IFERROR(INDEX('Historical Data'!$A$2:$A$9,MATCH($A36,'Historical Data'!$BE$2:$BE$9,0)),"")</f>
        <v/>
      </c>
      <c r="C36" s="111" t="str">
        <f aca="false">IFERROR(INDEX('Historical Data'!$B$2:$B$9,MATCH($A36,'Historical Data'!$BE$2:$BE$9,0)),"")</f>
        <v/>
      </c>
      <c r="D36" s="111" t="str">
        <f aca="false">IFERROR(INDEX('Historical Data'!$D$2:$D$9,MATCH($A36,'Historical Data'!$BE$2:$BE$9,0)),"")</f>
        <v/>
      </c>
      <c r="E36" s="112" t="str">
        <f aca="false">IFERROR(INDEX('Historical Data'!$E$2:$E$9,MATCH($A36,'Historical Data'!$BE$2:$BE$9,0)),"")</f>
        <v/>
      </c>
      <c r="F36" s="111" t="str">
        <f aca="false">IFERROR(INDEX('Historical Data'!$G$2:$G$9,MATCH($A36,'Historical Data'!$BE$2:$BE$9,0)),"")</f>
        <v/>
      </c>
      <c r="G36" s="111" t="str">
        <f aca="false">IFERROR(INDEX('Historical Data'!$Y$2:$Y$9,MATCH($A36,'Historical Data'!$BE$2:$BE$9,0)),"")</f>
        <v/>
      </c>
      <c r="H36" s="111" t="str">
        <f aca="false">IFERROR(INDEX('Historical Data'!$K$2:$K$9,MATCH($A36,'Historical Data'!$BE$2:$BE$9,0)),"")</f>
        <v/>
      </c>
      <c r="I36" s="111" t="str">
        <f aca="false">IFERROR(INDEX('Historical Data'!$J$2:$J$9,MATCH($A36,'Historical Data'!$BE$2:$BE$9,0)),"")</f>
        <v/>
      </c>
      <c r="J36" s="111" t="str">
        <f aca="false">IFERROR(INDEX('Historical Data'!$L$2:$L$9,MATCH($A36,'Historical Data'!$BE$2:$BE$9,0)),"")</f>
        <v/>
      </c>
      <c r="K36" s="113" t="str">
        <f aca="false">IFERROR(INDEX('Historical Data'!$M$2:$M$9,MATCH($A36,'Historical Data'!$BE$2:$BE$9,0)),"")</f>
        <v/>
      </c>
      <c r="L36" s="114" t="str">
        <f aca="false">IFERROR(INDEX('Historical Data'!$N$2:$N$9,MATCH($A36,'Historical Data'!$BE$2:$BE$9,0)),"")</f>
        <v/>
      </c>
      <c r="M36" s="114" t="str">
        <f aca="false">IFERROR(INDEX('Historical Data'!$Q$2:$Q$9,MATCH($A36,'Historical Data'!$BE$2:$BE$9,0)),"")</f>
        <v/>
      </c>
      <c r="N36" s="115" t="str">
        <f aca="false">IFERROR(INDEX('Historical Data'!$S$2:$S$9,MATCH($A36,'Historical Data'!$BE$2:$BE$9,0)),"")</f>
        <v/>
      </c>
      <c r="O36" s="114" t="str">
        <f aca="false">IFERROR(INDEX('Historical Data'!$AJ$2:$AJ$9,MATCH($A36,'Historical Data'!$BE$2:$BE$9,0)),"")</f>
        <v/>
      </c>
      <c r="P36" s="114" t="str">
        <f aca="false">IFERROR(INDEX('Historical Data'!$AK$2:$AK$9,MATCH($A36,'Historical Data'!$BE$2:$BE$9,0)),"")</f>
        <v/>
      </c>
      <c r="Q36" s="111" t="str">
        <f aca="false">IFERROR(INDEX('Historical Data'!$AA$2:$AA$9,MATCH($A36,'Historical Data'!$BE$2:$BE$9,0)),"")</f>
        <v/>
      </c>
      <c r="R36" s="111" t="str">
        <f aca="false">IFERROR(INDEX('Historical Data'!$AB$2:$AB$9,MATCH($A36,'Historical Data'!$BE$2:$BE$9,0)),"")</f>
        <v/>
      </c>
      <c r="S36" s="111" t="str">
        <f aca="false">IFERROR(INDEX('Historical Data'!$AN$2:$AN$9,MATCH($A36,'Historical Data'!$BE$2:$BE$9,0)),"")</f>
        <v/>
      </c>
      <c r="T36" s="111" t="str">
        <f aca="false">IFERROR(INDEX('Historical Data'!$AC$2:$AC$9,MATCH($A36,'Historical Data'!$BE$2:$BE$9,0)),"")</f>
        <v/>
      </c>
      <c r="U36" s="111" t="str">
        <f aca="false">IFERROR(INDEX('Historical Data'!$AE$2:$AE$9,MATCH($A36,'Historical Data'!$BE$2:$BE$9,0)),"")</f>
        <v/>
      </c>
      <c r="V36" s="111" t="str">
        <f aca="false">IFERROR(INDEX('Historical Data'!$AH$2:$AH$9,MATCH($A36,'Historical Data'!$BE$2:$BE$9,0)),"")</f>
        <v/>
      </c>
      <c r="W36" s="111" t="str">
        <f aca="false">IFERROR(INDEX('Historical Data'!$BC$2:$BC$9,MATCH($A36,'Historical Data'!$BE$2:$BE$9,0)),"")</f>
        <v/>
      </c>
      <c r="X36" s="110" t="str">
        <f aca="false">IF(B36="","",IF(W36=1,"NR + industry + position",IF(W36=2,"NR + ISO + position",IF(W36=3,"NR + industry",IF(W36=4,"NR + ISO",IF(W36=5,"NR + position",IF(W36=6,"NR only","book baseline"))))))&amp;"  ["&amp;IF(T36=1,"seasoned","unseasoned")&amp;IF(U36=1,", defaulted","")&amp;IF(V36=1,", open","")&amp;"]")</f>
        <v/>
      </c>
    </row>
    <row r="37" customFormat="false" ht="15" hidden="false" customHeight="false" outlineLevel="0" collapsed="false">
      <c r="A37" s="110" t="n">
        <v>33</v>
      </c>
      <c r="B37" s="111" t="str">
        <f aca="false">IFERROR(INDEX('Historical Data'!$A$2:$A$9,MATCH($A37,'Historical Data'!$BE$2:$BE$9,0)),"")</f>
        <v/>
      </c>
      <c r="C37" s="111" t="str">
        <f aca="false">IFERROR(INDEX('Historical Data'!$B$2:$B$9,MATCH($A37,'Historical Data'!$BE$2:$BE$9,0)),"")</f>
        <v/>
      </c>
      <c r="D37" s="111" t="str">
        <f aca="false">IFERROR(INDEX('Historical Data'!$D$2:$D$9,MATCH($A37,'Historical Data'!$BE$2:$BE$9,0)),"")</f>
        <v/>
      </c>
      <c r="E37" s="112" t="str">
        <f aca="false">IFERROR(INDEX('Historical Data'!$E$2:$E$9,MATCH($A37,'Historical Data'!$BE$2:$BE$9,0)),"")</f>
        <v/>
      </c>
      <c r="F37" s="111" t="str">
        <f aca="false">IFERROR(INDEX('Historical Data'!$G$2:$G$9,MATCH($A37,'Historical Data'!$BE$2:$BE$9,0)),"")</f>
        <v/>
      </c>
      <c r="G37" s="111" t="str">
        <f aca="false">IFERROR(INDEX('Historical Data'!$Y$2:$Y$9,MATCH($A37,'Historical Data'!$BE$2:$BE$9,0)),"")</f>
        <v/>
      </c>
      <c r="H37" s="111" t="str">
        <f aca="false">IFERROR(INDEX('Historical Data'!$K$2:$K$9,MATCH($A37,'Historical Data'!$BE$2:$BE$9,0)),"")</f>
        <v/>
      </c>
      <c r="I37" s="111" t="str">
        <f aca="false">IFERROR(INDEX('Historical Data'!$J$2:$J$9,MATCH($A37,'Historical Data'!$BE$2:$BE$9,0)),"")</f>
        <v/>
      </c>
      <c r="J37" s="111" t="str">
        <f aca="false">IFERROR(INDEX('Historical Data'!$L$2:$L$9,MATCH($A37,'Historical Data'!$BE$2:$BE$9,0)),"")</f>
        <v/>
      </c>
      <c r="K37" s="113" t="str">
        <f aca="false">IFERROR(INDEX('Historical Data'!$M$2:$M$9,MATCH($A37,'Historical Data'!$BE$2:$BE$9,0)),"")</f>
        <v/>
      </c>
      <c r="L37" s="114" t="str">
        <f aca="false">IFERROR(INDEX('Historical Data'!$N$2:$N$9,MATCH($A37,'Historical Data'!$BE$2:$BE$9,0)),"")</f>
        <v/>
      </c>
      <c r="M37" s="114" t="str">
        <f aca="false">IFERROR(INDEX('Historical Data'!$Q$2:$Q$9,MATCH($A37,'Historical Data'!$BE$2:$BE$9,0)),"")</f>
        <v/>
      </c>
      <c r="N37" s="115" t="str">
        <f aca="false">IFERROR(INDEX('Historical Data'!$S$2:$S$9,MATCH($A37,'Historical Data'!$BE$2:$BE$9,0)),"")</f>
        <v/>
      </c>
      <c r="O37" s="114" t="str">
        <f aca="false">IFERROR(INDEX('Historical Data'!$AJ$2:$AJ$9,MATCH($A37,'Historical Data'!$BE$2:$BE$9,0)),"")</f>
        <v/>
      </c>
      <c r="P37" s="114" t="str">
        <f aca="false">IFERROR(INDEX('Historical Data'!$AK$2:$AK$9,MATCH($A37,'Historical Data'!$BE$2:$BE$9,0)),"")</f>
        <v/>
      </c>
      <c r="Q37" s="111" t="str">
        <f aca="false">IFERROR(INDEX('Historical Data'!$AA$2:$AA$9,MATCH($A37,'Historical Data'!$BE$2:$BE$9,0)),"")</f>
        <v/>
      </c>
      <c r="R37" s="111" t="str">
        <f aca="false">IFERROR(INDEX('Historical Data'!$AB$2:$AB$9,MATCH($A37,'Historical Data'!$BE$2:$BE$9,0)),"")</f>
        <v/>
      </c>
      <c r="S37" s="111" t="str">
        <f aca="false">IFERROR(INDEX('Historical Data'!$AN$2:$AN$9,MATCH($A37,'Historical Data'!$BE$2:$BE$9,0)),"")</f>
        <v/>
      </c>
      <c r="T37" s="111" t="str">
        <f aca="false">IFERROR(INDEX('Historical Data'!$AC$2:$AC$9,MATCH($A37,'Historical Data'!$BE$2:$BE$9,0)),"")</f>
        <v/>
      </c>
      <c r="U37" s="111" t="str">
        <f aca="false">IFERROR(INDEX('Historical Data'!$AE$2:$AE$9,MATCH($A37,'Historical Data'!$BE$2:$BE$9,0)),"")</f>
        <v/>
      </c>
      <c r="V37" s="111" t="str">
        <f aca="false">IFERROR(INDEX('Historical Data'!$AH$2:$AH$9,MATCH($A37,'Historical Data'!$BE$2:$BE$9,0)),"")</f>
        <v/>
      </c>
      <c r="W37" s="111" t="str">
        <f aca="false">IFERROR(INDEX('Historical Data'!$BC$2:$BC$9,MATCH($A37,'Historical Data'!$BE$2:$BE$9,0)),"")</f>
        <v/>
      </c>
      <c r="X37" s="110" t="str">
        <f aca="false">IF(B37="","",IF(W37=1,"NR + industry + position",IF(W37=2,"NR + ISO + position",IF(W37=3,"NR + industry",IF(W37=4,"NR + ISO",IF(W37=5,"NR + position",IF(W37=6,"NR only","book baseline"))))))&amp;"  ["&amp;IF(T37=1,"seasoned","unseasoned")&amp;IF(U37=1,", defaulted","")&amp;IF(V37=1,", open","")&amp;"]")</f>
        <v/>
      </c>
    </row>
    <row r="38" customFormat="false" ht="15" hidden="false" customHeight="false" outlineLevel="0" collapsed="false">
      <c r="A38" s="110" t="n">
        <v>34</v>
      </c>
      <c r="B38" s="111" t="str">
        <f aca="false">IFERROR(INDEX('Historical Data'!$A$2:$A$9,MATCH($A38,'Historical Data'!$BE$2:$BE$9,0)),"")</f>
        <v/>
      </c>
      <c r="C38" s="111" t="str">
        <f aca="false">IFERROR(INDEX('Historical Data'!$B$2:$B$9,MATCH($A38,'Historical Data'!$BE$2:$BE$9,0)),"")</f>
        <v/>
      </c>
      <c r="D38" s="111" t="str">
        <f aca="false">IFERROR(INDEX('Historical Data'!$D$2:$D$9,MATCH($A38,'Historical Data'!$BE$2:$BE$9,0)),"")</f>
        <v/>
      </c>
      <c r="E38" s="112" t="str">
        <f aca="false">IFERROR(INDEX('Historical Data'!$E$2:$E$9,MATCH($A38,'Historical Data'!$BE$2:$BE$9,0)),"")</f>
        <v/>
      </c>
      <c r="F38" s="111" t="str">
        <f aca="false">IFERROR(INDEX('Historical Data'!$G$2:$G$9,MATCH($A38,'Historical Data'!$BE$2:$BE$9,0)),"")</f>
        <v/>
      </c>
      <c r="G38" s="111" t="str">
        <f aca="false">IFERROR(INDEX('Historical Data'!$Y$2:$Y$9,MATCH($A38,'Historical Data'!$BE$2:$BE$9,0)),"")</f>
        <v/>
      </c>
      <c r="H38" s="111" t="str">
        <f aca="false">IFERROR(INDEX('Historical Data'!$K$2:$K$9,MATCH($A38,'Historical Data'!$BE$2:$BE$9,0)),"")</f>
        <v/>
      </c>
      <c r="I38" s="111" t="str">
        <f aca="false">IFERROR(INDEX('Historical Data'!$J$2:$J$9,MATCH($A38,'Historical Data'!$BE$2:$BE$9,0)),"")</f>
        <v/>
      </c>
      <c r="J38" s="111" t="str">
        <f aca="false">IFERROR(INDEX('Historical Data'!$L$2:$L$9,MATCH($A38,'Historical Data'!$BE$2:$BE$9,0)),"")</f>
        <v/>
      </c>
      <c r="K38" s="113" t="str">
        <f aca="false">IFERROR(INDEX('Historical Data'!$M$2:$M$9,MATCH($A38,'Historical Data'!$BE$2:$BE$9,0)),"")</f>
        <v/>
      </c>
      <c r="L38" s="114" t="str">
        <f aca="false">IFERROR(INDEX('Historical Data'!$N$2:$N$9,MATCH($A38,'Historical Data'!$BE$2:$BE$9,0)),"")</f>
        <v/>
      </c>
      <c r="M38" s="114" t="str">
        <f aca="false">IFERROR(INDEX('Historical Data'!$Q$2:$Q$9,MATCH($A38,'Historical Data'!$BE$2:$BE$9,0)),"")</f>
        <v/>
      </c>
      <c r="N38" s="115" t="str">
        <f aca="false">IFERROR(INDEX('Historical Data'!$S$2:$S$9,MATCH($A38,'Historical Data'!$BE$2:$BE$9,0)),"")</f>
        <v/>
      </c>
      <c r="O38" s="114" t="str">
        <f aca="false">IFERROR(INDEX('Historical Data'!$AJ$2:$AJ$9,MATCH($A38,'Historical Data'!$BE$2:$BE$9,0)),"")</f>
        <v/>
      </c>
      <c r="P38" s="114" t="str">
        <f aca="false">IFERROR(INDEX('Historical Data'!$AK$2:$AK$9,MATCH($A38,'Historical Data'!$BE$2:$BE$9,0)),"")</f>
        <v/>
      </c>
      <c r="Q38" s="111" t="str">
        <f aca="false">IFERROR(INDEX('Historical Data'!$AA$2:$AA$9,MATCH($A38,'Historical Data'!$BE$2:$BE$9,0)),"")</f>
        <v/>
      </c>
      <c r="R38" s="111" t="str">
        <f aca="false">IFERROR(INDEX('Historical Data'!$AB$2:$AB$9,MATCH($A38,'Historical Data'!$BE$2:$BE$9,0)),"")</f>
        <v/>
      </c>
      <c r="S38" s="111" t="str">
        <f aca="false">IFERROR(INDEX('Historical Data'!$AN$2:$AN$9,MATCH($A38,'Historical Data'!$BE$2:$BE$9,0)),"")</f>
        <v/>
      </c>
      <c r="T38" s="111" t="str">
        <f aca="false">IFERROR(INDEX('Historical Data'!$AC$2:$AC$9,MATCH($A38,'Historical Data'!$BE$2:$BE$9,0)),"")</f>
        <v/>
      </c>
      <c r="U38" s="111" t="str">
        <f aca="false">IFERROR(INDEX('Historical Data'!$AE$2:$AE$9,MATCH($A38,'Historical Data'!$BE$2:$BE$9,0)),"")</f>
        <v/>
      </c>
      <c r="V38" s="111" t="str">
        <f aca="false">IFERROR(INDEX('Historical Data'!$AH$2:$AH$9,MATCH($A38,'Historical Data'!$BE$2:$BE$9,0)),"")</f>
        <v/>
      </c>
      <c r="W38" s="111" t="str">
        <f aca="false">IFERROR(INDEX('Historical Data'!$BC$2:$BC$9,MATCH($A38,'Historical Data'!$BE$2:$BE$9,0)),"")</f>
        <v/>
      </c>
      <c r="X38" s="110" t="str">
        <f aca="false">IF(B38="","",IF(W38=1,"NR + industry + position",IF(W38=2,"NR + ISO + position",IF(W38=3,"NR + industry",IF(W38=4,"NR + ISO",IF(W38=5,"NR + position",IF(W38=6,"NR only","book baseline"))))))&amp;"  ["&amp;IF(T38=1,"seasoned","unseasoned")&amp;IF(U38=1,", defaulted","")&amp;IF(V38=1,", open","")&amp;"]")</f>
        <v/>
      </c>
    </row>
    <row r="39" customFormat="false" ht="15" hidden="false" customHeight="false" outlineLevel="0" collapsed="false">
      <c r="A39" s="110" t="n">
        <v>35</v>
      </c>
      <c r="B39" s="111" t="str">
        <f aca="false">IFERROR(INDEX('Historical Data'!$A$2:$A$9,MATCH($A39,'Historical Data'!$BE$2:$BE$9,0)),"")</f>
        <v/>
      </c>
      <c r="C39" s="111" t="str">
        <f aca="false">IFERROR(INDEX('Historical Data'!$B$2:$B$9,MATCH($A39,'Historical Data'!$BE$2:$BE$9,0)),"")</f>
        <v/>
      </c>
      <c r="D39" s="111" t="str">
        <f aca="false">IFERROR(INDEX('Historical Data'!$D$2:$D$9,MATCH($A39,'Historical Data'!$BE$2:$BE$9,0)),"")</f>
        <v/>
      </c>
      <c r="E39" s="112" t="str">
        <f aca="false">IFERROR(INDEX('Historical Data'!$E$2:$E$9,MATCH($A39,'Historical Data'!$BE$2:$BE$9,0)),"")</f>
        <v/>
      </c>
      <c r="F39" s="111" t="str">
        <f aca="false">IFERROR(INDEX('Historical Data'!$G$2:$G$9,MATCH($A39,'Historical Data'!$BE$2:$BE$9,0)),"")</f>
        <v/>
      </c>
      <c r="G39" s="111" t="str">
        <f aca="false">IFERROR(INDEX('Historical Data'!$Y$2:$Y$9,MATCH($A39,'Historical Data'!$BE$2:$BE$9,0)),"")</f>
        <v/>
      </c>
      <c r="H39" s="111" t="str">
        <f aca="false">IFERROR(INDEX('Historical Data'!$K$2:$K$9,MATCH($A39,'Historical Data'!$BE$2:$BE$9,0)),"")</f>
        <v/>
      </c>
      <c r="I39" s="111" t="str">
        <f aca="false">IFERROR(INDEX('Historical Data'!$J$2:$J$9,MATCH($A39,'Historical Data'!$BE$2:$BE$9,0)),"")</f>
        <v/>
      </c>
      <c r="J39" s="111" t="str">
        <f aca="false">IFERROR(INDEX('Historical Data'!$L$2:$L$9,MATCH($A39,'Historical Data'!$BE$2:$BE$9,0)),"")</f>
        <v/>
      </c>
      <c r="K39" s="113" t="str">
        <f aca="false">IFERROR(INDEX('Historical Data'!$M$2:$M$9,MATCH($A39,'Historical Data'!$BE$2:$BE$9,0)),"")</f>
        <v/>
      </c>
      <c r="L39" s="114" t="str">
        <f aca="false">IFERROR(INDEX('Historical Data'!$N$2:$N$9,MATCH($A39,'Historical Data'!$BE$2:$BE$9,0)),"")</f>
        <v/>
      </c>
      <c r="M39" s="114" t="str">
        <f aca="false">IFERROR(INDEX('Historical Data'!$Q$2:$Q$9,MATCH($A39,'Historical Data'!$BE$2:$BE$9,0)),"")</f>
        <v/>
      </c>
      <c r="N39" s="115" t="str">
        <f aca="false">IFERROR(INDEX('Historical Data'!$S$2:$S$9,MATCH($A39,'Historical Data'!$BE$2:$BE$9,0)),"")</f>
        <v/>
      </c>
      <c r="O39" s="114" t="str">
        <f aca="false">IFERROR(INDEX('Historical Data'!$AJ$2:$AJ$9,MATCH($A39,'Historical Data'!$BE$2:$BE$9,0)),"")</f>
        <v/>
      </c>
      <c r="P39" s="114" t="str">
        <f aca="false">IFERROR(INDEX('Historical Data'!$AK$2:$AK$9,MATCH($A39,'Historical Data'!$BE$2:$BE$9,0)),"")</f>
        <v/>
      </c>
      <c r="Q39" s="111" t="str">
        <f aca="false">IFERROR(INDEX('Historical Data'!$AA$2:$AA$9,MATCH($A39,'Historical Data'!$BE$2:$BE$9,0)),"")</f>
        <v/>
      </c>
      <c r="R39" s="111" t="str">
        <f aca="false">IFERROR(INDEX('Historical Data'!$AB$2:$AB$9,MATCH($A39,'Historical Data'!$BE$2:$BE$9,0)),"")</f>
        <v/>
      </c>
      <c r="S39" s="111" t="str">
        <f aca="false">IFERROR(INDEX('Historical Data'!$AN$2:$AN$9,MATCH($A39,'Historical Data'!$BE$2:$BE$9,0)),"")</f>
        <v/>
      </c>
      <c r="T39" s="111" t="str">
        <f aca="false">IFERROR(INDEX('Historical Data'!$AC$2:$AC$9,MATCH($A39,'Historical Data'!$BE$2:$BE$9,0)),"")</f>
        <v/>
      </c>
      <c r="U39" s="111" t="str">
        <f aca="false">IFERROR(INDEX('Historical Data'!$AE$2:$AE$9,MATCH($A39,'Historical Data'!$BE$2:$BE$9,0)),"")</f>
        <v/>
      </c>
      <c r="V39" s="111" t="str">
        <f aca="false">IFERROR(INDEX('Historical Data'!$AH$2:$AH$9,MATCH($A39,'Historical Data'!$BE$2:$BE$9,0)),"")</f>
        <v/>
      </c>
      <c r="W39" s="111" t="str">
        <f aca="false">IFERROR(INDEX('Historical Data'!$BC$2:$BC$9,MATCH($A39,'Historical Data'!$BE$2:$BE$9,0)),"")</f>
        <v/>
      </c>
      <c r="X39" s="110" t="str">
        <f aca="false">IF(B39="","",IF(W39=1,"NR + industry + position",IF(W39=2,"NR + ISO + position",IF(W39=3,"NR + industry",IF(W39=4,"NR + ISO",IF(W39=5,"NR + position",IF(W39=6,"NR only","book baseline"))))))&amp;"  ["&amp;IF(T39=1,"seasoned","unseasoned")&amp;IF(U39=1,", defaulted","")&amp;IF(V39=1,", open","")&amp;"]")</f>
        <v/>
      </c>
    </row>
    <row r="40" customFormat="false" ht="15" hidden="false" customHeight="false" outlineLevel="0" collapsed="false">
      <c r="A40" s="110" t="n">
        <v>36</v>
      </c>
      <c r="B40" s="111" t="str">
        <f aca="false">IFERROR(INDEX('Historical Data'!$A$2:$A$9,MATCH($A40,'Historical Data'!$BE$2:$BE$9,0)),"")</f>
        <v/>
      </c>
      <c r="C40" s="111" t="str">
        <f aca="false">IFERROR(INDEX('Historical Data'!$B$2:$B$9,MATCH($A40,'Historical Data'!$BE$2:$BE$9,0)),"")</f>
        <v/>
      </c>
      <c r="D40" s="111" t="str">
        <f aca="false">IFERROR(INDEX('Historical Data'!$D$2:$D$9,MATCH($A40,'Historical Data'!$BE$2:$BE$9,0)),"")</f>
        <v/>
      </c>
      <c r="E40" s="112" t="str">
        <f aca="false">IFERROR(INDEX('Historical Data'!$E$2:$E$9,MATCH($A40,'Historical Data'!$BE$2:$BE$9,0)),"")</f>
        <v/>
      </c>
      <c r="F40" s="111" t="str">
        <f aca="false">IFERROR(INDEX('Historical Data'!$G$2:$G$9,MATCH($A40,'Historical Data'!$BE$2:$BE$9,0)),"")</f>
        <v/>
      </c>
      <c r="G40" s="111" t="str">
        <f aca="false">IFERROR(INDEX('Historical Data'!$Y$2:$Y$9,MATCH($A40,'Historical Data'!$BE$2:$BE$9,0)),"")</f>
        <v/>
      </c>
      <c r="H40" s="111" t="str">
        <f aca="false">IFERROR(INDEX('Historical Data'!$K$2:$K$9,MATCH($A40,'Historical Data'!$BE$2:$BE$9,0)),"")</f>
        <v/>
      </c>
      <c r="I40" s="111" t="str">
        <f aca="false">IFERROR(INDEX('Historical Data'!$J$2:$J$9,MATCH($A40,'Historical Data'!$BE$2:$BE$9,0)),"")</f>
        <v/>
      </c>
      <c r="J40" s="111" t="str">
        <f aca="false">IFERROR(INDEX('Historical Data'!$L$2:$L$9,MATCH($A40,'Historical Data'!$BE$2:$BE$9,0)),"")</f>
        <v/>
      </c>
      <c r="K40" s="113" t="str">
        <f aca="false">IFERROR(INDEX('Historical Data'!$M$2:$M$9,MATCH($A40,'Historical Data'!$BE$2:$BE$9,0)),"")</f>
        <v/>
      </c>
      <c r="L40" s="114" t="str">
        <f aca="false">IFERROR(INDEX('Historical Data'!$N$2:$N$9,MATCH($A40,'Historical Data'!$BE$2:$BE$9,0)),"")</f>
        <v/>
      </c>
      <c r="M40" s="114" t="str">
        <f aca="false">IFERROR(INDEX('Historical Data'!$Q$2:$Q$9,MATCH($A40,'Historical Data'!$BE$2:$BE$9,0)),"")</f>
        <v/>
      </c>
      <c r="N40" s="115" t="str">
        <f aca="false">IFERROR(INDEX('Historical Data'!$S$2:$S$9,MATCH($A40,'Historical Data'!$BE$2:$BE$9,0)),"")</f>
        <v/>
      </c>
      <c r="O40" s="114" t="str">
        <f aca="false">IFERROR(INDEX('Historical Data'!$AJ$2:$AJ$9,MATCH($A40,'Historical Data'!$BE$2:$BE$9,0)),"")</f>
        <v/>
      </c>
      <c r="P40" s="114" t="str">
        <f aca="false">IFERROR(INDEX('Historical Data'!$AK$2:$AK$9,MATCH($A40,'Historical Data'!$BE$2:$BE$9,0)),"")</f>
        <v/>
      </c>
      <c r="Q40" s="111" t="str">
        <f aca="false">IFERROR(INDEX('Historical Data'!$AA$2:$AA$9,MATCH($A40,'Historical Data'!$BE$2:$BE$9,0)),"")</f>
        <v/>
      </c>
      <c r="R40" s="111" t="str">
        <f aca="false">IFERROR(INDEX('Historical Data'!$AB$2:$AB$9,MATCH($A40,'Historical Data'!$BE$2:$BE$9,0)),"")</f>
        <v/>
      </c>
      <c r="S40" s="111" t="str">
        <f aca="false">IFERROR(INDEX('Historical Data'!$AN$2:$AN$9,MATCH($A40,'Historical Data'!$BE$2:$BE$9,0)),"")</f>
        <v/>
      </c>
      <c r="T40" s="111" t="str">
        <f aca="false">IFERROR(INDEX('Historical Data'!$AC$2:$AC$9,MATCH($A40,'Historical Data'!$BE$2:$BE$9,0)),"")</f>
        <v/>
      </c>
      <c r="U40" s="111" t="str">
        <f aca="false">IFERROR(INDEX('Historical Data'!$AE$2:$AE$9,MATCH($A40,'Historical Data'!$BE$2:$BE$9,0)),"")</f>
        <v/>
      </c>
      <c r="V40" s="111" t="str">
        <f aca="false">IFERROR(INDEX('Historical Data'!$AH$2:$AH$9,MATCH($A40,'Historical Data'!$BE$2:$BE$9,0)),"")</f>
        <v/>
      </c>
      <c r="W40" s="111" t="str">
        <f aca="false">IFERROR(INDEX('Historical Data'!$BC$2:$BC$9,MATCH($A40,'Historical Data'!$BE$2:$BE$9,0)),"")</f>
        <v/>
      </c>
      <c r="X40" s="110" t="str">
        <f aca="false">IF(B40="","",IF(W40=1,"NR + industry + position",IF(W40=2,"NR + ISO + position",IF(W40=3,"NR + industry",IF(W40=4,"NR + ISO",IF(W40=5,"NR + position",IF(W40=6,"NR only","book baseline"))))))&amp;"  ["&amp;IF(T40=1,"seasoned","unseasoned")&amp;IF(U40=1,", defaulted","")&amp;IF(V40=1,", open","")&amp;"]")</f>
        <v/>
      </c>
    </row>
    <row r="41" customFormat="false" ht="15" hidden="false" customHeight="false" outlineLevel="0" collapsed="false">
      <c r="A41" s="110" t="n">
        <v>37</v>
      </c>
      <c r="B41" s="111" t="str">
        <f aca="false">IFERROR(INDEX('Historical Data'!$A$2:$A$9,MATCH($A41,'Historical Data'!$BE$2:$BE$9,0)),"")</f>
        <v/>
      </c>
      <c r="C41" s="111" t="str">
        <f aca="false">IFERROR(INDEX('Historical Data'!$B$2:$B$9,MATCH($A41,'Historical Data'!$BE$2:$BE$9,0)),"")</f>
        <v/>
      </c>
      <c r="D41" s="111" t="str">
        <f aca="false">IFERROR(INDEX('Historical Data'!$D$2:$D$9,MATCH($A41,'Historical Data'!$BE$2:$BE$9,0)),"")</f>
        <v/>
      </c>
      <c r="E41" s="112" t="str">
        <f aca="false">IFERROR(INDEX('Historical Data'!$E$2:$E$9,MATCH($A41,'Historical Data'!$BE$2:$BE$9,0)),"")</f>
        <v/>
      </c>
      <c r="F41" s="111" t="str">
        <f aca="false">IFERROR(INDEX('Historical Data'!$G$2:$G$9,MATCH($A41,'Historical Data'!$BE$2:$BE$9,0)),"")</f>
        <v/>
      </c>
      <c r="G41" s="111" t="str">
        <f aca="false">IFERROR(INDEX('Historical Data'!$Y$2:$Y$9,MATCH($A41,'Historical Data'!$BE$2:$BE$9,0)),"")</f>
        <v/>
      </c>
      <c r="H41" s="111" t="str">
        <f aca="false">IFERROR(INDEX('Historical Data'!$K$2:$K$9,MATCH($A41,'Historical Data'!$BE$2:$BE$9,0)),"")</f>
        <v/>
      </c>
      <c r="I41" s="111" t="str">
        <f aca="false">IFERROR(INDEX('Historical Data'!$J$2:$J$9,MATCH($A41,'Historical Data'!$BE$2:$BE$9,0)),"")</f>
        <v/>
      </c>
      <c r="J41" s="111" t="str">
        <f aca="false">IFERROR(INDEX('Historical Data'!$L$2:$L$9,MATCH($A41,'Historical Data'!$BE$2:$BE$9,0)),"")</f>
        <v/>
      </c>
      <c r="K41" s="113" t="str">
        <f aca="false">IFERROR(INDEX('Historical Data'!$M$2:$M$9,MATCH($A41,'Historical Data'!$BE$2:$BE$9,0)),"")</f>
        <v/>
      </c>
      <c r="L41" s="114" t="str">
        <f aca="false">IFERROR(INDEX('Historical Data'!$N$2:$N$9,MATCH($A41,'Historical Data'!$BE$2:$BE$9,0)),"")</f>
        <v/>
      </c>
      <c r="M41" s="114" t="str">
        <f aca="false">IFERROR(INDEX('Historical Data'!$Q$2:$Q$9,MATCH($A41,'Historical Data'!$BE$2:$BE$9,0)),"")</f>
        <v/>
      </c>
      <c r="N41" s="115" t="str">
        <f aca="false">IFERROR(INDEX('Historical Data'!$S$2:$S$9,MATCH($A41,'Historical Data'!$BE$2:$BE$9,0)),"")</f>
        <v/>
      </c>
      <c r="O41" s="114" t="str">
        <f aca="false">IFERROR(INDEX('Historical Data'!$AJ$2:$AJ$9,MATCH($A41,'Historical Data'!$BE$2:$BE$9,0)),"")</f>
        <v/>
      </c>
      <c r="P41" s="114" t="str">
        <f aca="false">IFERROR(INDEX('Historical Data'!$AK$2:$AK$9,MATCH($A41,'Historical Data'!$BE$2:$BE$9,0)),"")</f>
        <v/>
      </c>
      <c r="Q41" s="111" t="str">
        <f aca="false">IFERROR(INDEX('Historical Data'!$AA$2:$AA$9,MATCH($A41,'Historical Data'!$BE$2:$BE$9,0)),"")</f>
        <v/>
      </c>
      <c r="R41" s="111" t="str">
        <f aca="false">IFERROR(INDEX('Historical Data'!$AB$2:$AB$9,MATCH($A41,'Historical Data'!$BE$2:$BE$9,0)),"")</f>
        <v/>
      </c>
      <c r="S41" s="111" t="str">
        <f aca="false">IFERROR(INDEX('Historical Data'!$AN$2:$AN$9,MATCH($A41,'Historical Data'!$BE$2:$BE$9,0)),"")</f>
        <v/>
      </c>
      <c r="T41" s="111" t="str">
        <f aca="false">IFERROR(INDEX('Historical Data'!$AC$2:$AC$9,MATCH($A41,'Historical Data'!$BE$2:$BE$9,0)),"")</f>
        <v/>
      </c>
      <c r="U41" s="111" t="str">
        <f aca="false">IFERROR(INDEX('Historical Data'!$AE$2:$AE$9,MATCH($A41,'Historical Data'!$BE$2:$BE$9,0)),"")</f>
        <v/>
      </c>
      <c r="V41" s="111" t="str">
        <f aca="false">IFERROR(INDEX('Historical Data'!$AH$2:$AH$9,MATCH($A41,'Historical Data'!$BE$2:$BE$9,0)),"")</f>
        <v/>
      </c>
      <c r="W41" s="111" t="str">
        <f aca="false">IFERROR(INDEX('Historical Data'!$BC$2:$BC$9,MATCH($A41,'Historical Data'!$BE$2:$BE$9,0)),"")</f>
        <v/>
      </c>
      <c r="X41" s="110" t="str">
        <f aca="false">IF(B41="","",IF(W41=1,"NR + industry + position",IF(W41=2,"NR + ISO + position",IF(W41=3,"NR + industry",IF(W41=4,"NR + ISO",IF(W41=5,"NR + position",IF(W41=6,"NR only","book baseline"))))))&amp;"  ["&amp;IF(T41=1,"seasoned","unseasoned")&amp;IF(U41=1,", defaulted","")&amp;IF(V41=1,", open","")&amp;"]")</f>
        <v/>
      </c>
    </row>
    <row r="42" customFormat="false" ht="15" hidden="false" customHeight="false" outlineLevel="0" collapsed="false">
      <c r="A42" s="110" t="n">
        <v>38</v>
      </c>
      <c r="B42" s="111" t="str">
        <f aca="false">IFERROR(INDEX('Historical Data'!$A$2:$A$9,MATCH($A42,'Historical Data'!$BE$2:$BE$9,0)),"")</f>
        <v/>
      </c>
      <c r="C42" s="111" t="str">
        <f aca="false">IFERROR(INDEX('Historical Data'!$B$2:$B$9,MATCH($A42,'Historical Data'!$BE$2:$BE$9,0)),"")</f>
        <v/>
      </c>
      <c r="D42" s="111" t="str">
        <f aca="false">IFERROR(INDEX('Historical Data'!$D$2:$D$9,MATCH($A42,'Historical Data'!$BE$2:$BE$9,0)),"")</f>
        <v/>
      </c>
      <c r="E42" s="112" t="str">
        <f aca="false">IFERROR(INDEX('Historical Data'!$E$2:$E$9,MATCH($A42,'Historical Data'!$BE$2:$BE$9,0)),"")</f>
        <v/>
      </c>
      <c r="F42" s="111" t="str">
        <f aca="false">IFERROR(INDEX('Historical Data'!$G$2:$G$9,MATCH($A42,'Historical Data'!$BE$2:$BE$9,0)),"")</f>
        <v/>
      </c>
      <c r="G42" s="111" t="str">
        <f aca="false">IFERROR(INDEX('Historical Data'!$Y$2:$Y$9,MATCH($A42,'Historical Data'!$BE$2:$BE$9,0)),"")</f>
        <v/>
      </c>
      <c r="H42" s="111" t="str">
        <f aca="false">IFERROR(INDEX('Historical Data'!$K$2:$K$9,MATCH($A42,'Historical Data'!$BE$2:$BE$9,0)),"")</f>
        <v/>
      </c>
      <c r="I42" s="111" t="str">
        <f aca="false">IFERROR(INDEX('Historical Data'!$J$2:$J$9,MATCH($A42,'Historical Data'!$BE$2:$BE$9,0)),"")</f>
        <v/>
      </c>
      <c r="J42" s="111" t="str">
        <f aca="false">IFERROR(INDEX('Historical Data'!$L$2:$L$9,MATCH($A42,'Historical Data'!$BE$2:$BE$9,0)),"")</f>
        <v/>
      </c>
      <c r="K42" s="113" t="str">
        <f aca="false">IFERROR(INDEX('Historical Data'!$M$2:$M$9,MATCH($A42,'Historical Data'!$BE$2:$BE$9,0)),"")</f>
        <v/>
      </c>
      <c r="L42" s="114" t="str">
        <f aca="false">IFERROR(INDEX('Historical Data'!$N$2:$N$9,MATCH($A42,'Historical Data'!$BE$2:$BE$9,0)),"")</f>
        <v/>
      </c>
      <c r="M42" s="114" t="str">
        <f aca="false">IFERROR(INDEX('Historical Data'!$Q$2:$Q$9,MATCH($A42,'Historical Data'!$BE$2:$BE$9,0)),"")</f>
        <v/>
      </c>
      <c r="N42" s="115" t="str">
        <f aca="false">IFERROR(INDEX('Historical Data'!$S$2:$S$9,MATCH($A42,'Historical Data'!$BE$2:$BE$9,0)),"")</f>
        <v/>
      </c>
      <c r="O42" s="114" t="str">
        <f aca="false">IFERROR(INDEX('Historical Data'!$AJ$2:$AJ$9,MATCH($A42,'Historical Data'!$BE$2:$BE$9,0)),"")</f>
        <v/>
      </c>
      <c r="P42" s="114" t="str">
        <f aca="false">IFERROR(INDEX('Historical Data'!$AK$2:$AK$9,MATCH($A42,'Historical Data'!$BE$2:$BE$9,0)),"")</f>
        <v/>
      </c>
      <c r="Q42" s="111" t="str">
        <f aca="false">IFERROR(INDEX('Historical Data'!$AA$2:$AA$9,MATCH($A42,'Historical Data'!$BE$2:$BE$9,0)),"")</f>
        <v/>
      </c>
      <c r="R42" s="111" t="str">
        <f aca="false">IFERROR(INDEX('Historical Data'!$AB$2:$AB$9,MATCH($A42,'Historical Data'!$BE$2:$BE$9,0)),"")</f>
        <v/>
      </c>
      <c r="S42" s="111" t="str">
        <f aca="false">IFERROR(INDEX('Historical Data'!$AN$2:$AN$9,MATCH($A42,'Historical Data'!$BE$2:$BE$9,0)),"")</f>
        <v/>
      </c>
      <c r="T42" s="111" t="str">
        <f aca="false">IFERROR(INDEX('Historical Data'!$AC$2:$AC$9,MATCH($A42,'Historical Data'!$BE$2:$BE$9,0)),"")</f>
        <v/>
      </c>
      <c r="U42" s="111" t="str">
        <f aca="false">IFERROR(INDEX('Historical Data'!$AE$2:$AE$9,MATCH($A42,'Historical Data'!$BE$2:$BE$9,0)),"")</f>
        <v/>
      </c>
      <c r="V42" s="111" t="str">
        <f aca="false">IFERROR(INDEX('Historical Data'!$AH$2:$AH$9,MATCH($A42,'Historical Data'!$BE$2:$BE$9,0)),"")</f>
        <v/>
      </c>
      <c r="W42" s="111" t="str">
        <f aca="false">IFERROR(INDEX('Historical Data'!$BC$2:$BC$9,MATCH($A42,'Historical Data'!$BE$2:$BE$9,0)),"")</f>
        <v/>
      </c>
      <c r="X42" s="110" t="str">
        <f aca="false">IF(B42="","",IF(W42=1,"NR + industry + position",IF(W42=2,"NR + ISO + position",IF(W42=3,"NR + industry",IF(W42=4,"NR + ISO",IF(W42=5,"NR + position",IF(W42=6,"NR only","book baseline"))))))&amp;"  ["&amp;IF(T42=1,"seasoned","unseasoned")&amp;IF(U42=1,", defaulted","")&amp;IF(V42=1,", open","")&amp;"]")</f>
        <v/>
      </c>
    </row>
    <row r="43" customFormat="false" ht="15" hidden="false" customHeight="false" outlineLevel="0" collapsed="false">
      <c r="A43" s="110" t="n">
        <v>39</v>
      </c>
      <c r="B43" s="111" t="str">
        <f aca="false">IFERROR(INDEX('Historical Data'!$A$2:$A$9,MATCH($A43,'Historical Data'!$BE$2:$BE$9,0)),"")</f>
        <v/>
      </c>
      <c r="C43" s="111" t="str">
        <f aca="false">IFERROR(INDEX('Historical Data'!$B$2:$B$9,MATCH($A43,'Historical Data'!$BE$2:$BE$9,0)),"")</f>
        <v/>
      </c>
      <c r="D43" s="111" t="str">
        <f aca="false">IFERROR(INDEX('Historical Data'!$D$2:$D$9,MATCH($A43,'Historical Data'!$BE$2:$BE$9,0)),"")</f>
        <v/>
      </c>
      <c r="E43" s="112" t="str">
        <f aca="false">IFERROR(INDEX('Historical Data'!$E$2:$E$9,MATCH($A43,'Historical Data'!$BE$2:$BE$9,0)),"")</f>
        <v/>
      </c>
      <c r="F43" s="111" t="str">
        <f aca="false">IFERROR(INDEX('Historical Data'!$G$2:$G$9,MATCH($A43,'Historical Data'!$BE$2:$BE$9,0)),"")</f>
        <v/>
      </c>
      <c r="G43" s="111" t="str">
        <f aca="false">IFERROR(INDEX('Historical Data'!$Y$2:$Y$9,MATCH($A43,'Historical Data'!$BE$2:$BE$9,0)),"")</f>
        <v/>
      </c>
      <c r="H43" s="111" t="str">
        <f aca="false">IFERROR(INDEX('Historical Data'!$K$2:$K$9,MATCH($A43,'Historical Data'!$BE$2:$BE$9,0)),"")</f>
        <v/>
      </c>
      <c r="I43" s="111" t="str">
        <f aca="false">IFERROR(INDEX('Historical Data'!$J$2:$J$9,MATCH($A43,'Historical Data'!$BE$2:$BE$9,0)),"")</f>
        <v/>
      </c>
      <c r="J43" s="111" t="str">
        <f aca="false">IFERROR(INDEX('Historical Data'!$L$2:$L$9,MATCH($A43,'Historical Data'!$BE$2:$BE$9,0)),"")</f>
        <v/>
      </c>
      <c r="K43" s="113" t="str">
        <f aca="false">IFERROR(INDEX('Historical Data'!$M$2:$M$9,MATCH($A43,'Historical Data'!$BE$2:$BE$9,0)),"")</f>
        <v/>
      </c>
      <c r="L43" s="114" t="str">
        <f aca="false">IFERROR(INDEX('Historical Data'!$N$2:$N$9,MATCH($A43,'Historical Data'!$BE$2:$BE$9,0)),"")</f>
        <v/>
      </c>
      <c r="M43" s="114" t="str">
        <f aca="false">IFERROR(INDEX('Historical Data'!$Q$2:$Q$9,MATCH($A43,'Historical Data'!$BE$2:$BE$9,0)),"")</f>
        <v/>
      </c>
      <c r="N43" s="115" t="str">
        <f aca="false">IFERROR(INDEX('Historical Data'!$S$2:$S$9,MATCH($A43,'Historical Data'!$BE$2:$BE$9,0)),"")</f>
        <v/>
      </c>
      <c r="O43" s="114" t="str">
        <f aca="false">IFERROR(INDEX('Historical Data'!$AJ$2:$AJ$9,MATCH($A43,'Historical Data'!$BE$2:$BE$9,0)),"")</f>
        <v/>
      </c>
      <c r="P43" s="114" t="str">
        <f aca="false">IFERROR(INDEX('Historical Data'!$AK$2:$AK$9,MATCH($A43,'Historical Data'!$BE$2:$BE$9,0)),"")</f>
        <v/>
      </c>
      <c r="Q43" s="111" t="str">
        <f aca="false">IFERROR(INDEX('Historical Data'!$AA$2:$AA$9,MATCH($A43,'Historical Data'!$BE$2:$BE$9,0)),"")</f>
        <v/>
      </c>
      <c r="R43" s="111" t="str">
        <f aca="false">IFERROR(INDEX('Historical Data'!$AB$2:$AB$9,MATCH($A43,'Historical Data'!$BE$2:$BE$9,0)),"")</f>
        <v/>
      </c>
      <c r="S43" s="111" t="str">
        <f aca="false">IFERROR(INDEX('Historical Data'!$AN$2:$AN$9,MATCH($A43,'Historical Data'!$BE$2:$BE$9,0)),"")</f>
        <v/>
      </c>
      <c r="T43" s="111" t="str">
        <f aca="false">IFERROR(INDEX('Historical Data'!$AC$2:$AC$9,MATCH($A43,'Historical Data'!$BE$2:$BE$9,0)),"")</f>
        <v/>
      </c>
      <c r="U43" s="111" t="str">
        <f aca="false">IFERROR(INDEX('Historical Data'!$AE$2:$AE$9,MATCH($A43,'Historical Data'!$BE$2:$BE$9,0)),"")</f>
        <v/>
      </c>
      <c r="V43" s="111" t="str">
        <f aca="false">IFERROR(INDEX('Historical Data'!$AH$2:$AH$9,MATCH($A43,'Historical Data'!$BE$2:$BE$9,0)),"")</f>
        <v/>
      </c>
      <c r="W43" s="111" t="str">
        <f aca="false">IFERROR(INDEX('Historical Data'!$BC$2:$BC$9,MATCH($A43,'Historical Data'!$BE$2:$BE$9,0)),"")</f>
        <v/>
      </c>
      <c r="X43" s="110" t="str">
        <f aca="false">IF(B43="","",IF(W43=1,"NR + industry + position",IF(W43=2,"NR + ISO + position",IF(W43=3,"NR + industry",IF(W43=4,"NR + ISO",IF(W43=5,"NR + position",IF(W43=6,"NR only","book baseline"))))))&amp;"  ["&amp;IF(T43=1,"seasoned","unseasoned")&amp;IF(U43=1,", defaulted","")&amp;IF(V43=1,", open","")&amp;"]")</f>
        <v/>
      </c>
    </row>
    <row r="44" customFormat="false" ht="15" hidden="false" customHeight="false" outlineLevel="0" collapsed="false">
      <c r="A44" s="110" t="n">
        <v>40</v>
      </c>
      <c r="B44" s="111" t="str">
        <f aca="false">IFERROR(INDEX('Historical Data'!$A$2:$A$9,MATCH($A44,'Historical Data'!$BE$2:$BE$9,0)),"")</f>
        <v/>
      </c>
      <c r="C44" s="111" t="str">
        <f aca="false">IFERROR(INDEX('Historical Data'!$B$2:$B$9,MATCH($A44,'Historical Data'!$BE$2:$BE$9,0)),"")</f>
        <v/>
      </c>
      <c r="D44" s="111" t="str">
        <f aca="false">IFERROR(INDEX('Historical Data'!$D$2:$D$9,MATCH($A44,'Historical Data'!$BE$2:$BE$9,0)),"")</f>
        <v/>
      </c>
      <c r="E44" s="112" t="str">
        <f aca="false">IFERROR(INDEX('Historical Data'!$E$2:$E$9,MATCH($A44,'Historical Data'!$BE$2:$BE$9,0)),"")</f>
        <v/>
      </c>
      <c r="F44" s="111" t="str">
        <f aca="false">IFERROR(INDEX('Historical Data'!$G$2:$G$9,MATCH($A44,'Historical Data'!$BE$2:$BE$9,0)),"")</f>
        <v/>
      </c>
      <c r="G44" s="111" t="str">
        <f aca="false">IFERROR(INDEX('Historical Data'!$Y$2:$Y$9,MATCH($A44,'Historical Data'!$BE$2:$BE$9,0)),"")</f>
        <v/>
      </c>
      <c r="H44" s="111" t="str">
        <f aca="false">IFERROR(INDEX('Historical Data'!$K$2:$K$9,MATCH($A44,'Historical Data'!$BE$2:$BE$9,0)),"")</f>
        <v/>
      </c>
      <c r="I44" s="111" t="str">
        <f aca="false">IFERROR(INDEX('Historical Data'!$J$2:$J$9,MATCH($A44,'Historical Data'!$BE$2:$BE$9,0)),"")</f>
        <v/>
      </c>
      <c r="J44" s="111" t="str">
        <f aca="false">IFERROR(INDEX('Historical Data'!$L$2:$L$9,MATCH($A44,'Historical Data'!$BE$2:$BE$9,0)),"")</f>
        <v/>
      </c>
      <c r="K44" s="113" t="str">
        <f aca="false">IFERROR(INDEX('Historical Data'!$M$2:$M$9,MATCH($A44,'Historical Data'!$BE$2:$BE$9,0)),"")</f>
        <v/>
      </c>
      <c r="L44" s="114" t="str">
        <f aca="false">IFERROR(INDEX('Historical Data'!$N$2:$N$9,MATCH($A44,'Historical Data'!$BE$2:$BE$9,0)),"")</f>
        <v/>
      </c>
      <c r="M44" s="114" t="str">
        <f aca="false">IFERROR(INDEX('Historical Data'!$Q$2:$Q$9,MATCH($A44,'Historical Data'!$BE$2:$BE$9,0)),"")</f>
        <v/>
      </c>
      <c r="N44" s="115" t="str">
        <f aca="false">IFERROR(INDEX('Historical Data'!$S$2:$S$9,MATCH($A44,'Historical Data'!$BE$2:$BE$9,0)),"")</f>
        <v/>
      </c>
      <c r="O44" s="114" t="str">
        <f aca="false">IFERROR(INDEX('Historical Data'!$AJ$2:$AJ$9,MATCH($A44,'Historical Data'!$BE$2:$BE$9,0)),"")</f>
        <v/>
      </c>
      <c r="P44" s="114" t="str">
        <f aca="false">IFERROR(INDEX('Historical Data'!$AK$2:$AK$9,MATCH($A44,'Historical Data'!$BE$2:$BE$9,0)),"")</f>
        <v/>
      </c>
      <c r="Q44" s="111" t="str">
        <f aca="false">IFERROR(INDEX('Historical Data'!$AA$2:$AA$9,MATCH($A44,'Historical Data'!$BE$2:$BE$9,0)),"")</f>
        <v/>
      </c>
      <c r="R44" s="111" t="str">
        <f aca="false">IFERROR(INDEX('Historical Data'!$AB$2:$AB$9,MATCH($A44,'Historical Data'!$BE$2:$BE$9,0)),"")</f>
        <v/>
      </c>
      <c r="S44" s="111" t="str">
        <f aca="false">IFERROR(INDEX('Historical Data'!$AN$2:$AN$9,MATCH($A44,'Historical Data'!$BE$2:$BE$9,0)),"")</f>
        <v/>
      </c>
      <c r="T44" s="111" t="str">
        <f aca="false">IFERROR(INDEX('Historical Data'!$AC$2:$AC$9,MATCH($A44,'Historical Data'!$BE$2:$BE$9,0)),"")</f>
        <v/>
      </c>
      <c r="U44" s="111" t="str">
        <f aca="false">IFERROR(INDEX('Historical Data'!$AE$2:$AE$9,MATCH($A44,'Historical Data'!$BE$2:$BE$9,0)),"")</f>
        <v/>
      </c>
      <c r="V44" s="111" t="str">
        <f aca="false">IFERROR(INDEX('Historical Data'!$AH$2:$AH$9,MATCH($A44,'Historical Data'!$BE$2:$BE$9,0)),"")</f>
        <v/>
      </c>
      <c r="W44" s="111" t="str">
        <f aca="false">IFERROR(INDEX('Historical Data'!$BC$2:$BC$9,MATCH($A44,'Historical Data'!$BE$2:$BE$9,0)),"")</f>
        <v/>
      </c>
      <c r="X44" s="110" t="str">
        <f aca="false">IF(B44="","",IF(W44=1,"NR + industry + position",IF(W44=2,"NR + ISO + position",IF(W44=3,"NR + industry",IF(W44=4,"NR + ISO",IF(W44=5,"NR + position",IF(W44=6,"NR only","book baseline"))))))&amp;"  ["&amp;IF(T44=1,"seasoned","unseasoned")&amp;IF(U44=1,", defaulted","")&amp;IF(V44=1,", open","")&amp;"]")</f>
        <v/>
      </c>
    </row>
    <row r="45" customFormat="false" ht="15" hidden="false" customHeight="false" outlineLevel="0" collapsed="false">
      <c r="A45" s="110" t="n">
        <v>41</v>
      </c>
      <c r="B45" s="111" t="str">
        <f aca="false">IFERROR(INDEX('Historical Data'!$A$2:$A$9,MATCH($A45,'Historical Data'!$BE$2:$BE$9,0)),"")</f>
        <v/>
      </c>
      <c r="C45" s="111" t="str">
        <f aca="false">IFERROR(INDEX('Historical Data'!$B$2:$B$9,MATCH($A45,'Historical Data'!$BE$2:$BE$9,0)),"")</f>
        <v/>
      </c>
      <c r="D45" s="111" t="str">
        <f aca="false">IFERROR(INDEX('Historical Data'!$D$2:$D$9,MATCH($A45,'Historical Data'!$BE$2:$BE$9,0)),"")</f>
        <v/>
      </c>
      <c r="E45" s="112" t="str">
        <f aca="false">IFERROR(INDEX('Historical Data'!$E$2:$E$9,MATCH($A45,'Historical Data'!$BE$2:$BE$9,0)),"")</f>
        <v/>
      </c>
      <c r="F45" s="111" t="str">
        <f aca="false">IFERROR(INDEX('Historical Data'!$G$2:$G$9,MATCH($A45,'Historical Data'!$BE$2:$BE$9,0)),"")</f>
        <v/>
      </c>
      <c r="G45" s="111" t="str">
        <f aca="false">IFERROR(INDEX('Historical Data'!$Y$2:$Y$9,MATCH($A45,'Historical Data'!$BE$2:$BE$9,0)),"")</f>
        <v/>
      </c>
      <c r="H45" s="111" t="str">
        <f aca="false">IFERROR(INDEX('Historical Data'!$K$2:$K$9,MATCH($A45,'Historical Data'!$BE$2:$BE$9,0)),"")</f>
        <v/>
      </c>
      <c r="I45" s="111" t="str">
        <f aca="false">IFERROR(INDEX('Historical Data'!$J$2:$J$9,MATCH($A45,'Historical Data'!$BE$2:$BE$9,0)),"")</f>
        <v/>
      </c>
      <c r="J45" s="111" t="str">
        <f aca="false">IFERROR(INDEX('Historical Data'!$L$2:$L$9,MATCH($A45,'Historical Data'!$BE$2:$BE$9,0)),"")</f>
        <v/>
      </c>
      <c r="K45" s="113" t="str">
        <f aca="false">IFERROR(INDEX('Historical Data'!$M$2:$M$9,MATCH($A45,'Historical Data'!$BE$2:$BE$9,0)),"")</f>
        <v/>
      </c>
      <c r="L45" s="114" t="str">
        <f aca="false">IFERROR(INDEX('Historical Data'!$N$2:$N$9,MATCH($A45,'Historical Data'!$BE$2:$BE$9,0)),"")</f>
        <v/>
      </c>
      <c r="M45" s="114" t="str">
        <f aca="false">IFERROR(INDEX('Historical Data'!$Q$2:$Q$9,MATCH($A45,'Historical Data'!$BE$2:$BE$9,0)),"")</f>
        <v/>
      </c>
      <c r="N45" s="115" t="str">
        <f aca="false">IFERROR(INDEX('Historical Data'!$S$2:$S$9,MATCH($A45,'Historical Data'!$BE$2:$BE$9,0)),"")</f>
        <v/>
      </c>
      <c r="O45" s="114" t="str">
        <f aca="false">IFERROR(INDEX('Historical Data'!$AJ$2:$AJ$9,MATCH($A45,'Historical Data'!$BE$2:$BE$9,0)),"")</f>
        <v/>
      </c>
      <c r="P45" s="114" t="str">
        <f aca="false">IFERROR(INDEX('Historical Data'!$AK$2:$AK$9,MATCH($A45,'Historical Data'!$BE$2:$BE$9,0)),"")</f>
        <v/>
      </c>
      <c r="Q45" s="111" t="str">
        <f aca="false">IFERROR(INDEX('Historical Data'!$AA$2:$AA$9,MATCH($A45,'Historical Data'!$BE$2:$BE$9,0)),"")</f>
        <v/>
      </c>
      <c r="R45" s="111" t="str">
        <f aca="false">IFERROR(INDEX('Historical Data'!$AB$2:$AB$9,MATCH($A45,'Historical Data'!$BE$2:$BE$9,0)),"")</f>
        <v/>
      </c>
      <c r="S45" s="111" t="str">
        <f aca="false">IFERROR(INDEX('Historical Data'!$AN$2:$AN$9,MATCH($A45,'Historical Data'!$BE$2:$BE$9,0)),"")</f>
        <v/>
      </c>
      <c r="T45" s="111" t="str">
        <f aca="false">IFERROR(INDEX('Historical Data'!$AC$2:$AC$9,MATCH($A45,'Historical Data'!$BE$2:$BE$9,0)),"")</f>
        <v/>
      </c>
      <c r="U45" s="111" t="str">
        <f aca="false">IFERROR(INDEX('Historical Data'!$AE$2:$AE$9,MATCH($A45,'Historical Data'!$BE$2:$BE$9,0)),"")</f>
        <v/>
      </c>
      <c r="V45" s="111" t="str">
        <f aca="false">IFERROR(INDEX('Historical Data'!$AH$2:$AH$9,MATCH($A45,'Historical Data'!$BE$2:$BE$9,0)),"")</f>
        <v/>
      </c>
      <c r="W45" s="111" t="str">
        <f aca="false">IFERROR(INDEX('Historical Data'!$BC$2:$BC$9,MATCH($A45,'Historical Data'!$BE$2:$BE$9,0)),"")</f>
        <v/>
      </c>
      <c r="X45" s="110" t="str">
        <f aca="false">IF(B45="","",IF(W45=1,"NR + industry + position",IF(W45=2,"NR + ISO + position",IF(W45=3,"NR + industry",IF(W45=4,"NR + ISO",IF(W45=5,"NR + position",IF(W45=6,"NR only","book baseline"))))))&amp;"  ["&amp;IF(T45=1,"seasoned","unseasoned")&amp;IF(U45=1,", defaulted","")&amp;IF(V45=1,", open","")&amp;"]")</f>
        <v/>
      </c>
    </row>
    <row r="46" customFormat="false" ht="15" hidden="false" customHeight="false" outlineLevel="0" collapsed="false">
      <c r="A46" s="110" t="n">
        <v>42</v>
      </c>
      <c r="B46" s="111" t="str">
        <f aca="false">IFERROR(INDEX('Historical Data'!$A$2:$A$9,MATCH($A46,'Historical Data'!$BE$2:$BE$9,0)),"")</f>
        <v/>
      </c>
      <c r="C46" s="111" t="str">
        <f aca="false">IFERROR(INDEX('Historical Data'!$B$2:$B$9,MATCH($A46,'Historical Data'!$BE$2:$BE$9,0)),"")</f>
        <v/>
      </c>
      <c r="D46" s="111" t="str">
        <f aca="false">IFERROR(INDEX('Historical Data'!$D$2:$D$9,MATCH($A46,'Historical Data'!$BE$2:$BE$9,0)),"")</f>
        <v/>
      </c>
      <c r="E46" s="112" t="str">
        <f aca="false">IFERROR(INDEX('Historical Data'!$E$2:$E$9,MATCH($A46,'Historical Data'!$BE$2:$BE$9,0)),"")</f>
        <v/>
      </c>
      <c r="F46" s="111" t="str">
        <f aca="false">IFERROR(INDEX('Historical Data'!$G$2:$G$9,MATCH($A46,'Historical Data'!$BE$2:$BE$9,0)),"")</f>
        <v/>
      </c>
      <c r="G46" s="111" t="str">
        <f aca="false">IFERROR(INDEX('Historical Data'!$Y$2:$Y$9,MATCH($A46,'Historical Data'!$BE$2:$BE$9,0)),"")</f>
        <v/>
      </c>
      <c r="H46" s="111" t="str">
        <f aca="false">IFERROR(INDEX('Historical Data'!$K$2:$K$9,MATCH($A46,'Historical Data'!$BE$2:$BE$9,0)),"")</f>
        <v/>
      </c>
      <c r="I46" s="111" t="str">
        <f aca="false">IFERROR(INDEX('Historical Data'!$J$2:$J$9,MATCH($A46,'Historical Data'!$BE$2:$BE$9,0)),"")</f>
        <v/>
      </c>
      <c r="J46" s="111" t="str">
        <f aca="false">IFERROR(INDEX('Historical Data'!$L$2:$L$9,MATCH($A46,'Historical Data'!$BE$2:$BE$9,0)),"")</f>
        <v/>
      </c>
      <c r="K46" s="113" t="str">
        <f aca="false">IFERROR(INDEX('Historical Data'!$M$2:$M$9,MATCH($A46,'Historical Data'!$BE$2:$BE$9,0)),"")</f>
        <v/>
      </c>
      <c r="L46" s="114" t="str">
        <f aca="false">IFERROR(INDEX('Historical Data'!$N$2:$N$9,MATCH($A46,'Historical Data'!$BE$2:$BE$9,0)),"")</f>
        <v/>
      </c>
      <c r="M46" s="114" t="str">
        <f aca="false">IFERROR(INDEX('Historical Data'!$Q$2:$Q$9,MATCH($A46,'Historical Data'!$BE$2:$BE$9,0)),"")</f>
        <v/>
      </c>
      <c r="N46" s="115" t="str">
        <f aca="false">IFERROR(INDEX('Historical Data'!$S$2:$S$9,MATCH($A46,'Historical Data'!$BE$2:$BE$9,0)),"")</f>
        <v/>
      </c>
      <c r="O46" s="114" t="str">
        <f aca="false">IFERROR(INDEX('Historical Data'!$AJ$2:$AJ$9,MATCH($A46,'Historical Data'!$BE$2:$BE$9,0)),"")</f>
        <v/>
      </c>
      <c r="P46" s="114" t="str">
        <f aca="false">IFERROR(INDEX('Historical Data'!$AK$2:$AK$9,MATCH($A46,'Historical Data'!$BE$2:$BE$9,0)),"")</f>
        <v/>
      </c>
      <c r="Q46" s="111" t="str">
        <f aca="false">IFERROR(INDEX('Historical Data'!$AA$2:$AA$9,MATCH($A46,'Historical Data'!$BE$2:$BE$9,0)),"")</f>
        <v/>
      </c>
      <c r="R46" s="111" t="str">
        <f aca="false">IFERROR(INDEX('Historical Data'!$AB$2:$AB$9,MATCH($A46,'Historical Data'!$BE$2:$BE$9,0)),"")</f>
        <v/>
      </c>
      <c r="S46" s="111" t="str">
        <f aca="false">IFERROR(INDEX('Historical Data'!$AN$2:$AN$9,MATCH($A46,'Historical Data'!$BE$2:$BE$9,0)),"")</f>
        <v/>
      </c>
      <c r="T46" s="111" t="str">
        <f aca="false">IFERROR(INDEX('Historical Data'!$AC$2:$AC$9,MATCH($A46,'Historical Data'!$BE$2:$BE$9,0)),"")</f>
        <v/>
      </c>
      <c r="U46" s="111" t="str">
        <f aca="false">IFERROR(INDEX('Historical Data'!$AE$2:$AE$9,MATCH($A46,'Historical Data'!$BE$2:$BE$9,0)),"")</f>
        <v/>
      </c>
      <c r="V46" s="111" t="str">
        <f aca="false">IFERROR(INDEX('Historical Data'!$AH$2:$AH$9,MATCH($A46,'Historical Data'!$BE$2:$BE$9,0)),"")</f>
        <v/>
      </c>
      <c r="W46" s="111" t="str">
        <f aca="false">IFERROR(INDEX('Historical Data'!$BC$2:$BC$9,MATCH($A46,'Historical Data'!$BE$2:$BE$9,0)),"")</f>
        <v/>
      </c>
      <c r="X46" s="110" t="str">
        <f aca="false">IF(B46="","",IF(W46=1,"NR + industry + position",IF(W46=2,"NR + ISO + position",IF(W46=3,"NR + industry",IF(W46=4,"NR + ISO",IF(W46=5,"NR + position",IF(W46=6,"NR only","book baseline"))))))&amp;"  ["&amp;IF(T46=1,"seasoned","unseasoned")&amp;IF(U46=1,", defaulted","")&amp;IF(V46=1,", open","")&amp;"]")</f>
        <v/>
      </c>
    </row>
    <row r="47" customFormat="false" ht="15" hidden="false" customHeight="false" outlineLevel="0" collapsed="false">
      <c r="A47" s="110" t="n">
        <v>43</v>
      </c>
      <c r="B47" s="111" t="str">
        <f aca="false">IFERROR(INDEX('Historical Data'!$A$2:$A$9,MATCH($A47,'Historical Data'!$BE$2:$BE$9,0)),"")</f>
        <v/>
      </c>
      <c r="C47" s="111" t="str">
        <f aca="false">IFERROR(INDEX('Historical Data'!$B$2:$B$9,MATCH($A47,'Historical Data'!$BE$2:$BE$9,0)),"")</f>
        <v/>
      </c>
      <c r="D47" s="111" t="str">
        <f aca="false">IFERROR(INDEX('Historical Data'!$D$2:$D$9,MATCH($A47,'Historical Data'!$BE$2:$BE$9,0)),"")</f>
        <v/>
      </c>
      <c r="E47" s="112" t="str">
        <f aca="false">IFERROR(INDEX('Historical Data'!$E$2:$E$9,MATCH($A47,'Historical Data'!$BE$2:$BE$9,0)),"")</f>
        <v/>
      </c>
      <c r="F47" s="111" t="str">
        <f aca="false">IFERROR(INDEX('Historical Data'!$G$2:$G$9,MATCH($A47,'Historical Data'!$BE$2:$BE$9,0)),"")</f>
        <v/>
      </c>
      <c r="G47" s="111" t="str">
        <f aca="false">IFERROR(INDEX('Historical Data'!$Y$2:$Y$9,MATCH($A47,'Historical Data'!$BE$2:$BE$9,0)),"")</f>
        <v/>
      </c>
      <c r="H47" s="111" t="str">
        <f aca="false">IFERROR(INDEX('Historical Data'!$K$2:$K$9,MATCH($A47,'Historical Data'!$BE$2:$BE$9,0)),"")</f>
        <v/>
      </c>
      <c r="I47" s="111" t="str">
        <f aca="false">IFERROR(INDEX('Historical Data'!$J$2:$J$9,MATCH($A47,'Historical Data'!$BE$2:$BE$9,0)),"")</f>
        <v/>
      </c>
      <c r="J47" s="111" t="str">
        <f aca="false">IFERROR(INDEX('Historical Data'!$L$2:$L$9,MATCH($A47,'Historical Data'!$BE$2:$BE$9,0)),"")</f>
        <v/>
      </c>
      <c r="K47" s="113" t="str">
        <f aca="false">IFERROR(INDEX('Historical Data'!$M$2:$M$9,MATCH($A47,'Historical Data'!$BE$2:$BE$9,0)),"")</f>
        <v/>
      </c>
      <c r="L47" s="114" t="str">
        <f aca="false">IFERROR(INDEX('Historical Data'!$N$2:$N$9,MATCH($A47,'Historical Data'!$BE$2:$BE$9,0)),"")</f>
        <v/>
      </c>
      <c r="M47" s="114" t="str">
        <f aca="false">IFERROR(INDEX('Historical Data'!$Q$2:$Q$9,MATCH($A47,'Historical Data'!$BE$2:$BE$9,0)),"")</f>
        <v/>
      </c>
      <c r="N47" s="115" t="str">
        <f aca="false">IFERROR(INDEX('Historical Data'!$S$2:$S$9,MATCH($A47,'Historical Data'!$BE$2:$BE$9,0)),"")</f>
        <v/>
      </c>
      <c r="O47" s="114" t="str">
        <f aca="false">IFERROR(INDEX('Historical Data'!$AJ$2:$AJ$9,MATCH($A47,'Historical Data'!$BE$2:$BE$9,0)),"")</f>
        <v/>
      </c>
      <c r="P47" s="114" t="str">
        <f aca="false">IFERROR(INDEX('Historical Data'!$AK$2:$AK$9,MATCH($A47,'Historical Data'!$BE$2:$BE$9,0)),"")</f>
        <v/>
      </c>
      <c r="Q47" s="111" t="str">
        <f aca="false">IFERROR(INDEX('Historical Data'!$AA$2:$AA$9,MATCH($A47,'Historical Data'!$BE$2:$BE$9,0)),"")</f>
        <v/>
      </c>
      <c r="R47" s="111" t="str">
        <f aca="false">IFERROR(INDEX('Historical Data'!$AB$2:$AB$9,MATCH($A47,'Historical Data'!$BE$2:$BE$9,0)),"")</f>
        <v/>
      </c>
      <c r="S47" s="111" t="str">
        <f aca="false">IFERROR(INDEX('Historical Data'!$AN$2:$AN$9,MATCH($A47,'Historical Data'!$BE$2:$BE$9,0)),"")</f>
        <v/>
      </c>
      <c r="T47" s="111" t="str">
        <f aca="false">IFERROR(INDEX('Historical Data'!$AC$2:$AC$9,MATCH($A47,'Historical Data'!$BE$2:$BE$9,0)),"")</f>
        <v/>
      </c>
      <c r="U47" s="111" t="str">
        <f aca="false">IFERROR(INDEX('Historical Data'!$AE$2:$AE$9,MATCH($A47,'Historical Data'!$BE$2:$BE$9,0)),"")</f>
        <v/>
      </c>
      <c r="V47" s="111" t="str">
        <f aca="false">IFERROR(INDEX('Historical Data'!$AH$2:$AH$9,MATCH($A47,'Historical Data'!$BE$2:$BE$9,0)),"")</f>
        <v/>
      </c>
      <c r="W47" s="111" t="str">
        <f aca="false">IFERROR(INDEX('Historical Data'!$BC$2:$BC$9,MATCH($A47,'Historical Data'!$BE$2:$BE$9,0)),"")</f>
        <v/>
      </c>
      <c r="X47" s="110" t="str">
        <f aca="false">IF(B47="","",IF(W47=1,"NR + industry + position",IF(W47=2,"NR + ISO + position",IF(W47=3,"NR + industry",IF(W47=4,"NR + ISO",IF(W47=5,"NR + position",IF(W47=6,"NR only","book baseline"))))))&amp;"  ["&amp;IF(T47=1,"seasoned","unseasoned")&amp;IF(U47=1,", defaulted","")&amp;IF(V47=1,", open","")&amp;"]")</f>
        <v/>
      </c>
    </row>
    <row r="48" customFormat="false" ht="15" hidden="false" customHeight="false" outlineLevel="0" collapsed="false">
      <c r="A48" s="110" t="n">
        <v>44</v>
      </c>
      <c r="B48" s="111" t="str">
        <f aca="false">IFERROR(INDEX('Historical Data'!$A$2:$A$9,MATCH($A48,'Historical Data'!$BE$2:$BE$9,0)),"")</f>
        <v/>
      </c>
      <c r="C48" s="111" t="str">
        <f aca="false">IFERROR(INDEX('Historical Data'!$B$2:$B$9,MATCH($A48,'Historical Data'!$BE$2:$BE$9,0)),"")</f>
        <v/>
      </c>
      <c r="D48" s="111" t="str">
        <f aca="false">IFERROR(INDEX('Historical Data'!$D$2:$D$9,MATCH($A48,'Historical Data'!$BE$2:$BE$9,0)),"")</f>
        <v/>
      </c>
      <c r="E48" s="112" t="str">
        <f aca="false">IFERROR(INDEX('Historical Data'!$E$2:$E$9,MATCH($A48,'Historical Data'!$BE$2:$BE$9,0)),"")</f>
        <v/>
      </c>
      <c r="F48" s="111" t="str">
        <f aca="false">IFERROR(INDEX('Historical Data'!$G$2:$G$9,MATCH($A48,'Historical Data'!$BE$2:$BE$9,0)),"")</f>
        <v/>
      </c>
      <c r="G48" s="111" t="str">
        <f aca="false">IFERROR(INDEX('Historical Data'!$Y$2:$Y$9,MATCH($A48,'Historical Data'!$BE$2:$BE$9,0)),"")</f>
        <v/>
      </c>
      <c r="H48" s="111" t="str">
        <f aca="false">IFERROR(INDEX('Historical Data'!$K$2:$K$9,MATCH($A48,'Historical Data'!$BE$2:$BE$9,0)),"")</f>
        <v/>
      </c>
      <c r="I48" s="111" t="str">
        <f aca="false">IFERROR(INDEX('Historical Data'!$J$2:$J$9,MATCH($A48,'Historical Data'!$BE$2:$BE$9,0)),"")</f>
        <v/>
      </c>
      <c r="J48" s="111" t="str">
        <f aca="false">IFERROR(INDEX('Historical Data'!$L$2:$L$9,MATCH($A48,'Historical Data'!$BE$2:$BE$9,0)),"")</f>
        <v/>
      </c>
      <c r="K48" s="113" t="str">
        <f aca="false">IFERROR(INDEX('Historical Data'!$M$2:$M$9,MATCH($A48,'Historical Data'!$BE$2:$BE$9,0)),"")</f>
        <v/>
      </c>
      <c r="L48" s="114" t="str">
        <f aca="false">IFERROR(INDEX('Historical Data'!$N$2:$N$9,MATCH($A48,'Historical Data'!$BE$2:$BE$9,0)),"")</f>
        <v/>
      </c>
      <c r="M48" s="114" t="str">
        <f aca="false">IFERROR(INDEX('Historical Data'!$Q$2:$Q$9,MATCH($A48,'Historical Data'!$BE$2:$BE$9,0)),"")</f>
        <v/>
      </c>
      <c r="N48" s="115" t="str">
        <f aca="false">IFERROR(INDEX('Historical Data'!$S$2:$S$9,MATCH($A48,'Historical Data'!$BE$2:$BE$9,0)),"")</f>
        <v/>
      </c>
      <c r="O48" s="114" t="str">
        <f aca="false">IFERROR(INDEX('Historical Data'!$AJ$2:$AJ$9,MATCH($A48,'Historical Data'!$BE$2:$BE$9,0)),"")</f>
        <v/>
      </c>
      <c r="P48" s="114" t="str">
        <f aca="false">IFERROR(INDEX('Historical Data'!$AK$2:$AK$9,MATCH($A48,'Historical Data'!$BE$2:$BE$9,0)),"")</f>
        <v/>
      </c>
      <c r="Q48" s="111" t="str">
        <f aca="false">IFERROR(INDEX('Historical Data'!$AA$2:$AA$9,MATCH($A48,'Historical Data'!$BE$2:$BE$9,0)),"")</f>
        <v/>
      </c>
      <c r="R48" s="111" t="str">
        <f aca="false">IFERROR(INDEX('Historical Data'!$AB$2:$AB$9,MATCH($A48,'Historical Data'!$BE$2:$BE$9,0)),"")</f>
        <v/>
      </c>
      <c r="S48" s="111" t="str">
        <f aca="false">IFERROR(INDEX('Historical Data'!$AN$2:$AN$9,MATCH($A48,'Historical Data'!$BE$2:$BE$9,0)),"")</f>
        <v/>
      </c>
      <c r="T48" s="111" t="str">
        <f aca="false">IFERROR(INDEX('Historical Data'!$AC$2:$AC$9,MATCH($A48,'Historical Data'!$BE$2:$BE$9,0)),"")</f>
        <v/>
      </c>
      <c r="U48" s="111" t="str">
        <f aca="false">IFERROR(INDEX('Historical Data'!$AE$2:$AE$9,MATCH($A48,'Historical Data'!$BE$2:$BE$9,0)),"")</f>
        <v/>
      </c>
      <c r="V48" s="111" t="str">
        <f aca="false">IFERROR(INDEX('Historical Data'!$AH$2:$AH$9,MATCH($A48,'Historical Data'!$BE$2:$BE$9,0)),"")</f>
        <v/>
      </c>
      <c r="W48" s="111" t="str">
        <f aca="false">IFERROR(INDEX('Historical Data'!$BC$2:$BC$9,MATCH($A48,'Historical Data'!$BE$2:$BE$9,0)),"")</f>
        <v/>
      </c>
      <c r="X48" s="110" t="str">
        <f aca="false">IF(B48="","",IF(W48=1,"NR + industry + position",IF(W48=2,"NR + ISO + position",IF(W48=3,"NR + industry",IF(W48=4,"NR + ISO",IF(W48=5,"NR + position",IF(W48=6,"NR only","book baseline"))))))&amp;"  ["&amp;IF(T48=1,"seasoned","unseasoned")&amp;IF(U48=1,", defaulted","")&amp;IF(V48=1,", open","")&amp;"]")</f>
        <v/>
      </c>
    </row>
    <row r="49" customFormat="false" ht="15" hidden="false" customHeight="false" outlineLevel="0" collapsed="false">
      <c r="A49" s="110" t="n">
        <v>45</v>
      </c>
      <c r="B49" s="111" t="str">
        <f aca="false">IFERROR(INDEX('Historical Data'!$A$2:$A$9,MATCH($A49,'Historical Data'!$BE$2:$BE$9,0)),"")</f>
        <v/>
      </c>
      <c r="C49" s="111" t="str">
        <f aca="false">IFERROR(INDEX('Historical Data'!$B$2:$B$9,MATCH($A49,'Historical Data'!$BE$2:$BE$9,0)),"")</f>
        <v/>
      </c>
      <c r="D49" s="111" t="str">
        <f aca="false">IFERROR(INDEX('Historical Data'!$D$2:$D$9,MATCH($A49,'Historical Data'!$BE$2:$BE$9,0)),"")</f>
        <v/>
      </c>
      <c r="E49" s="112" t="str">
        <f aca="false">IFERROR(INDEX('Historical Data'!$E$2:$E$9,MATCH($A49,'Historical Data'!$BE$2:$BE$9,0)),"")</f>
        <v/>
      </c>
      <c r="F49" s="111" t="str">
        <f aca="false">IFERROR(INDEX('Historical Data'!$G$2:$G$9,MATCH($A49,'Historical Data'!$BE$2:$BE$9,0)),"")</f>
        <v/>
      </c>
      <c r="G49" s="111" t="str">
        <f aca="false">IFERROR(INDEX('Historical Data'!$Y$2:$Y$9,MATCH($A49,'Historical Data'!$BE$2:$BE$9,0)),"")</f>
        <v/>
      </c>
      <c r="H49" s="111" t="str">
        <f aca="false">IFERROR(INDEX('Historical Data'!$K$2:$K$9,MATCH($A49,'Historical Data'!$BE$2:$BE$9,0)),"")</f>
        <v/>
      </c>
      <c r="I49" s="111" t="str">
        <f aca="false">IFERROR(INDEX('Historical Data'!$J$2:$J$9,MATCH($A49,'Historical Data'!$BE$2:$BE$9,0)),"")</f>
        <v/>
      </c>
      <c r="J49" s="111" t="str">
        <f aca="false">IFERROR(INDEX('Historical Data'!$L$2:$L$9,MATCH($A49,'Historical Data'!$BE$2:$BE$9,0)),"")</f>
        <v/>
      </c>
      <c r="K49" s="113" t="str">
        <f aca="false">IFERROR(INDEX('Historical Data'!$M$2:$M$9,MATCH($A49,'Historical Data'!$BE$2:$BE$9,0)),"")</f>
        <v/>
      </c>
      <c r="L49" s="114" t="str">
        <f aca="false">IFERROR(INDEX('Historical Data'!$N$2:$N$9,MATCH($A49,'Historical Data'!$BE$2:$BE$9,0)),"")</f>
        <v/>
      </c>
      <c r="M49" s="114" t="str">
        <f aca="false">IFERROR(INDEX('Historical Data'!$Q$2:$Q$9,MATCH($A49,'Historical Data'!$BE$2:$BE$9,0)),"")</f>
        <v/>
      </c>
      <c r="N49" s="115" t="str">
        <f aca="false">IFERROR(INDEX('Historical Data'!$S$2:$S$9,MATCH($A49,'Historical Data'!$BE$2:$BE$9,0)),"")</f>
        <v/>
      </c>
      <c r="O49" s="114" t="str">
        <f aca="false">IFERROR(INDEX('Historical Data'!$AJ$2:$AJ$9,MATCH($A49,'Historical Data'!$BE$2:$BE$9,0)),"")</f>
        <v/>
      </c>
      <c r="P49" s="114" t="str">
        <f aca="false">IFERROR(INDEX('Historical Data'!$AK$2:$AK$9,MATCH($A49,'Historical Data'!$BE$2:$BE$9,0)),"")</f>
        <v/>
      </c>
      <c r="Q49" s="111" t="str">
        <f aca="false">IFERROR(INDEX('Historical Data'!$AA$2:$AA$9,MATCH($A49,'Historical Data'!$BE$2:$BE$9,0)),"")</f>
        <v/>
      </c>
      <c r="R49" s="111" t="str">
        <f aca="false">IFERROR(INDEX('Historical Data'!$AB$2:$AB$9,MATCH($A49,'Historical Data'!$BE$2:$BE$9,0)),"")</f>
        <v/>
      </c>
      <c r="S49" s="111" t="str">
        <f aca="false">IFERROR(INDEX('Historical Data'!$AN$2:$AN$9,MATCH($A49,'Historical Data'!$BE$2:$BE$9,0)),"")</f>
        <v/>
      </c>
      <c r="T49" s="111" t="str">
        <f aca="false">IFERROR(INDEX('Historical Data'!$AC$2:$AC$9,MATCH($A49,'Historical Data'!$BE$2:$BE$9,0)),"")</f>
        <v/>
      </c>
      <c r="U49" s="111" t="str">
        <f aca="false">IFERROR(INDEX('Historical Data'!$AE$2:$AE$9,MATCH($A49,'Historical Data'!$BE$2:$BE$9,0)),"")</f>
        <v/>
      </c>
      <c r="V49" s="111" t="str">
        <f aca="false">IFERROR(INDEX('Historical Data'!$AH$2:$AH$9,MATCH($A49,'Historical Data'!$BE$2:$BE$9,0)),"")</f>
        <v/>
      </c>
      <c r="W49" s="111" t="str">
        <f aca="false">IFERROR(INDEX('Historical Data'!$BC$2:$BC$9,MATCH($A49,'Historical Data'!$BE$2:$BE$9,0)),"")</f>
        <v/>
      </c>
      <c r="X49" s="110" t="str">
        <f aca="false">IF(B49="","",IF(W49=1,"NR + industry + position",IF(W49=2,"NR + ISO + position",IF(W49=3,"NR + industry",IF(W49=4,"NR + ISO",IF(W49=5,"NR + position",IF(W49=6,"NR only","book baseline"))))))&amp;"  ["&amp;IF(T49=1,"seasoned","unseasoned")&amp;IF(U49=1,", defaulted","")&amp;IF(V49=1,", open","")&amp;"]")</f>
        <v/>
      </c>
    </row>
    <row r="50" customFormat="false" ht="15" hidden="false" customHeight="false" outlineLevel="0" collapsed="false">
      <c r="A50" s="110" t="n">
        <v>46</v>
      </c>
      <c r="B50" s="111" t="str">
        <f aca="false">IFERROR(INDEX('Historical Data'!$A$2:$A$9,MATCH($A50,'Historical Data'!$BE$2:$BE$9,0)),"")</f>
        <v/>
      </c>
      <c r="C50" s="111" t="str">
        <f aca="false">IFERROR(INDEX('Historical Data'!$B$2:$B$9,MATCH($A50,'Historical Data'!$BE$2:$BE$9,0)),"")</f>
        <v/>
      </c>
      <c r="D50" s="111" t="str">
        <f aca="false">IFERROR(INDEX('Historical Data'!$D$2:$D$9,MATCH($A50,'Historical Data'!$BE$2:$BE$9,0)),"")</f>
        <v/>
      </c>
      <c r="E50" s="112" t="str">
        <f aca="false">IFERROR(INDEX('Historical Data'!$E$2:$E$9,MATCH($A50,'Historical Data'!$BE$2:$BE$9,0)),"")</f>
        <v/>
      </c>
      <c r="F50" s="111" t="str">
        <f aca="false">IFERROR(INDEX('Historical Data'!$G$2:$G$9,MATCH($A50,'Historical Data'!$BE$2:$BE$9,0)),"")</f>
        <v/>
      </c>
      <c r="G50" s="111" t="str">
        <f aca="false">IFERROR(INDEX('Historical Data'!$Y$2:$Y$9,MATCH($A50,'Historical Data'!$BE$2:$BE$9,0)),"")</f>
        <v/>
      </c>
      <c r="H50" s="111" t="str">
        <f aca="false">IFERROR(INDEX('Historical Data'!$K$2:$K$9,MATCH($A50,'Historical Data'!$BE$2:$BE$9,0)),"")</f>
        <v/>
      </c>
      <c r="I50" s="111" t="str">
        <f aca="false">IFERROR(INDEX('Historical Data'!$J$2:$J$9,MATCH($A50,'Historical Data'!$BE$2:$BE$9,0)),"")</f>
        <v/>
      </c>
      <c r="J50" s="111" t="str">
        <f aca="false">IFERROR(INDEX('Historical Data'!$L$2:$L$9,MATCH($A50,'Historical Data'!$BE$2:$BE$9,0)),"")</f>
        <v/>
      </c>
      <c r="K50" s="113" t="str">
        <f aca="false">IFERROR(INDEX('Historical Data'!$M$2:$M$9,MATCH($A50,'Historical Data'!$BE$2:$BE$9,0)),"")</f>
        <v/>
      </c>
      <c r="L50" s="114" t="str">
        <f aca="false">IFERROR(INDEX('Historical Data'!$N$2:$N$9,MATCH($A50,'Historical Data'!$BE$2:$BE$9,0)),"")</f>
        <v/>
      </c>
      <c r="M50" s="114" t="str">
        <f aca="false">IFERROR(INDEX('Historical Data'!$Q$2:$Q$9,MATCH($A50,'Historical Data'!$BE$2:$BE$9,0)),"")</f>
        <v/>
      </c>
      <c r="N50" s="115" t="str">
        <f aca="false">IFERROR(INDEX('Historical Data'!$S$2:$S$9,MATCH($A50,'Historical Data'!$BE$2:$BE$9,0)),"")</f>
        <v/>
      </c>
      <c r="O50" s="114" t="str">
        <f aca="false">IFERROR(INDEX('Historical Data'!$AJ$2:$AJ$9,MATCH($A50,'Historical Data'!$BE$2:$BE$9,0)),"")</f>
        <v/>
      </c>
      <c r="P50" s="114" t="str">
        <f aca="false">IFERROR(INDEX('Historical Data'!$AK$2:$AK$9,MATCH($A50,'Historical Data'!$BE$2:$BE$9,0)),"")</f>
        <v/>
      </c>
      <c r="Q50" s="111" t="str">
        <f aca="false">IFERROR(INDEX('Historical Data'!$AA$2:$AA$9,MATCH($A50,'Historical Data'!$BE$2:$BE$9,0)),"")</f>
        <v/>
      </c>
      <c r="R50" s="111" t="str">
        <f aca="false">IFERROR(INDEX('Historical Data'!$AB$2:$AB$9,MATCH($A50,'Historical Data'!$BE$2:$BE$9,0)),"")</f>
        <v/>
      </c>
      <c r="S50" s="111" t="str">
        <f aca="false">IFERROR(INDEX('Historical Data'!$AN$2:$AN$9,MATCH($A50,'Historical Data'!$BE$2:$BE$9,0)),"")</f>
        <v/>
      </c>
      <c r="T50" s="111" t="str">
        <f aca="false">IFERROR(INDEX('Historical Data'!$AC$2:$AC$9,MATCH($A50,'Historical Data'!$BE$2:$BE$9,0)),"")</f>
        <v/>
      </c>
      <c r="U50" s="111" t="str">
        <f aca="false">IFERROR(INDEX('Historical Data'!$AE$2:$AE$9,MATCH($A50,'Historical Data'!$BE$2:$BE$9,0)),"")</f>
        <v/>
      </c>
      <c r="V50" s="111" t="str">
        <f aca="false">IFERROR(INDEX('Historical Data'!$AH$2:$AH$9,MATCH($A50,'Historical Data'!$BE$2:$BE$9,0)),"")</f>
        <v/>
      </c>
      <c r="W50" s="111" t="str">
        <f aca="false">IFERROR(INDEX('Historical Data'!$BC$2:$BC$9,MATCH($A50,'Historical Data'!$BE$2:$BE$9,0)),"")</f>
        <v/>
      </c>
      <c r="X50" s="110" t="str">
        <f aca="false">IF(B50="","",IF(W50=1,"NR + industry + position",IF(W50=2,"NR + ISO + position",IF(W50=3,"NR + industry",IF(W50=4,"NR + ISO",IF(W50=5,"NR + position",IF(W50=6,"NR only","book baseline"))))))&amp;"  ["&amp;IF(T50=1,"seasoned","unseasoned")&amp;IF(U50=1,", defaulted","")&amp;IF(V50=1,", open","")&amp;"]")</f>
        <v/>
      </c>
    </row>
    <row r="51" customFormat="false" ht="15" hidden="false" customHeight="false" outlineLevel="0" collapsed="false">
      <c r="A51" s="110" t="n">
        <v>47</v>
      </c>
      <c r="B51" s="111" t="str">
        <f aca="false">IFERROR(INDEX('Historical Data'!$A$2:$A$9,MATCH($A51,'Historical Data'!$BE$2:$BE$9,0)),"")</f>
        <v/>
      </c>
      <c r="C51" s="111" t="str">
        <f aca="false">IFERROR(INDEX('Historical Data'!$B$2:$B$9,MATCH($A51,'Historical Data'!$BE$2:$BE$9,0)),"")</f>
        <v/>
      </c>
      <c r="D51" s="111" t="str">
        <f aca="false">IFERROR(INDEX('Historical Data'!$D$2:$D$9,MATCH($A51,'Historical Data'!$BE$2:$BE$9,0)),"")</f>
        <v/>
      </c>
      <c r="E51" s="112" t="str">
        <f aca="false">IFERROR(INDEX('Historical Data'!$E$2:$E$9,MATCH($A51,'Historical Data'!$BE$2:$BE$9,0)),"")</f>
        <v/>
      </c>
      <c r="F51" s="111" t="str">
        <f aca="false">IFERROR(INDEX('Historical Data'!$G$2:$G$9,MATCH($A51,'Historical Data'!$BE$2:$BE$9,0)),"")</f>
        <v/>
      </c>
      <c r="G51" s="111" t="str">
        <f aca="false">IFERROR(INDEX('Historical Data'!$Y$2:$Y$9,MATCH($A51,'Historical Data'!$BE$2:$BE$9,0)),"")</f>
        <v/>
      </c>
      <c r="H51" s="111" t="str">
        <f aca="false">IFERROR(INDEX('Historical Data'!$K$2:$K$9,MATCH($A51,'Historical Data'!$BE$2:$BE$9,0)),"")</f>
        <v/>
      </c>
      <c r="I51" s="111" t="str">
        <f aca="false">IFERROR(INDEX('Historical Data'!$J$2:$J$9,MATCH($A51,'Historical Data'!$BE$2:$BE$9,0)),"")</f>
        <v/>
      </c>
      <c r="J51" s="111" t="str">
        <f aca="false">IFERROR(INDEX('Historical Data'!$L$2:$L$9,MATCH($A51,'Historical Data'!$BE$2:$BE$9,0)),"")</f>
        <v/>
      </c>
      <c r="K51" s="113" t="str">
        <f aca="false">IFERROR(INDEX('Historical Data'!$M$2:$M$9,MATCH($A51,'Historical Data'!$BE$2:$BE$9,0)),"")</f>
        <v/>
      </c>
      <c r="L51" s="114" t="str">
        <f aca="false">IFERROR(INDEX('Historical Data'!$N$2:$N$9,MATCH($A51,'Historical Data'!$BE$2:$BE$9,0)),"")</f>
        <v/>
      </c>
      <c r="M51" s="114" t="str">
        <f aca="false">IFERROR(INDEX('Historical Data'!$Q$2:$Q$9,MATCH($A51,'Historical Data'!$BE$2:$BE$9,0)),"")</f>
        <v/>
      </c>
      <c r="N51" s="115" t="str">
        <f aca="false">IFERROR(INDEX('Historical Data'!$S$2:$S$9,MATCH($A51,'Historical Data'!$BE$2:$BE$9,0)),"")</f>
        <v/>
      </c>
      <c r="O51" s="114" t="str">
        <f aca="false">IFERROR(INDEX('Historical Data'!$AJ$2:$AJ$9,MATCH($A51,'Historical Data'!$BE$2:$BE$9,0)),"")</f>
        <v/>
      </c>
      <c r="P51" s="114" t="str">
        <f aca="false">IFERROR(INDEX('Historical Data'!$AK$2:$AK$9,MATCH($A51,'Historical Data'!$BE$2:$BE$9,0)),"")</f>
        <v/>
      </c>
      <c r="Q51" s="111" t="str">
        <f aca="false">IFERROR(INDEX('Historical Data'!$AA$2:$AA$9,MATCH($A51,'Historical Data'!$BE$2:$BE$9,0)),"")</f>
        <v/>
      </c>
      <c r="R51" s="111" t="str">
        <f aca="false">IFERROR(INDEX('Historical Data'!$AB$2:$AB$9,MATCH($A51,'Historical Data'!$BE$2:$BE$9,0)),"")</f>
        <v/>
      </c>
      <c r="S51" s="111" t="str">
        <f aca="false">IFERROR(INDEX('Historical Data'!$AN$2:$AN$9,MATCH($A51,'Historical Data'!$BE$2:$BE$9,0)),"")</f>
        <v/>
      </c>
      <c r="T51" s="111" t="str">
        <f aca="false">IFERROR(INDEX('Historical Data'!$AC$2:$AC$9,MATCH($A51,'Historical Data'!$BE$2:$BE$9,0)),"")</f>
        <v/>
      </c>
      <c r="U51" s="111" t="str">
        <f aca="false">IFERROR(INDEX('Historical Data'!$AE$2:$AE$9,MATCH($A51,'Historical Data'!$BE$2:$BE$9,0)),"")</f>
        <v/>
      </c>
      <c r="V51" s="111" t="str">
        <f aca="false">IFERROR(INDEX('Historical Data'!$AH$2:$AH$9,MATCH($A51,'Historical Data'!$BE$2:$BE$9,0)),"")</f>
        <v/>
      </c>
      <c r="W51" s="111" t="str">
        <f aca="false">IFERROR(INDEX('Historical Data'!$BC$2:$BC$9,MATCH($A51,'Historical Data'!$BE$2:$BE$9,0)),"")</f>
        <v/>
      </c>
      <c r="X51" s="110" t="str">
        <f aca="false">IF(B51="","",IF(W51=1,"NR + industry + position",IF(W51=2,"NR + ISO + position",IF(W51=3,"NR + industry",IF(W51=4,"NR + ISO",IF(W51=5,"NR + position",IF(W51=6,"NR only","book baseline"))))))&amp;"  ["&amp;IF(T51=1,"seasoned","unseasoned")&amp;IF(U51=1,", defaulted","")&amp;IF(V51=1,", open","")&amp;"]")</f>
        <v/>
      </c>
    </row>
    <row r="52" customFormat="false" ht="15" hidden="false" customHeight="false" outlineLevel="0" collapsed="false">
      <c r="A52" s="110" t="n">
        <v>48</v>
      </c>
      <c r="B52" s="111" t="str">
        <f aca="false">IFERROR(INDEX('Historical Data'!$A$2:$A$9,MATCH($A52,'Historical Data'!$BE$2:$BE$9,0)),"")</f>
        <v/>
      </c>
      <c r="C52" s="111" t="str">
        <f aca="false">IFERROR(INDEX('Historical Data'!$B$2:$B$9,MATCH($A52,'Historical Data'!$BE$2:$BE$9,0)),"")</f>
        <v/>
      </c>
      <c r="D52" s="111" t="str">
        <f aca="false">IFERROR(INDEX('Historical Data'!$D$2:$D$9,MATCH($A52,'Historical Data'!$BE$2:$BE$9,0)),"")</f>
        <v/>
      </c>
      <c r="E52" s="112" t="str">
        <f aca="false">IFERROR(INDEX('Historical Data'!$E$2:$E$9,MATCH($A52,'Historical Data'!$BE$2:$BE$9,0)),"")</f>
        <v/>
      </c>
      <c r="F52" s="111" t="str">
        <f aca="false">IFERROR(INDEX('Historical Data'!$G$2:$G$9,MATCH($A52,'Historical Data'!$BE$2:$BE$9,0)),"")</f>
        <v/>
      </c>
      <c r="G52" s="111" t="str">
        <f aca="false">IFERROR(INDEX('Historical Data'!$Y$2:$Y$9,MATCH($A52,'Historical Data'!$BE$2:$BE$9,0)),"")</f>
        <v/>
      </c>
      <c r="H52" s="111" t="str">
        <f aca="false">IFERROR(INDEX('Historical Data'!$K$2:$K$9,MATCH($A52,'Historical Data'!$BE$2:$BE$9,0)),"")</f>
        <v/>
      </c>
      <c r="I52" s="111" t="str">
        <f aca="false">IFERROR(INDEX('Historical Data'!$J$2:$J$9,MATCH($A52,'Historical Data'!$BE$2:$BE$9,0)),"")</f>
        <v/>
      </c>
      <c r="J52" s="111" t="str">
        <f aca="false">IFERROR(INDEX('Historical Data'!$L$2:$L$9,MATCH($A52,'Historical Data'!$BE$2:$BE$9,0)),"")</f>
        <v/>
      </c>
      <c r="K52" s="113" t="str">
        <f aca="false">IFERROR(INDEX('Historical Data'!$M$2:$M$9,MATCH($A52,'Historical Data'!$BE$2:$BE$9,0)),"")</f>
        <v/>
      </c>
      <c r="L52" s="114" t="str">
        <f aca="false">IFERROR(INDEX('Historical Data'!$N$2:$N$9,MATCH($A52,'Historical Data'!$BE$2:$BE$9,0)),"")</f>
        <v/>
      </c>
      <c r="M52" s="114" t="str">
        <f aca="false">IFERROR(INDEX('Historical Data'!$Q$2:$Q$9,MATCH($A52,'Historical Data'!$BE$2:$BE$9,0)),"")</f>
        <v/>
      </c>
      <c r="N52" s="115" t="str">
        <f aca="false">IFERROR(INDEX('Historical Data'!$S$2:$S$9,MATCH($A52,'Historical Data'!$BE$2:$BE$9,0)),"")</f>
        <v/>
      </c>
      <c r="O52" s="114" t="str">
        <f aca="false">IFERROR(INDEX('Historical Data'!$AJ$2:$AJ$9,MATCH($A52,'Historical Data'!$BE$2:$BE$9,0)),"")</f>
        <v/>
      </c>
      <c r="P52" s="114" t="str">
        <f aca="false">IFERROR(INDEX('Historical Data'!$AK$2:$AK$9,MATCH($A52,'Historical Data'!$BE$2:$BE$9,0)),"")</f>
        <v/>
      </c>
      <c r="Q52" s="111" t="str">
        <f aca="false">IFERROR(INDEX('Historical Data'!$AA$2:$AA$9,MATCH($A52,'Historical Data'!$BE$2:$BE$9,0)),"")</f>
        <v/>
      </c>
      <c r="R52" s="111" t="str">
        <f aca="false">IFERROR(INDEX('Historical Data'!$AB$2:$AB$9,MATCH($A52,'Historical Data'!$BE$2:$BE$9,0)),"")</f>
        <v/>
      </c>
      <c r="S52" s="111" t="str">
        <f aca="false">IFERROR(INDEX('Historical Data'!$AN$2:$AN$9,MATCH($A52,'Historical Data'!$BE$2:$BE$9,0)),"")</f>
        <v/>
      </c>
      <c r="T52" s="111" t="str">
        <f aca="false">IFERROR(INDEX('Historical Data'!$AC$2:$AC$9,MATCH($A52,'Historical Data'!$BE$2:$BE$9,0)),"")</f>
        <v/>
      </c>
      <c r="U52" s="111" t="str">
        <f aca="false">IFERROR(INDEX('Historical Data'!$AE$2:$AE$9,MATCH($A52,'Historical Data'!$BE$2:$BE$9,0)),"")</f>
        <v/>
      </c>
      <c r="V52" s="111" t="str">
        <f aca="false">IFERROR(INDEX('Historical Data'!$AH$2:$AH$9,MATCH($A52,'Historical Data'!$BE$2:$BE$9,0)),"")</f>
        <v/>
      </c>
      <c r="W52" s="111" t="str">
        <f aca="false">IFERROR(INDEX('Historical Data'!$BC$2:$BC$9,MATCH($A52,'Historical Data'!$BE$2:$BE$9,0)),"")</f>
        <v/>
      </c>
      <c r="X52" s="110" t="str">
        <f aca="false">IF(B52="","",IF(W52=1,"NR + industry + position",IF(W52=2,"NR + ISO + position",IF(W52=3,"NR + industry",IF(W52=4,"NR + ISO",IF(W52=5,"NR + position",IF(W52=6,"NR only","book baseline"))))))&amp;"  ["&amp;IF(T52=1,"seasoned","unseasoned")&amp;IF(U52=1,", defaulted","")&amp;IF(V52=1,", open","")&amp;"]")</f>
        <v/>
      </c>
    </row>
    <row r="53" customFormat="false" ht="15" hidden="false" customHeight="false" outlineLevel="0" collapsed="false">
      <c r="A53" s="110" t="n">
        <v>49</v>
      </c>
      <c r="B53" s="111" t="str">
        <f aca="false">IFERROR(INDEX('Historical Data'!$A$2:$A$9,MATCH($A53,'Historical Data'!$BE$2:$BE$9,0)),"")</f>
        <v/>
      </c>
      <c r="C53" s="111" t="str">
        <f aca="false">IFERROR(INDEX('Historical Data'!$B$2:$B$9,MATCH($A53,'Historical Data'!$BE$2:$BE$9,0)),"")</f>
        <v/>
      </c>
      <c r="D53" s="111" t="str">
        <f aca="false">IFERROR(INDEX('Historical Data'!$D$2:$D$9,MATCH($A53,'Historical Data'!$BE$2:$BE$9,0)),"")</f>
        <v/>
      </c>
      <c r="E53" s="112" t="str">
        <f aca="false">IFERROR(INDEX('Historical Data'!$E$2:$E$9,MATCH($A53,'Historical Data'!$BE$2:$BE$9,0)),"")</f>
        <v/>
      </c>
      <c r="F53" s="111" t="str">
        <f aca="false">IFERROR(INDEX('Historical Data'!$G$2:$G$9,MATCH($A53,'Historical Data'!$BE$2:$BE$9,0)),"")</f>
        <v/>
      </c>
      <c r="G53" s="111" t="str">
        <f aca="false">IFERROR(INDEX('Historical Data'!$Y$2:$Y$9,MATCH($A53,'Historical Data'!$BE$2:$BE$9,0)),"")</f>
        <v/>
      </c>
      <c r="H53" s="111" t="str">
        <f aca="false">IFERROR(INDEX('Historical Data'!$K$2:$K$9,MATCH($A53,'Historical Data'!$BE$2:$BE$9,0)),"")</f>
        <v/>
      </c>
      <c r="I53" s="111" t="str">
        <f aca="false">IFERROR(INDEX('Historical Data'!$J$2:$J$9,MATCH($A53,'Historical Data'!$BE$2:$BE$9,0)),"")</f>
        <v/>
      </c>
      <c r="J53" s="111" t="str">
        <f aca="false">IFERROR(INDEX('Historical Data'!$L$2:$L$9,MATCH($A53,'Historical Data'!$BE$2:$BE$9,0)),"")</f>
        <v/>
      </c>
      <c r="K53" s="113" t="str">
        <f aca="false">IFERROR(INDEX('Historical Data'!$M$2:$M$9,MATCH($A53,'Historical Data'!$BE$2:$BE$9,0)),"")</f>
        <v/>
      </c>
      <c r="L53" s="114" t="str">
        <f aca="false">IFERROR(INDEX('Historical Data'!$N$2:$N$9,MATCH($A53,'Historical Data'!$BE$2:$BE$9,0)),"")</f>
        <v/>
      </c>
      <c r="M53" s="114" t="str">
        <f aca="false">IFERROR(INDEX('Historical Data'!$Q$2:$Q$9,MATCH($A53,'Historical Data'!$BE$2:$BE$9,0)),"")</f>
        <v/>
      </c>
      <c r="N53" s="115" t="str">
        <f aca="false">IFERROR(INDEX('Historical Data'!$S$2:$S$9,MATCH($A53,'Historical Data'!$BE$2:$BE$9,0)),"")</f>
        <v/>
      </c>
      <c r="O53" s="114" t="str">
        <f aca="false">IFERROR(INDEX('Historical Data'!$AJ$2:$AJ$9,MATCH($A53,'Historical Data'!$BE$2:$BE$9,0)),"")</f>
        <v/>
      </c>
      <c r="P53" s="114" t="str">
        <f aca="false">IFERROR(INDEX('Historical Data'!$AK$2:$AK$9,MATCH($A53,'Historical Data'!$BE$2:$BE$9,0)),"")</f>
        <v/>
      </c>
      <c r="Q53" s="111" t="str">
        <f aca="false">IFERROR(INDEX('Historical Data'!$AA$2:$AA$9,MATCH($A53,'Historical Data'!$BE$2:$BE$9,0)),"")</f>
        <v/>
      </c>
      <c r="R53" s="111" t="str">
        <f aca="false">IFERROR(INDEX('Historical Data'!$AB$2:$AB$9,MATCH($A53,'Historical Data'!$BE$2:$BE$9,0)),"")</f>
        <v/>
      </c>
      <c r="S53" s="111" t="str">
        <f aca="false">IFERROR(INDEX('Historical Data'!$AN$2:$AN$9,MATCH($A53,'Historical Data'!$BE$2:$BE$9,0)),"")</f>
        <v/>
      </c>
      <c r="T53" s="111" t="str">
        <f aca="false">IFERROR(INDEX('Historical Data'!$AC$2:$AC$9,MATCH($A53,'Historical Data'!$BE$2:$BE$9,0)),"")</f>
        <v/>
      </c>
      <c r="U53" s="111" t="str">
        <f aca="false">IFERROR(INDEX('Historical Data'!$AE$2:$AE$9,MATCH($A53,'Historical Data'!$BE$2:$BE$9,0)),"")</f>
        <v/>
      </c>
      <c r="V53" s="111" t="str">
        <f aca="false">IFERROR(INDEX('Historical Data'!$AH$2:$AH$9,MATCH($A53,'Historical Data'!$BE$2:$BE$9,0)),"")</f>
        <v/>
      </c>
      <c r="W53" s="111" t="str">
        <f aca="false">IFERROR(INDEX('Historical Data'!$BC$2:$BC$9,MATCH($A53,'Historical Data'!$BE$2:$BE$9,0)),"")</f>
        <v/>
      </c>
      <c r="X53" s="110" t="str">
        <f aca="false">IF(B53="","",IF(W53=1,"NR + industry + position",IF(W53=2,"NR + ISO + position",IF(W53=3,"NR + industry",IF(W53=4,"NR + ISO",IF(W53=5,"NR + position",IF(W53=6,"NR only","book baseline"))))))&amp;"  ["&amp;IF(T53=1,"seasoned","unseasoned")&amp;IF(U53=1,", defaulted","")&amp;IF(V53=1,", open","")&amp;"]")</f>
        <v/>
      </c>
    </row>
    <row r="54" customFormat="false" ht="15" hidden="false" customHeight="false" outlineLevel="0" collapsed="false">
      <c r="A54" s="110" t="n">
        <v>50</v>
      </c>
      <c r="B54" s="111" t="str">
        <f aca="false">IFERROR(INDEX('Historical Data'!$A$2:$A$9,MATCH($A54,'Historical Data'!$BE$2:$BE$9,0)),"")</f>
        <v/>
      </c>
      <c r="C54" s="111" t="str">
        <f aca="false">IFERROR(INDEX('Historical Data'!$B$2:$B$9,MATCH($A54,'Historical Data'!$BE$2:$BE$9,0)),"")</f>
        <v/>
      </c>
      <c r="D54" s="111" t="str">
        <f aca="false">IFERROR(INDEX('Historical Data'!$D$2:$D$9,MATCH($A54,'Historical Data'!$BE$2:$BE$9,0)),"")</f>
        <v/>
      </c>
      <c r="E54" s="112" t="str">
        <f aca="false">IFERROR(INDEX('Historical Data'!$E$2:$E$9,MATCH($A54,'Historical Data'!$BE$2:$BE$9,0)),"")</f>
        <v/>
      </c>
      <c r="F54" s="111" t="str">
        <f aca="false">IFERROR(INDEX('Historical Data'!$G$2:$G$9,MATCH($A54,'Historical Data'!$BE$2:$BE$9,0)),"")</f>
        <v/>
      </c>
      <c r="G54" s="111" t="str">
        <f aca="false">IFERROR(INDEX('Historical Data'!$Y$2:$Y$9,MATCH($A54,'Historical Data'!$BE$2:$BE$9,0)),"")</f>
        <v/>
      </c>
      <c r="H54" s="111" t="str">
        <f aca="false">IFERROR(INDEX('Historical Data'!$K$2:$K$9,MATCH($A54,'Historical Data'!$BE$2:$BE$9,0)),"")</f>
        <v/>
      </c>
      <c r="I54" s="111" t="str">
        <f aca="false">IFERROR(INDEX('Historical Data'!$J$2:$J$9,MATCH($A54,'Historical Data'!$BE$2:$BE$9,0)),"")</f>
        <v/>
      </c>
      <c r="J54" s="111" t="str">
        <f aca="false">IFERROR(INDEX('Historical Data'!$L$2:$L$9,MATCH($A54,'Historical Data'!$BE$2:$BE$9,0)),"")</f>
        <v/>
      </c>
      <c r="K54" s="113" t="str">
        <f aca="false">IFERROR(INDEX('Historical Data'!$M$2:$M$9,MATCH($A54,'Historical Data'!$BE$2:$BE$9,0)),"")</f>
        <v/>
      </c>
      <c r="L54" s="114" t="str">
        <f aca="false">IFERROR(INDEX('Historical Data'!$N$2:$N$9,MATCH($A54,'Historical Data'!$BE$2:$BE$9,0)),"")</f>
        <v/>
      </c>
      <c r="M54" s="114" t="str">
        <f aca="false">IFERROR(INDEX('Historical Data'!$Q$2:$Q$9,MATCH($A54,'Historical Data'!$BE$2:$BE$9,0)),"")</f>
        <v/>
      </c>
      <c r="N54" s="115" t="str">
        <f aca="false">IFERROR(INDEX('Historical Data'!$S$2:$S$9,MATCH($A54,'Historical Data'!$BE$2:$BE$9,0)),"")</f>
        <v/>
      </c>
      <c r="O54" s="114" t="str">
        <f aca="false">IFERROR(INDEX('Historical Data'!$AJ$2:$AJ$9,MATCH($A54,'Historical Data'!$BE$2:$BE$9,0)),"")</f>
        <v/>
      </c>
      <c r="P54" s="114" t="str">
        <f aca="false">IFERROR(INDEX('Historical Data'!$AK$2:$AK$9,MATCH($A54,'Historical Data'!$BE$2:$BE$9,0)),"")</f>
        <v/>
      </c>
      <c r="Q54" s="111" t="str">
        <f aca="false">IFERROR(INDEX('Historical Data'!$AA$2:$AA$9,MATCH($A54,'Historical Data'!$BE$2:$BE$9,0)),"")</f>
        <v/>
      </c>
      <c r="R54" s="111" t="str">
        <f aca="false">IFERROR(INDEX('Historical Data'!$AB$2:$AB$9,MATCH($A54,'Historical Data'!$BE$2:$BE$9,0)),"")</f>
        <v/>
      </c>
      <c r="S54" s="111" t="str">
        <f aca="false">IFERROR(INDEX('Historical Data'!$AN$2:$AN$9,MATCH($A54,'Historical Data'!$BE$2:$BE$9,0)),"")</f>
        <v/>
      </c>
      <c r="T54" s="111" t="str">
        <f aca="false">IFERROR(INDEX('Historical Data'!$AC$2:$AC$9,MATCH($A54,'Historical Data'!$BE$2:$BE$9,0)),"")</f>
        <v/>
      </c>
      <c r="U54" s="111" t="str">
        <f aca="false">IFERROR(INDEX('Historical Data'!$AE$2:$AE$9,MATCH($A54,'Historical Data'!$BE$2:$BE$9,0)),"")</f>
        <v/>
      </c>
      <c r="V54" s="111" t="str">
        <f aca="false">IFERROR(INDEX('Historical Data'!$AH$2:$AH$9,MATCH($A54,'Historical Data'!$BE$2:$BE$9,0)),"")</f>
        <v/>
      </c>
      <c r="W54" s="111" t="str">
        <f aca="false">IFERROR(INDEX('Historical Data'!$BC$2:$BC$9,MATCH($A54,'Historical Data'!$BE$2:$BE$9,0)),"")</f>
        <v/>
      </c>
      <c r="X54" s="110" t="str">
        <f aca="false">IF(B54="","",IF(W54=1,"NR + industry + position",IF(W54=2,"NR + ISO + position",IF(W54=3,"NR + industry",IF(W54=4,"NR + ISO",IF(W54=5,"NR + position",IF(W54=6,"NR only","book baseline"))))))&amp;"  ["&amp;IF(T54=1,"seasoned","unseasoned")&amp;IF(U54=1,", defaulted","")&amp;IF(V54=1,", open","")&amp;"]")</f>
        <v/>
      </c>
    </row>
    <row r="55" customFormat="false" ht="15" hidden="false" customHeight="false" outlineLevel="0" collapsed="false">
      <c r="A55" s="110" t="n">
        <v>51</v>
      </c>
      <c r="B55" s="111" t="str">
        <f aca="false">IFERROR(INDEX('Historical Data'!$A$2:$A$9,MATCH($A55,'Historical Data'!$BE$2:$BE$9,0)),"")</f>
        <v/>
      </c>
      <c r="C55" s="111" t="str">
        <f aca="false">IFERROR(INDEX('Historical Data'!$B$2:$B$9,MATCH($A55,'Historical Data'!$BE$2:$BE$9,0)),"")</f>
        <v/>
      </c>
      <c r="D55" s="111" t="str">
        <f aca="false">IFERROR(INDEX('Historical Data'!$D$2:$D$9,MATCH($A55,'Historical Data'!$BE$2:$BE$9,0)),"")</f>
        <v/>
      </c>
      <c r="E55" s="112" t="str">
        <f aca="false">IFERROR(INDEX('Historical Data'!$E$2:$E$9,MATCH($A55,'Historical Data'!$BE$2:$BE$9,0)),"")</f>
        <v/>
      </c>
      <c r="F55" s="111" t="str">
        <f aca="false">IFERROR(INDEX('Historical Data'!$G$2:$G$9,MATCH($A55,'Historical Data'!$BE$2:$BE$9,0)),"")</f>
        <v/>
      </c>
      <c r="G55" s="111" t="str">
        <f aca="false">IFERROR(INDEX('Historical Data'!$Y$2:$Y$9,MATCH($A55,'Historical Data'!$BE$2:$BE$9,0)),"")</f>
        <v/>
      </c>
      <c r="H55" s="111" t="str">
        <f aca="false">IFERROR(INDEX('Historical Data'!$K$2:$K$9,MATCH($A55,'Historical Data'!$BE$2:$BE$9,0)),"")</f>
        <v/>
      </c>
      <c r="I55" s="111" t="str">
        <f aca="false">IFERROR(INDEX('Historical Data'!$J$2:$J$9,MATCH($A55,'Historical Data'!$BE$2:$BE$9,0)),"")</f>
        <v/>
      </c>
      <c r="J55" s="111" t="str">
        <f aca="false">IFERROR(INDEX('Historical Data'!$L$2:$L$9,MATCH($A55,'Historical Data'!$BE$2:$BE$9,0)),"")</f>
        <v/>
      </c>
      <c r="K55" s="113" t="str">
        <f aca="false">IFERROR(INDEX('Historical Data'!$M$2:$M$9,MATCH($A55,'Historical Data'!$BE$2:$BE$9,0)),"")</f>
        <v/>
      </c>
      <c r="L55" s="114" t="str">
        <f aca="false">IFERROR(INDEX('Historical Data'!$N$2:$N$9,MATCH($A55,'Historical Data'!$BE$2:$BE$9,0)),"")</f>
        <v/>
      </c>
      <c r="M55" s="114" t="str">
        <f aca="false">IFERROR(INDEX('Historical Data'!$Q$2:$Q$9,MATCH($A55,'Historical Data'!$BE$2:$BE$9,0)),"")</f>
        <v/>
      </c>
      <c r="N55" s="115" t="str">
        <f aca="false">IFERROR(INDEX('Historical Data'!$S$2:$S$9,MATCH($A55,'Historical Data'!$BE$2:$BE$9,0)),"")</f>
        <v/>
      </c>
      <c r="O55" s="114" t="str">
        <f aca="false">IFERROR(INDEX('Historical Data'!$AJ$2:$AJ$9,MATCH($A55,'Historical Data'!$BE$2:$BE$9,0)),"")</f>
        <v/>
      </c>
      <c r="P55" s="114" t="str">
        <f aca="false">IFERROR(INDEX('Historical Data'!$AK$2:$AK$9,MATCH($A55,'Historical Data'!$BE$2:$BE$9,0)),"")</f>
        <v/>
      </c>
      <c r="Q55" s="111" t="str">
        <f aca="false">IFERROR(INDEX('Historical Data'!$AA$2:$AA$9,MATCH($A55,'Historical Data'!$BE$2:$BE$9,0)),"")</f>
        <v/>
      </c>
      <c r="R55" s="111" t="str">
        <f aca="false">IFERROR(INDEX('Historical Data'!$AB$2:$AB$9,MATCH($A55,'Historical Data'!$BE$2:$BE$9,0)),"")</f>
        <v/>
      </c>
      <c r="S55" s="111" t="str">
        <f aca="false">IFERROR(INDEX('Historical Data'!$AN$2:$AN$9,MATCH($A55,'Historical Data'!$BE$2:$BE$9,0)),"")</f>
        <v/>
      </c>
      <c r="T55" s="111" t="str">
        <f aca="false">IFERROR(INDEX('Historical Data'!$AC$2:$AC$9,MATCH($A55,'Historical Data'!$BE$2:$BE$9,0)),"")</f>
        <v/>
      </c>
      <c r="U55" s="111" t="str">
        <f aca="false">IFERROR(INDEX('Historical Data'!$AE$2:$AE$9,MATCH($A55,'Historical Data'!$BE$2:$BE$9,0)),"")</f>
        <v/>
      </c>
      <c r="V55" s="111" t="str">
        <f aca="false">IFERROR(INDEX('Historical Data'!$AH$2:$AH$9,MATCH($A55,'Historical Data'!$BE$2:$BE$9,0)),"")</f>
        <v/>
      </c>
      <c r="W55" s="111" t="str">
        <f aca="false">IFERROR(INDEX('Historical Data'!$BC$2:$BC$9,MATCH($A55,'Historical Data'!$BE$2:$BE$9,0)),"")</f>
        <v/>
      </c>
      <c r="X55" s="110" t="str">
        <f aca="false">IF(B55="","",IF(W55=1,"NR + industry + position",IF(W55=2,"NR + ISO + position",IF(W55=3,"NR + industry",IF(W55=4,"NR + ISO",IF(W55=5,"NR + position",IF(W55=6,"NR only","book baseline"))))))&amp;"  ["&amp;IF(T55=1,"seasoned","unseasoned")&amp;IF(U55=1,", defaulted","")&amp;IF(V55=1,", open","")&amp;"]")</f>
        <v/>
      </c>
    </row>
    <row r="56" customFormat="false" ht="15" hidden="false" customHeight="false" outlineLevel="0" collapsed="false">
      <c r="A56" s="110" t="n">
        <v>52</v>
      </c>
      <c r="B56" s="111" t="str">
        <f aca="false">IFERROR(INDEX('Historical Data'!$A$2:$A$9,MATCH($A56,'Historical Data'!$BE$2:$BE$9,0)),"")</f>
        <v/>
      </c>
      <c r="C56" s="111" t="str">
        <f aca="false">IFERROR(INDEX('Historical Data'!$B$2:$B$9,MATCH($A56,'Historical Data'!$BE$2:$BE$9,0)),"")</f>
        <v/>
      </c>
      <c r="D56" s="111" t="str">
        <f aca="false">IFERROR(INDEX('Historical Data'!$D$2:$D$9,MATCH($A56,'Historical Data'!$BE$2:$BE$9,0)),"")</f>
        <v/>
      </c>
      <c r="E56" s="112" t="str">
        <f aca="false">IFERROR(INDEX('Historical Data'!$E$2:$E$9,MATCH($A56,'Historical Data'!$BE$2:$BE$9,0)),"")</f>
        <v/>
      </c>
      <c r="F56" s="111" t="str">
        <f aca="false">IFERROR(INDEX('Historical Data'!$G$2:$G$9,MATCH($A56,'Historical Data'!$BE$2:$BE$9,0)),"")</f>
        <v/>
      </c>
      <c r="G56" s="111" t="str">
        <f aca="false">IFERROR(INDEX('Historical Data'!$Y$2:$Y$9,MATCH($A56,'Historical Data'!$BE$2:$BE$9,0)),"")</f>
        <v/>
      </c>
      <c r="H56" s="111" t="str">
        <f aca="false">IFERROR(INDEX('Historical Data'!$K$2:$K$9,MATCH($A56,'Historical Data'!$BE$2:$BE$9,0)),"")</f>
        <v/>
      </c>
      <c r="I56" s="111" t="str">
        <f aca="false">IFERROR(INDEX('Historical Data'!$J$2:$J$9,MATCH($A56,'Historical Data'!$BE$2:$BE$9,0)),"")</f>
        <v/>
      </c>
      <c r="J56" s="111" t="str">
        <f aca="false">IFERROR(INDEX('Historical Data'!$L$2:$L$9,MATCH($A56,'Historical Data'!$BE$2:$BE$9,0)),"")</f>
        <v/>
      </c>
      <c r="K56" s="113" t="str">
        <f aca="false">IFERROR(INDEX('Historical Data'!$M$2:$M$9,MATCH($A56,'Historical Data'!$BE$2:$BE$9,0)),"")</f>
        <v/>
      </c>
      <c r="L56" s="114" t="str">
        <f aca="false">IFERROR(INDEX('Historical Data'!$N$2:$N$9,MATCH($A56,'Historical Data'!$BE$2:$BE$9,0)),"")</f>
        <v/>
      </c>
      <c r="M56" s="114" t="str">
        <f aca="false">IFERROR(INDEX('Historical Data'!$Q$2:$Q$9,MATCH($A56,'Historical Data'!$BE$2:$BE$9,0)),"")</f>
        <v/>
      </c>
      <c r="N56" s="115" t="str">
        <f aca="false">IFERROR(INDEX('Historical Data'!$S$2:$S$9,MATCH($A56,'Historical Data'!$BE$2:$BE$9,0)),"")</f>
        <v/>
      </c>
      <c r="O56" s="114" t="str">
        <f aca="false">IFERROR(INDEX('Historical Data'!$AJ$2:$AJ$9,MATCH($A56,'Historical Data'!$BE$2:$BE$9,0)),"")</f>
        <v/>
      </c>
      <c r="P56" s="114" t="str">
        <f aca="false">IFERROR(INDEX('Historical Data'!$AK$2:$AK$9,MATCH($A56,'Historical Data'!$BE$2:$BE$9,0)),"")</f>
        <v/>
      </c>
      <c r="Q56" s="111" t="str">
        <f aca="false">IFERROR(INDEX('Historical Data'!$AA$2:$AA$9,MATCH($A56,'Historical Data'!$BE$2:$BE$9,0)),"")</f>
        <v/>
      </c>
      <c r="R56" s="111" t="str">
        <f aca="false">IFERROR(INDEX('Historical Data'!$AB$2:$AB$9,MATCH($A56,'Historical Data'!$BE$2:$BE$9,0)),"")</f>
        <v/>
      </c>
      <c r="S56" s="111" t="str">
        <f aca="false">IFERROR(INDEX('Historical Data'!$AN$2:$AN$9,MATCH($A56,'Historical Data'!$BE$2:$BE$9,0)),"")</f>
        <v/>
      </c>
      <c r="T56" s="111" t="str">
        <f aca="false">IFERROR(INDEX('Historical Data'!$AC$2:$AC$9,MATCH($A56,'Historical Data'!$BE$2:$BE$9,0)),"")</f>
        <v/>
      </c>
      <c r="U56" s="111" t="str">
        <f aca="false">IFERROR(INDEX('Historical Data'!$AE$2:$AE$9,MATCH($A56,'Historical Data'!$BE$2:$BE$9,0)),"")</f>
        <v/>
      </c>
      <c r="V56" s="111" t="str">
        <f aca="false">IFERROR(INDEX('Historical Data'!$AH$2:$AH$9,MATCH($A56,'Historical Data'!$BE$2:$BE$9,0)),"")</f>
        <v/>
      </c>
      <c r="W56" s="111" t="str">
        <f aca="false">IFERROR(INDEX('Historical Data'!$BC$2:$BC$9,MATCH($A56,'Historical Data'!$BE$2:$BE$9,0)),"")</f>
        <v/>
      </c>
      <c r="X56" s="110" t="str">
        <f aca="false">IF(B56="","",IF(W56=1,"NR + industry + position",IF(W56=2,"NR + ISO + position",IF(W56=3,"NR + industry",IF(W56=4,"NR + ISO",IF(W56=5,"NR + position",IF(W56=6,"NR only","book baseline"))))))&amp;"  ["&amp;IF(T56=1,"seasoned","unseasoned")&amp;IF(U56=1,", defaulted","")&amp;IF(V56=1,", open","")&amp;"]")</f>
        <v/>
      </c>
    </row>
    <row r="57" customFormat="false" ht="15" hidden="false" customHeight="false" outlineLevel="0" collapsed="false">
      <c r="A57" s="110" t="n">
        <v>53</v>
      </c>
      <c r="B57" s="111" t="str">
        <f aca="false">IFERROR(INDEX('Historical Data'!$A$2:$A$9,MATCH($A57,'Historical Data'!$BE$2:$BE$9,0)),"")</f>
        <v/>
      </c>
      <c r="C57" s="111" t="str">
        <f aca="false">IFERROR(INDEX('Historical Data'!$B$2:$B$9,MATCH($A57,'Historical Data'!$BE$2:$BE$9,0)),"")</f>
        <v/>
      </c>
      <c r="D57" s="111" t="str">
        <f aca="false">IFERROR(INDEX('Historical Data'!$D$2:$D$9,MATCH($A57,'Historical Data'!$BE$2:$BE$9,0)),"")</f>
        <v/>
      </c>
      <c r="E57" s="112" t="str">
        <f aca="false">IFERROR(INDEX('Historical Data'!$E$2:$E$9,MATCH($A57,'Historical Data'!$BE$2:$BE$9,0)),"")</f>
        <v/>
      </c>
      <c r="F57" s="111" t="str">
        <f aca="false">IFERROR(INDEX('Historical Data'!$G$2:$G$9,MATCH($A57,'Historical Data'!$BE$2:$BE$9,0)),"")</f>
        <v/>
      </c>
      <c r="G57" s="111" t="str">
        <f aca="false">IFERROR(INDEX('Historical Data'!$Y$2:$Y$9,MATCH($A57,'Historical Data'!$BE$2:$BE$9,0)),"")</f>
        <v/>
      </c>
      <c r="H57" s="111" t="str">
        <f aca="false">IFERROR(INDEX('Historical Data'!$K$2:$K$9,MATCH($A57,'Historical Data'!$BE$2:$BE$9,0)),"")</f>
        <v/>
      </c>
      <c r="I57" s="111" t="str">
        <f aca="false">IFERROR(INDEX('Historical Data'!$J$2:$J$9,MATCH($A57,'Historical Data'!$BE$2:$BE$9,0)),"")</f>
        <v/>
      </c>
      <c r="J57" s="111" t="str">
        <f aca="false">IFERROR(INDEX('Historical Data'!$L$2:$L$9,MATCH($A57,'Historical Data'!$BE$2:$BE$9,0)),"")</f>
        <v/>
      </c>
      <c r="K57" s="113" t="str">
        <f aca="false">IFERROR(INDEX('Historical Data'!$M$2:$M$9,MATCH($A57,'Historical Data'!$BE$2:$BE$9,0)),"")</f>
        <v/>
      </c>
      <c r="L57" s="114" t="str">
        <f aca="false">IFERROR(INDEX('Historical Data'!$N$2:$N$9,MATCH($A57,'Historical Data'!$BE$2:$BE$9,0)),"")</f>
        <v/>
      </c>
      <c r="M57" s="114" t="str">
        <f aca="false">IFERROR(INDEX('Historical Data'!$Q$2:$Q$9,MATCH($A57,'Historical Data'!$BE$2:$BE$9,0)),"")</f>
        <v/>
      </c>
      <c r="N57" s="115" t="str">
        <f aca="false">IFERROR(INDEX('Historical Data'!$S$2:$S$9,MATCH($A57,'Historical Data'!$BE$2:$BE$9,0)),"")</f>
        <v/>
      </c>
      <c r="O57" s="114" t="str">
        <f aca="false">IFERROR(INDEX('Historical Data'!$AJ$2:$AJ$9,MATCH($A57,'Historical Data'!$BE$2:$BE$9,0)),"")</f>
        <v/>
      </c>
      <c r="P57" s="114" t="str">
        <f aca="false">IFERROR(INDEX('Historical Data'!$AK$2:$AK$9,MATCH($A57,'Historical Data'!$BE$2:$BE$9,0)),"")</f>
        <v/>
      </c>
      <c r="Q57" s="111" t="str">
        <f aca="false">IFERROR(INDEX('Historical Data'!$AA$2:$AA$9,MATCH($A57,'Historical Data'!$BE$2:$BE$9,0)),"")</f>
        <v/>
      </c>
      <c r="R57" s="111" t="str">
        <f aca="false">IFERROR(INDEX('Historical Data'!$AB$2:$AB$9,MATCH($A57,'Historical Data'!$BE$2:$BE$9,0)),"")</f>
        <v/>
      </c>
      <c r="S57" s="111" t="str">
        <f aca="false">IFERROR(INDEX('Historical Data'!$AN$2:$AN$9,MATCH($A57,'Historical Data'!$BE$2:$BE$9,0)),"")</f>
        <v/>
      </c>
      <c r="T57" s="111" t="str">
        <f aca="false">IFERROR(INDEX('Historical Data'!$AC$2:$AC$9,MATCH($A57,'Historical Data'!$BE$2:$BE$9,0)),"")</f>
        <v/>
      </c>
      <c r="U57" s="111" t="str">
        <f aca="false">IFERROR(INDEX('Historical Data'!$AE$2:$AE$9,MATCH($A57,'Historical Data'!$BE$2:$BE$9,0)),"")</f>
        <v/>
      </c>
      <c r="V57" s="111" t="str">
        <f aca="false">IFERROR(INDEX('Historical Data'!$AH$2:$AH$9,MATCH($A57,'Historical Data'!$BE$2:$BE$9,0)),"")</f>
        <v/>
      </c>
      <c r="W57" s="111" t="str">
        <f aca="false">IFERROR(INDEX('Historical Data'!$BC$2:$BC$9,MATCH($A57,'Historical Data'!$BE$2:$BE$9,0)),"")</f>
        <v/>
      </c>
      <c r="X57" s="110" t="str">
        <f aca="false">IF(B57="","",IF(W57=1,"NR + industry + position",IF(W57=2,"NR + ISO + position",IF(W57=3,"NR + industry",IF(W57=4,"NR + ISO",IF(W57=5,"NR + position",IF(W57=6,"NR only","book baseline"))))))&amp;"  ["&amp;IF(T57=1,"seasoned","unseasoned")&amp;IF(U57=1,", defaulted","")&amp;IF(V57=1,", open","")&amp;"]")</f>
        <v/>
      </c>
    </row>
    <row r="58" customFormat="false" ht="15" hidden="false" customHeight="false" outlineLevel="0" collapsed="false">
      <c r="A58" s="110" t="n">
        <v>54</v>
      </c>
      <c r="B58" s="111" t="str">
        <f aca="false">IFERROR(INDEX('Historical Data'!$A$2:$A$9,MATCH($A58,'Historical Data'!$BE$2:$BE$9,0)),"")</f>
        <v/>
      </c>
      <c r="C58" s="111" t="str">
        <f aca="false">IFERROR(INDEX('Historical Data'!$B$2:$B$9,MATCH($A58,'Historical Data'!$BE$2:$BE$9,0)),"")</f>
        <v/>
      </c>
      <c r="D58" s="111" t="str">
        <f aca="false">IFERROR(INDEX('Historical Data'!$D$2:$D$9,MATCH($A58,'Historical Data'!$BE$2:$BE$9,0)),"")</f>
        <v/>
      </c>
      <c r="E58" s="112" t="str">
        <f aca="false">IFERROR(INDEX('Historical Data'!$E$2:$E$9,MATCH($A58,'Historical Data'!$BE$2:$BE$9,0)),"")</f>
        <v/>
      </c>
      <c r="F58" s="111" t="str">
        <f aca="false">IFERROR(INDEX('Historical Data'!$G$2:$G$9,MATCH($A58,'Historical Data'!$BE$2:$BE$9,0)),"")</f>
        <v/>
      </c>
      <c r="G58" s="111" t="str">
        <f aca="false">IFERROR(INDEX('Historical Data'!$Y$2:$Y$9,MATCH($A58,'Historical Data'!$BE$2:$BE$9,0)),"")</f>
        <v/>
      </c>
      <c r="H58" s="111" t="str">
        <f aca="false">IFERROR(INDEX('Historical Data'!$K$2:$K$9,MATCH($A58,'Historical Data'!$BE$2:$BE$9,0)),"")</f>
        <v/>
      </c>
      <c r="I58" s="111" t="str">
        <f aca="false">IFERROR(INDEX('Historical Data'!$J$2:$J$9,MATCH($A58,'Historical Data'!$BE$2:$BE$9,0)),"")</f>
        <v/>
      </c>
      <c r="J58" s="111" t="str">
        <f aca="false">IFERROR(INDEX('Historical Data'!$L$2:$L$9,MATCH($A58,'Historical Data'!$BE$2:$BE$9,0)),"")</f>
        <v/>
      </c>
      <c r="K58" s="113" t="str">
        <f aca="false">IFERROR(INDEX('Historical Data'!$M$2:$M$9,MATCH($A58,'Historical Data'!$BE$2:$BE$9,0)),"")</f>
        <v/>
      </c>
      <c r="L58" s="114" t="str">
        <f aca="false">IFERROR(INDEX('Historical Data'!$N$2:$N$9,MATCH($A58,'Historical Data'!$BE$2:$BE$9,0)),"")</f>
        <v/>
      </c>
      <c r="M58" s="114" t="str">
        <f aca="false">IFERROR(INDEX('Historical Data'!$Q$2:$Q$9,MATCH($A58,'Historical Data'!$BE$2:$BE$9,0)),"")</f>
        <v/>
      </c>
      <c r="N58" s="115" t="str">
        <f aca="false">IFERROR(INDEX('Historical Data'!$S$2:$S$9,MATCH($A58,'Historical Data'!$BE$2:$BE$9,0)),"")</f>
        <v/>
      </c>
      <c r="O58" s="114" t="str">
        <f aca="false">IFERROR(INDEX('Historical Data'!$AJ$2:$AJ$9,MATCH($A58,'Historical Data'!$BE$2:$BE$9,0)),"")</f>
        <v/>
      </c>
      <c r="P58" s="114" t="str">
        <f aca="false">IFERROR(INDEX('Historical Data'!$AK$2:$AK$9,MATCH($A58,'Historical Data'!$BE$2:$BE$9,0)),"")</f>
        <v/>
      </c>
      <c r="Q58" s="111" t="str">
        <f aca="false">IFERROR(INDEX('Historical Data'!$AA$2:$AA$9,MATCH($A58,'Historical Data'!$BE$2:$BE$9,0)),"")</f>
        <v/>
      </c>
      <c r="R58" s="111" t="str">
        <f aca="false">IFERROR(INDEX('Historical Data'!$AB$2:$AB$9,MATCH($A58,'Historical Data'!$BE$2:$BE$9,0)),"")</f>
        <v/>
      </c>
      <c r="S58" s="111" t="str">
        <f aca="false">IFERROR(INDEX('Historical Data'!$AN$2:$AN$9,MATCH($A58,'Historical Data'!$BE$2:$BE$9,0)),"")</f>
        <v/>
      </c>
      <c r="T58" s="111" t="str">
        <f aca="false">IFERROR(INDEX('Historical Data'!$AC$2:$AC$9,MATCH($A58,'Historical Data'!$BE$2:$BE$9,0)),"")</f>
        <v/>
      </c>
      <c r="U58" s="111" t="str">
        <f aca="false">IFERROR(INDEX('Historical Data'!$AE$2:$AE$9,MATCH($A58,'Historical Data'!$BE$2:$BE$9,0)),"")</f>
        <v/>
      </c>
      <c r="V58" s="111" t="str">
        <f aca="false">IFERROR(INDEX('Historical Data'!$AH$2:$AH$9,MATCH($A58,'Historical Data'!$BE$2:$BE$9,0)),"")</f>
        <v/>
      </c>
      <c r="W58" s="111" t="str">
        <f aca="false">IFERROR(INDEX('Historical Data'!$BC$2:$BC$9,MATCH($A58,'Historical Data'!$BE$2:$BE$9,0)),"")</f>
        <v/>
      </c>
      <c r="X58" s="110" t="str">
        <f aca="false">IF(B58="","",IF(W58=1,"NR + industry + position",IF(W58=2,"NR + ISO + position",IF(W58=3,"NR + industry",IF(W58=4,"NR + ISO",IF(W58=5,"NR + position",IF(W58=6,"NR only","book baseline"))))))&amp;"  ["&amp;IF(T58=1,"seasoned","unseasoned")&amp;IF(U58=1,", defaulted","")&amp;IF(V58=1,", open","")&amp;"]")</f>
        <v/>
      </c>
    </row>
    <row r="59" customFormat="false" ht="15" hidden="false" customHeight="false" outlineLevel="0" collapsed="false">
      <c r="A59" s="110" t="n">
        <v>55</v>
      </c>
      <c r="B59" s="111" t="str">
        <f aca="false">IFERROR(INDEX('Historical Data'!$A$2:$A$9,MATCH($A59,'Historical Data'!$BE$2:$BE$9,0)),"")</f>
        <v/>
      </c>
      <c r="C59" s="111" t="str">
        <f aca="false">IFERROR(INDEX('Historical Data'!$B$2:$B$9,MATCH($A59,'Historical Data'!$BE$2:$BE$9,0)),"")</f>
        <v/>
      </c>
      <c r="D59" s="111" t="str">
        <f aca="false">IFERROR(INDEX('Historical Data'!$D$2:$D$9,MATCH($A59,'Historical Data'!$BE$2:$BE$9,0)),"")</f>
        <v/>
      </c>
      <c r="E59" s="112" t="str">
        <f aca="false">IFERROR(INDEX('Historical Data'!$E$2:$E$9,MATCH($A59,'Historical Data'!$BE$2:$BE$9,0)),"")</f>
        <v/>
      </c>
      <c r="F59" s="111" t="str">
        <f aca="false">IFERROR(INDEX('Historical Data'!$G$2:$G$9,MATCH($A59,'Historical Data'!$BE$2:$BE$9,0)),"")</f>
        <v/>
      </c>
      <c r="G59" s="111" t="str">
        <f aca="false">IFERROR(INDEX('Historical Data'!$Y$2:$Y$9,MATCH($A59,'Historical Data'!$BE$2:$BE$9,0)),"")</f>
        <v/>
      </c>
      <c r="H59" s="111" t="str">
        <f aca="false">IFERROR(INDEX('Historical Data'!$K$2:$K$9,MATCH($A59,'Historical Data'!$BE$2:$BE$9,0)),"")</f>
        <v/>
      </c>
      <c r="I59" s="111" t="str">
        <f aca="false">IFERROR(INDEX('Historical Data'!$J$2:$J$9,MATCH($A59,'Historical Data'!$BE$2:$BE$9,0)),"")</f>
        <v/>
      </c>
      <c r="J59" s="111" t="str">
        <f aca="false">IFERROR(INDEX('Historical Data'!$L$2:$L$9,MATCH($A59,'Historical Data'!$BE$2:$BE$9,0)),"")</f>
        <v/>
      </c>
      <c r="K59" s="113" t="str">
        <f aca="false">IFERROR(INDEX('Historical Data'!$M$2:$M$9,MATCH($A59,'Historical Data'!$BE$2:$BE$9,0)),"")</f>
        <v/>
      </c>
      <c r="L59" s="114" t="str">
        <f aca="false">IFERROR(INDEX('Historical Data'!$N$2:$N$9,MATCH($A59,'Historical Data'!$BE$2:$BE$9,0)),"")</f>
        <v/>
      </c>
      <c r="M59" s="114" t="str">
        <f aca="false">IFERROR(INDEX('Historical Data'!$Q$2:$Q$9,MATCH($A59,'Historical Data'!$BE$2:$BE$9,0)),"")</f>
        <v/>
      </c>
      <c r="N59" s="115" t="str">
        <f aca="false">IFERROR(INDEX('Historical Data'!$S$2:$S$9,MATCH($A59,'Historical Data'!$BE$2:$BE$9,0)),"")</f>
        <v/>
      </c>
      <c r="O59" s="114" t="str">
        <f aca="false">IFERROR(INDEX('Historical Data'!$AJ$2:$AJ$9,MATCH($A59,'Historical Data'!$BE$2:$BE$9,0)),"")</f>
        <v/>
      </c>
      <c r="P59" s="114" t="str">
        <f aca="false">IFERROR(INDEX('Historical Data'!$AK$2:$AK$9,MATCH($A59,'Historical Data'!$BE$2:$BE$9,0)),"")</f>
        <v/>
      </c>
      <c r="Q59" s="111" t="str">
        <f aca="false">IFERROR(INDEX('Historical Data'!$AA$2:$AA$9,MATCH($A59,'Historical Data'!$BE$2:$BE$9,0)),"")</f>
        <v/>
      </c>
      <c r="R59" s="111" t="str">
        <f aca="false">IFERROR(INDEX('Historical Data'!$AB$2:$AB$9,MATCH($A59,'Historical Data'!$BE$2:$BE$9,0)),"")</f>
        <v/>
      </c>
      <c r="S59" s="111" t="str">
        <f aca="false">IFERROR(INDEX('Historical Data'!$AN$2:$AN$9,MATCH($A59,'Historical Data'!$BE$2:$BE$9,0)),"")</f>
        <v/>
      </c>
      <c r="T59" s="111" t="str">
        <f aca="false">IFERROR(INDEX('Historical Data'!$AC$2:$AC$9,MATCH($A59,'Historical Data'!$BE$2:$BE$9,0)),"")</f>
        <v/>
      </c>
      <c r="U59" s="111" t="str">
        <f aca="false">IFERROR(INDEX('Historical Data'!$AE$2:$AE$9,MATCH($A59,'Historical Data'!$BE$2:$BE$9,0)),"")</f>
        <v/>
      </c>
      <c r="V59" s="111" t="str">
        <f aca="false">IFERROR(INDEX('Historical Data'!$AH$2:$AH$9,MATCH($A59,'Historical Data'!$BE$2:$BE$9,0)),"")</f>
        <v/>
      </c>
      <c r="W59" s="111" t="str">
        <f aca="false">IFERROR(INDEX('Historical Data'!$BC$2:$BC$9,MATCH($A59,'Historical Data'!$BE$2:$BE$9,0)),"")</f>
        <v/>
      </c>
      <c r="X59" s="110" t="str">
        <f aca="false">IF(B59="","",IF(W59=1,"NR + industry + position",IF(W59=2,"NR + ISO + position",IF(W59=3,"NR + industry",IF(W59=4,"NR + ISO",IF(W59=5,"NR + position",IF(W59=6,"NR only","book baseline"))))))&amp;"  ["&amp;IF(T59=1,"seasoned","unseasoned")&amp;IF(U59=1,", defaulted","")&amp;IF(V59=1,", open","")&amp;"]")</f>
        <v/>
      </c>
    </row>
    <row r="60" customFormat="false" ht="15" hidden="false" customHeight="false" outlineLevel="0" collapsed="false">
      <c r="A60" s="110" t="n">
        <v>56</v>
      </c>
      <c r="B60" s="111" t="str">
        <f aca="false">IFERROR(INDEX('Historical Data'!$A$2:$A$9,MATCH($A60,'Historical Data'!$BE$2:$BE$9,0)),"")</f>
        <v/>
      </c>
      <c r="C60" s="111" t="str">
        <f aca="false">IFERROR(INDEX('Historical Data'!$B$2:$B$9,MATCH($A60,'Historical Data'!$BE$2:$BE$9,0)),"")</f>
        <v/>
      </c>
      <c r="D60" s="111" t="str">
        <f aca="false">IFERROR(INDEX('Historical Data'!$D$2:$D$9,MATCH($A60,'Historical Data'!$BE$2:$BE$9,0)),"")</f>
        <v/>
      </c>
      <c r="E60" s="112" t="str">
        <f aca="false">IFERROR(INDEX('Historical Data'!$E$2:$E$9,MATCH($A60,'Historical Data'!$BE$2:$BE$9,0)),"")</f>
        <v/>
      </c>
      <c r="F60" s="111" t="str">
        <f aca="false">IFERROR(INDEX('Historical Data'!$G$2:$G$9,MATCH($A60,'Historical Data'!$BE$2:$BE$9,0)),"")</f>
        <v/>
      </c>
      <c r="G60" s="111" t="str">
        <f aca="false">IFERROR(INDEX('Historical Data'!$Y$2:$Y$9,MATCH($A60,'Historical Data'!$BE$2:$BE$9,0)),"")</f>
        <v/>
      </c>
      <c r="H60" s="111" t="str">
        <f aca="false">IFERROR(INDEX('Historical Data'!$K$2:$K$9,MATCH($A60,'Historical Data'!$BE$2:$BE$9,0)),"")</f>
        <v/>
      </c>
      <c r="I60" s="111" t="str">
        <f aca="false">IFERROR(INDEX('Historical Data'!$J$2:$J$9,MATCH($A60,'Historical Data'!$BE$2:$BE$9,0)),"")</f>
        <v/>
      </c>
      <c r="J60" s="111" t="str">
        <f aca="false">IFERROR(INDEX('Historical Data'!$L$2:$L$9,MATCH($A60,'Historical Data'!$BE$2:$BE$9,0)),"")</f>
        <v/>
      </c>
      <c r="K60" s="113" t="str">
        <f aca="false">IFERROR(INDEX('Historical Data'!$M$2:$M$9,MATCH($A60,'Historical Data'!$BE$2:$BE$9,0)),"")</f>
        <v/>
      </c>
      <c r="L60" s="114" t="str">
        <f aca="false">IFERROR(INDEX('Historical Data'!$N$2:$N$9,MATCH($A60,'Historical Data'!$BE$2:$BE$9,0)),"")</f>
        <v/>
      </c>
      <c r="M60" s="114" t="str">
        <f aca="false">IFERROR(INDEX('Historical Data'!$Q$2:$Q$9,MATCH($A60,'Historical Data'!$BE$2:$BE$9,0)),"")</f>
        <v/>
      </c>
      <c r="N60" s="115" t="str">
        <f aca="false">IFERROR(INDEX('Historical Data'!$S$2:$S$9,MATCH($A60,'Historical Data'!$BE$2:$BE$9,0)),"")</f>
        <v/>
      </c>
      <c r="O60" s="114" t="str">
        <f aca="false">IFERROR(INDEX('Historical Data'!$AJ$2:$AJ$9,MATCH($A60,'Historical Data'!$BE$2:$BE$9,0)),"")</f>
        <v/>
      </c>
      <c r="P60" s="114" t="str">
        <f aca="false">IFERROR(INDEX('Historical Data'!$AK$2:$AK$9,MATCH($A60,'Historical Data'!$BE$2:$BE$9,0)),"")</f>
        <v/>
      </c>
      <c r="Q60" s="111" t="str">
        <f aca="false">IFERROR(INDEX('Historical Data'!$AA$2:$AA$9,MATCH($A60,'Historical Data'!$BE$2:$BE$9,0)),"")</f>
        <v/>
      </c>
      <c r="R60" s="111" t="str">
        <f aca="false">IFERROR(INDEX('Historical Data'!$AB$2:$AB$9,MATCH($A60,'Historical Data'!$BE$2:$BE$9,0)),"")</f>
        <v/>
      </c>
      <c r="S60" s="111" t="str">
        <f aca="false">IFERROR(INDEX('Historical Data'!$AN$2:$AN$9,MATCH($A60,'Historical Data'!$BE$2:$BE$9,0)),"")</f>
        <v/>
      </c>
      <c r="T60" s="111" t="str">
        <f aca="false">IFERROR(INDEX('Historical Data'!$AC$2:$AC$9,MATCH($A60,'Historical Data'!$BE$2:$BE$9,0)),"")</f>
        <v/>
      </c>
      <c r="U60" s="111" t="str">
        <f aca="false">IFERROR(INDEX('Historical Data'!$AE$2:$AE$9,MATCH($A60,'Historical Data'!$BE$2:$BE$9,0)),"")</f>
        <v/>
      </c>
      <c r="V60" s="111" t="str">
        <f aca="false">IFERROR(INDEX('Historical Data'!$AH$2:$AH$9,MATCH($A60,'Historical Data'!$BE$2:$BE$9,0)),"")</f>
        <v/>
      </c>
      <c r="W60" s="111" t="str">
        <f aca="false">IFERROR(INDEX('Historical Data'!$BC$2:$BC$9,MATCH($A60,'Historical Data'!$BE$2:$BE$9,0)),"")</f>
        <v/>
      </c>
      <c r="X60" s="110" t="str">
        <f aca="false">IF(B60="","",IF(W60=1,"NR + industry + position",IF(W60=2,"NR + ISO + position",IF(W60=3,"NR + industry",IF(W60=4,"NR + ISO",IF(W60=5,"NR + position",IF(W60=6,"NR only","book baseline"))))))&amp;"  ["&amp;IF(T60=1,"seasoned","unseasoned")&amp;IF(U60=1,", defaulted","")&amp;IF(V60=1,", open","")&amp;"]")</f>
        <v/>
      </c>
    </row>
    <row r="61" customFormat="false" ht="15" hidden="false" customHeight="false" outlineLevel="0" collapsed="false">
      <c r="A61" s="110" t="n">
        <v>57</v>
      </c>
      <c r="B61" s="111" t="str">
        <f aca="false">IFERROR(INDEX('Historical Data'!$A$2:$A$9,MATCH($A61,'Historical Data'!$BE$2:$BE$9,0)),"")</f>
        <v/>
      </c>
      <c r="C61" s="111" t="str">
        <f aca="false">IFERROR(INDEX('Historical Data'!$B$2:$B$9,MATCH($A61,'Historical Data'!$BE$2:$BE$9,0)),"")</f>
        <v/>
      </c>
      <c r="D61" s="111" t="str">
        <f aca="false">IFERROR(INDEX('Historical Data'!$D$2:$D$9,MATCH($A61,'Historical Data'!$BE$2:$BE$9,0)),"")</f>
        <v/>
      </c>
      <c r="E61" s="112" t="str">
        <f aca="false">IFERROR(INDEX('Historical Data'!$E$2:$E$9,MATCH($A61,'Historical Data'!$BE$2:$BE$9,0)),"")</f>
        <v/>
      </c>
      <c r="F61" s="111" t="str">
        <f aca="false">IFERROR(INDEX('Historical Data'!$G$2:$G$9,MATCH($A61,'Historical Data'!$BE$2:$BE$9,0)),"")</f>
        <v/>
      </c>
      <c r="G61" s="111" t="str">
        <f aca="false">IFERROR(INDEX('Historical Data'!$Y$2:$Y$9,MATCH($A61,'Historical Data'!$BE$2:$BE$9,0)),"")</f>
        <v/>
      </c>
      <c r="H61" s="111" t="str">
        <f aca="false">IFERROR(INDEX('Historical Data'!$K$2:$K$9,MATCH($A61,'Historical Data'!$BE$2:$BE$9,0)),"")</f>
        <v/>
      </c>
      <c r="I61" s="111" t="str">
        <f aca="false">IFERROR(INDEX('Historical Data'!$J$2:$J$9,MATCH($A61,'Historical Data'!$BE$2:$BE$9,0)),"")</f>
        <v/>
      </c>
      <c r="J61" s="111" t="str">
        <f aca="false">IFERROR(INDEX('Historical Data'!$L$2:$L$9,MATCH($A61,'Historical Data'!$BE$2:$BE$9,0)),"")</f>
        <v/>
      </c>
      <c r="K61" s="113" t="str">
        <f aca="false">IFERROR(INDEX('Historical Data'!$M$2:$M$9,MATCH($A61,'Historical Data'!$BE$2:$BE$9,0)),"")</f>
        <v/>
      </c>
      <c r="L61" s="114" t="str">
        <f aca="false">IFERROR(INDEX('Historical Data'!$N$2:$N$9,MATCH($A61,'Historical Data'!$BE$2:$BE$9,0)),"")</f>
        <v/>
      </c>
      <c r="M61" s="114" t="str">
        <f aca="false">IFERROR(INDEX('Historical Data'!$Q$2:$Q$9,MATCH($A61,'Historical Data'!$BE$2:$BE$9,0)),"")</f>
        <v/>
      </c>
      <c r="N61" s="115" t="str">
        <f aca="false">IFERROR(INDEX('Historical Data'!$S$2:$S$9,MATCH($A61,'Historical Data'!$BE$2:$BE$9,0)),"")</f>
        <v/>
      </c>
      <c r="O61" s="114" t="str">
        <f aca="false">IFERROR(INDEX('Historical Data'!$AJ$2:$AJ$9,MATCH($A61,'Historical Data'!$BE$2:$BE$9,0)),"")</f>
        <v/>
      </c>
      <c r="P61" s="114" t="str">
        <f aca="false">IFERROR(INDEX('Historical Data'!$AK$2:$AK$9,MATCH($A61,'Historical Data'!$BE$2:$BE$9,0)),"")</f>
        <v/>
      </c>
      <c r="Q61" s="111" t="str">
        <f aca="false">IFERROR(INDEX('Historical Data'!$AA$2:$AA$9,MATCH($A61,'Historical Data'!$BE$2:$BE$9,0)),"")</f>
        <v/>
      </c>
      <c r="R61" s="111" t="str">
        <f aca="false">IFERROR(INDEX('Historical Data'!$AB$2:$AB$9,MATCH($A61,'Historical Data'!$BE$2:$BE$9,0)),"")</f>
        <v/>
      </c>
      <c r="S61" s="111" t="str">
        <f aca="false">IFERROR(INDEX('Historical Data'!$AN$2:$AN$9,MATCH($A61,'Historical Data'!$BE$2:$BE$9,0)),"")</f>
        <v/>
      </c>
      <c r="T61" s="111" t="str">
        <f aca="false">IFERROR(INDEX('Historical Data'!$AC$2:$AC$9,MATCH($A61,'Historical Data'!$BE$2:$BE$9,0)),"")</f>
        <v/>
      </c>
      <c r="U61" s="111" t="str">
        <f aca="false">IFERROR(INDEX('Historical Data'!$AE$2:$AE$9,MATCH($A61,'Historical Data'!$BE$2:$BE$9,0)),"")</f>
        <v/>
      </c>
      <c r="V61" s="111" t="str">
        <f aca="false">IFERROR(INDEX('Historical Data'!$AH$2:$AH$9,MATCH($A61,'Historical Data'!$BE$2:$BE$9,0)),"")</f>
        <v/>
      </c>
      <c r="W61" s="111" t="str">
        <f aca="false">IFERROR(INDEX('Historical Data'!$BC$2:$BC$9,MATCH($A61,'Historical Data'!$BE$2:$BE$9,0)),"")</f>
        <v/>
      </c>
      <c r="X61" s="110" t="str">
        <f aca="false">IF(B61="","",IF(W61=1,"NR + industry + position",IF(W61=2,"NR + ISO + position",IF(W61=3,"NR + industry",IF(W61=4,"NR + ISO",IF(W61=5,"NR + position",IF(W61=6,"NR only","book baseline"))))))&amp;"  ["&amp;IF(T61=1,"seasoned","unseasoned")&amp;IF(U61=1,", defaulted","")&amp;IF(V61=1,", open","")&amp;"]")</f>
        <v/>
      </c>
    </row>
    <row r="62" customFormat="false" ht="15" hidden="false" customHeight="false" outlineLevel="0" collapsed="false">
      <c r="A62" s="110" t="n">
        <v>58</v>
      </c>
      <c r="B62" s="111" t="str">
        <f aca="false">IFERROR(INDEX('Historical Data'!$A$2:$A$9,MATCH($A62,'Historical Data'!$BE$2:$BE$9,0)),"")</f>
        <v/>
      </c>
      <c r="C62" s="111" t="str">
        <f aca="false">IFERROR(INDEX('Historical Data'!$B$2:$B$9,MATCH($A62,'Historical Data'!$BE$2:$BE$9,0)),"")</f>
        <v/>
      </c>
      <c r="D62" s="111" t="str">
        <f aca="false">IFERROR(INDEX('Historical Data'!$D$2:$D$9,MATCH($A62,'Historical Data'!$BE$2:$BE$9,0)),"")</f>
        <v/>
      </c>
      <c r="E62" s="112" t="str">
        <f aca="false">IFERROR(INDEX('Historical Data'!$E$2:$E$9,MATCH($A62,'Historical Data'!$BE$2:$BE$9,0)),"")</f>
        <v/>
      </c>
      <c r="F62" s="111" t="str">
        <f aca="false">IFERROR(INDEX('Historical Data'!$G$2:$G$9,MATCH($A62,'Historical Data'!$BE$2:$BE$9,0)),"")</f>
        <v/>
      </c>
      <c r="G62" s="111" t="str">
        <f aca="false">IFERROR(INDEX('Historical Data'!$Y$2:$Y$9,MATCH($A62,'Historical Data'!$BE$2:$BE$9,0)),"")</f>
        <v/>
      </c>
      <c r="H62" s="111" t="str">
        <f aca="false">IFERROR(INDEX('Historical Data'!$K$2:$K$9,MATCH($A62,'Historical Data'!$BE$2:$BE$9,0)),"")</f>
        <v/>
      </c>
      <c r="I62" s="111" t="str">
        <f aca="false">IFERROR(INDEX('Historical Data'!$J$2:$J$9,MATCH($A62,'Historical Data'!$BE$2:$BE$9,0)),"")</f>
        <v/>
      </c>
      <c r="J62" s="111" t="str">
        <f aca="false">IFERROR(INDEX('Historical Data'!$L$2:$L$9,MATCH($A62,'Historical Data'!$BE$2:$BE$9,0)),"")</f>
        <v/>
      </c>
      <c r="K62" s="113" t="str">
        <f aca="false">IFERROR(INDEX('Historical Data'!$M$2:$M$9,MATCH($A62,'Historical Data'!$BE$2:$BE$9,0)),"")</f>
        <v/>
      </c>
      <c r="L62" s="114" t="str">
        <f aca="false">IFERROR(INDEX('Historical Data'!$N$2:$N$9,MATCH($A62,'Historical Data'!$BE$2:$BE$9,0)),"")</f>
        <v/>
      </c>
      <c r="M62" s="114" t="str">
        <f aca="false">IFERROR(INDEX('Historical Data'!$Q$2:$Q$9,MATCH($A62,'Historical Data'!$BE$2:$BE$9,0)),"")</f>
        <v/>
      </c>
      <c r="N62" s="115" t="str">
        <f aca="false">IFERROR(INDEX('Historical Data'!$S$2:$S$9,MATCH($A62,'Historical Data'!$BE$2:$BE$9,0)),"")</f>
        <v/>
      </c>
      <c r="O62" s="114" t="str">
        <f aca="false">IFERROR(INDEX('Historical Data'!$AJ$2:$AJ$9,MATCH($A62,'Historical Data'!$BE$2:$BE$9,0)),"")</f>
        <v/>
      </c>
      <c r="P62" s="114" t="str">
        <f aca="false">IFERROR(INDEX('Historical Data'!$AK$2:$AK$9,MATCH($A62,'Historical Data'!$BE$2:$BE$9,0)),"")</f>
        <v/>
      </c>
      <c r="Q62" s="111" t="str">
        <f aca="false">IFERROR(INDEX('Historical Data'!$AA$2:$AA$9,MATCH($A62,'Historical Data'!$BE$2:$BE$9,0)),"")</f>
        <v/>
      </c>
      <c r="R62" s="111" t="str">
        <f aca="false">IFERROR(INDEX('Historical Data'!$AB$2:$AB$9,MATCH($A62,'Historical Data'!$BE$2:$BE$9,0)),"")</f>
        <v/>
      </c>
      <c r="S62" s="111" t="str">
        <f aca="false">IFERROR(INDEX('Historical Data'!$AN$2:$AN$9,MATCH($A62,'Historical Data'!$BE$2:$BE$9,0)),"")</f>
        <v/>
      </c>
      <c r="T62" s="111" t="str">
        <f aca="false">IFERROR(INDEX('Historical Data'!$AC$2:$AC$9,MATCH($A62,'Historical Data'!$BE$2:$BE$9,0)),"")</f>
        <v/>
      </c>
      <c r="U62" s="111" t="str">
        <f aca="false">IFERROR(INDEX('Historical Data'!$AE$2:$AE$9,MATCH($A62,'Historical Data'!$BE$2:$BE$9,0)),"")</f>
        <v/>
      </c>
      <c r="V62" s="111" t="str">
        <f aca="false">IFERROR(INDEX('Historical Data'!$AH$2:$AH$9,MATCH($A62,'Historical Data'!$BE$2:$BE$9,0)),"")</f>
        <v/>
      </c>
      <c r="W62" s="111" t="str">
        <f aca="false">IFERROR(INDEX('Historical Data'!$BC$2:$BC$9,MATCH($A62,'Historical Data'!$BE$2:$BE$9,0)),"")</f>
        <v/>
      </c>
      <c r="X62" s="110" t="str">
        <f aca="false">IF(B62="","",IF(W62=1,"NR + industry + position",IF(W62=2,"NR + ISO + position",IF(W62=3,"NR + industry",IF(W62=4,"NR + ISO",IF(W62=5,"NR + position",IF(W62=6,"NR only","book baseline"))))))&amp;"  ["&amp;IF(T62=1,"seasoned","unseasoned")&amp;IF(U62=1,", defaulted","")&amp;IF(V62=1,", open","")&amp;"]")</f>
        <v/>
      </c>
    </row>
    <row r="63" customFormat="false" ht="15" hidden="false" customHeight="false" outlineLevel="0" collapsed="false">
      <c r="A63" s="110" t="n">
        <v>59</v>
      </c>
      <c r="B63" s="111" t="str">
        <f aca="false">IFERROR(INDEX('Historical Data'!$A$2:$A$9,MATCH($A63,'Historical Data'!$BE$2:$BE$9,0)),"")</f>
        <v/>
      </c>
      <c r="C63" s="111" t="str">
        <f aca="false">IFERROR(INDEX('Historical Data'!$B$2:$B$9,MATCH($A63,'Historical Data'!$BE$2:$BE$9,0)),"")</f>
        <v/>
      </c>
      <c r="D63" s="111" t="str">
        <f aca="false">IFERROR(INDEX('Historical Data'!$D$2:$D$9,MATCH($A63,'Historical Data'!$BE$2:$BE$9,0)),"")</f>
        <v/>
      </c>
      <c r="E63" s="112" t="str">
        <f aca="false">IFERROR(INDEX('Historical Data'!$E$2:$E$9,MATCH($A63,'Historical Data'!$BE$2:$BE$9,0)),"")</f>
        <v/>
      </c>
      <c r="F63" s="111" t="str">
        <f aca="false">IFERROR(INDEX('Historical Data'!$G$2:$G$9,MATCH($A63,'Historical Data'!$BE$2:$BE$9,0)),"")</f>
        <v/>
      </c>
      <c r="G63" s="111" t="str">
        <f aca="false">IFERROR(INDEX('Historical Data'!$Y$2:$Y$9,MATCH($A63,'Historical Data'!$BE$2:$BE$9,0)),"")</f>
        <v/>
      </c>
      <c r="H63" s="111" t="str">
        <f aca="false">IFERROR(INDEX('Historical Data'!$K$2:$K$9,MATCH($A63,'Historical Data'!$BE$2:$BE$9,0)),"")</f>
        <v/>
      </c>
      <c r="I63" s="111" t="str">
        <f aca="false">IFERROR(INDEX('Historical Data'!$J$2:$J$9,MATCH($A63,'Historical Data'!$BE$2:$BE$9,0)),"")</f>
        <v/>
      </c>
      <c r="J63" s="111" t="str">
        <f aca="false">IFERROR(INDEX('Historical Data'!$L$2:$L$9,MATCH($A63,'Historical Data'!$BE$2:$BE$9,0)),"")</f>
        <v/>
      </c>
      <c r="K63" s="113" t="str">
        <f aca="false">IFERROR(INDEX('Historical Data'!$M$2:$M$9,MATCH($A63,'Historical Data'!$BE$2:$BE$9,0)),"")</f>
        <v/>
      </c>
      <c r="L63" s="114" t="str">
        <f aca="false">IFERROR(INDEX('Historical Data'!$N$2:$N$9,MATCH($A63,'Historical Data'!$BE$2:$BE$9,0)),"")</f>
        <v/>
      </c>
      <c r="M63" s="114" t="str">
        <f aca="false">IFERROR(INDEX('Historical Data'!$Q$2:$Q$9,MATCH($A63,'Historical Data'!$BE$2:$BE$9,0)),"")</f>
        <v/>
      </c>
      <c r="N63" s="115" t="str">
        <f aca="false">IFERROR(INDEX('Historical Data'!$S$2:$S$9,MATCH($A63,'Historical Data'!$BE$2:$BE$9,0)),"")</f>
        <v/>
      </c>
      <c r="O63" s="114" t="str">
        <f aca="false">IFERROR(INDEX('Historical Data'!$AJ$2:$AJ$9,MATCH($A63,'Historical Data'!$BE$2:$BE$9,0)),"")</f>
        <v/>
      </c>
      <c r="P63" s="114" t="str">
        <f aca="false">IFERROR(INDEX('Historical Data'!$AK$2:$AK$9,MATCH($A63,'Historical Data'!$BE$2:$BE$9,0)),"")</f>
        <v/>
      </c>
      <c r="Q63" s="111" t="str">
        <f aca="false">IFERROR(INDEX('Historical Data'!$AA$2:$AA$9,MATCH($A63,'Historical Data'!$BE$2:$BE$9,0)),"")</f>
        <v/>
      </c>
      <c r="R63" s="111" t="str">
        <f aca="false">IFERROR(INDEX('Historical Data'!$AB$2:$AB$9,MATCH($A63,'Historical Data'!$BE$2:$BE$9,0)),"")</f>
        <v/>
      </c>
      <c r="S63" s="111" t="str">
        <f aca="false">IFERROR(INDEX('Historical Data'!$AN$2:$AN$9,MATCH($A63,'Historical Data'!$BE$2:$BE$9,0)),"")</f>
        <v/>
      </c>
      <c r="T63" s="111" t="str">
        <f aca="false">IFERROR(INDEX('Historical Data'!$AC$2:$AC$9,MATCH($A63,'Historical Data'!$BE$2:$BE$9,0)),"")</f>
        <v/>
      </c>
      <c r="U63" s="111" t="str">
        <f aca="false">IFERROR(INDEX('Historical Data'!$AE$2:$AE$9,MATCH($A63,'Historical Data'!$BE$2:$BE$9,0)),"")</f>
        <v/>
      </c>
      <c r="V63" s="111" t="str">
        <f aca="false">IFERROR(INDEX('Historical Data'!$AH$2:$AH$9,MATCH($A63,'Historical Data'!$BE$2:$BE$9,0)),"")</f>
        <v/>
      </c>
      <c r="W63" s="111" t="str">
        <f aca="false">IFERROR(INDEX('Historical Data'!$BC$2:$BC$9,MATCH($A63,'Historical Data'!$BE$2:$BE$9,0)),"")</f>
        <v/>
      </c>
      <c r="X63" s="110" t="str">
        <f aca="false">IF(B63="","",IF(W63=1,"NR + industry + position",IF(W63=2,"NR + ISO + position",IF(W63=3,"NR + industry",IF(W63=4,"NR + ISO",IF(W63=5,"NR + position",IF(W63=6,"NR only","book baseline"))))))&amp;"  ["&amp;IF(T63=1,"seasoned","unseasoned")&amp;IF(U63=1,", defaulted","")&amp;IF(V63=1,", open","")&amp;"]")</f>
        <v/>
      </c>
    </row>
    <row r="64" customFormat="false" ht="15" hidden="false" customHeight="false" outlineLevel="0" collapsed="false">
      <c r="A64" s="110" t="n">
        <v>60</v>
      </c>
      <c r="B64" s="111" t="str">
        <f aca="false">IFERROR(INDEX('Historical Data'!$A$2:$A$9,MATCH($A64,'Historical Data'!$BE$2:$BE$9,0)),"")</f>
        <v/>
      </c>
      <c r="C64" s="111" t="str">
        <f aca="false">IFERROR(INDEX('Historical Data'!$B$2:$B$9,MATCH($A64,'Historical Data'!$BE$2:$BE$9,0)),"")</f>
        <v/>
      </c>
      <c r="D64" s="111" t="str">
        <f aca="false">IFERROR(INDEX('Historical Data'!$D$2:$D$9,MATCH($A64,'Historical Data'!$BE$2:$BE$9,0)),"")</f>
        <v/>
      </c>
      <c r="E64" s="112" t="str">
        <f aca="false">IFERROR(INDEX('Historical Data'!$E$2:$E$9,MATCH($A64,'Historical Data'!$BE$2:$BE$9,0)),"")</f>
        <v/>
      </c>
      <c r="F64" s="111" t="str">
        <f aca="false">IFERROR(INDEX('Historical Data'!$G$2:$G$9,MATCH($A64,'Historical Data'!$BE$2:$BE$9,0)),"")</f>
        <v/>
      </c>
      <c r="G64" s="111" t="str">
        <f aca="false">IFERROR(INDEX('Historical Data'!$Y$2:$Y$9,MATCH($A64,'Historical Data'!$BE$2:$BE$9,0)),"")</f>
        <v/>
      </c>
      <c r="H64" s="111" t="str">
        <f aca="false">IFERROR(INDEX('Historical Data'!$K$2:$K$9,MATCH($A64,'Historical Data'!$BE$2:$BE$9,0)),"")</f>
        <v/>
      </c>
      <c r="I64" s="111" t="str">
        <f aca="false">IFERROR(INDEX('Historical Data'!$J$2:$J$9,MATCH($A64,'Historical Data'!$BE$2:$BE$9,0)),"")</f>
        <v/>
      </c>
      <c r="J64" s="111" t="str">
        <f aca="false">IFERROR(INDEX('Historical Data'!$L$2:$L$9,MATCH($A64,'Historical Data'!$BE$2:$BE$9,0)),"")</f>
        <v/>
      </c>
      <c r="K64" s="113" t="str">
        <f aca="false">IFERROR(INDEX('Historical Data'!$M$2:$M$9,MATCH($A64,'Historical Data'!$BE$2:$BE$9,0)),"")</f>
        <v/>
      </c>
      <c r="L64" s="114" t="str">
        <f aca="false">IFERROR(INDEX('Historical Data'!$N$2:$N$9,MATCH($A64,'Historical Data'!$BE$2:$BE$9,0)),"")</f>
        <v/>
      </c>
      <c r="M64" s="114" t="str">
        <f aca="false">IFERROR(INDEX('Historical Data'!$Q$2:$Q$9,MATCH($A64,'Historical Data'!$BE$2:$BE$9,0)),"")</f>
        <v/>
      </c>
      <c r="N64" s="115" t="str">
        <f aca="false">IFERROR(INDEX('Historical Data'!$S$2:$S$9,MATCH($A64,'Historical Data'!$BE$2:$BE$9,0)),"")</f>
        <v/>
      </c>
      <c r="O64" s="114" t="str">
        <f aca="false">IFERROR(INDEX('Historical Data'!$AJ$2:$AJ$9,MATCH($A64,'Historical Data'!$BE$2:$BE$9,0)),"")</f>
        <v/>
      </c>
      <c r="P64" s="114" t="str">
        <f aca="false">IFERROR(INDEX('Historical Data'!$AK$2:$AK$9,MATCH($A64,'Historical Data'!$BE$2:$BE$9,0)),"")</f>
        <v/>
      </c>
      <c r="Q64" s="111" t="str">
        <f aca="false">IFERROR(INDEX('Historical Data'!$AA$2:$AA$9,MATCH($A64,'Historical Data'!$BE$2:$BE$9,0)),"")</f>
        <v/>
      </c>
      <c r="R64" s="111" t="str">
        <f aca="false">IFERROR(INDEX('Historical Data'!$AB$2:$AB$9,MATCH($A64,'Historical Data'!$BE$2:$BE$9,0)),"")</f>
        <v/>
      </c>
      <c r="S64" s="111" t="str">
        <f aca="false">IFERROR(INDEX('Historical Data'!$AN$2:$AN$9,MATCH($A64,'Historical Data'!$BE$2:$BE$9,0)),"")</f>
        <v/>
      </c>
      <c r="T64" s="111" t="str">
        <f aca="false">IFERROR(INDEX('Historical Data'!$AC$2:$AC$9,MATCH($A64,'Historical Data'!$BE$2:$BE$9,0)),"")</f>
        <v/>
      </c>
      <c r="U64" s="111" t="str">
        <f aca="false">IFERROR(INDEX('Historical Data'!$AE$2:$AE$9,MATCH($A64,'Historical Data'!$BE$2:$BE$9,0)),"")</f>
        <v/>
      </c>
      <c r="V64" s="111" t="str">
        <f aca="false">IFERROR(INDEX('Historical Data'!$AH$2:$AH$9,MATCH($A64,'Historical Data'!$BE$2:$BE$9,0)),"")</f>
        <v/>
      </c>
      <c r="W64" s="111" t="str">
        <f aca="false">IFERROR(INDEX('Historical Data'!$BC$2:$BC$9,MATCH($A64,'Historical Data'!$BE$2:$BE$9,0)),"")</f>
        <v/>
      </c>
      <c r="X64" s="110" t="str">
        <f aca="false">IF(B64="","",IF(W64=1,"NR + industry + position",IF(W64=2,"NR + ISO + position",IF(W64=3,"NR + industry",IF(W64=4,"NR + ISO",IF(W64=5,"NR + position",IF(W64=6,"NR only","book baseline"))))))&amp;"  ["&amp;IF(T64=1,"seasoned","unseasoned")&amp;IF(U64=1,", defaulted","")&amp;IF(V64=1,", open","")&amp;"]")</f>
        <v/>
      </c>
    </row>
    <row r="65" customFormat="false" ht="15" hidden="false" customHeight="false" outlineLevel="0" collapsed="false">
      <c r="A65" s="110" t="n">
        <v>61</v>
      </c>
      <c r="B65" s="111" t="str">
        <f aca="false">IFERROR(INDEX('Historical Data'!$A$2:$A$9,MATCH($A65,'Historical Data'!$BE$2:$BE$9,0)),"")</f>
        <v/>
      </c>
      <c r="C65" s="111" t="str">
        <f aca="false">IFERROR(INDEX('Historical Data'!$B$2:$B$9,MATCH($A65,'Historical Data'!$BE$2:$BE$9,0)),"")</f>
        <v/>
      </c>
      <c r="D65" s="111" t="str">
        <f aca="false">IFERROR(INDEX('Historical Data'!$D$2:$D$9,MATCH($A65,'Historical Data'!$BE$2:$BE$9,0)),"")</f>
        <v/>
      </c>
      <c r="E65" s="112" t="str">
        <f aca="false">IFERROR(INDEX('Historical Data'!$E$2:$E$9,MATCH($A65,'Historical Data'!$BE$2:$BE$9,0)),"")</f>
        <v/>
      </c>
      <c r="F65" s="111" t="str">
        <f aca="false">IFERROR(INDEX('Historical Data'!$G$2:$G$9,MATCH($A65,'Historical Data'!$BE$2:$BE$9,0)),"")</f>
        <v/>
      </c>
      <c r="G65" s="111" t="str">
        <f aca="false">IFERROR(INDEX('Historical Data'!$Y$2:$Y$9,MATCH($A65,'Historical Data'!$BE$2:$BE$9,0)),"")</f>
        <v/>
      </c>
      <c r="H65" s="111" t="str">
        <f aca="false">IFERROR(INDEX('Historical Data'!$K$2:$K$9,MATCH($A65,'Historical Data'!$BE$2:$BE$9,0)),"")</f>
        <v/>
      </c>
      <c r="I65" s="111" t="str">
        <f aca="false">IFERROR(INDEX('Historical Data'!$J$2:$J$9,MATCH($A65,'Historical Data'!$BE$2:$BE$9,0)),"")</f>
        <v/>
      </c>
      <c r="J65" s="111" t="str">
        <f aca="false">IFERROR(INDEX('Historical Data'!$L$2:$L$9,MATCH($A65,'Historical Data'!$BE$2:$BE$9,0)),"")</f>
        <v/>
      </c>
      <c r="K65" s="113" t="str">
        <f aca="false">IFERROR(INDEX('Historical Data'!$M$2:$M$9,MATCH($A65,'Historical Data'!$BE$2:$BE$9,0)),"")</f>
        <v/>
      </c>
      <c r="L65" s="114" t="str">
        <f aca="false">IFERROR(INDEX('Historical Data'!$N$2:$N$9,MATCH($A65,'Historical Data'!$BE$2:$BE$9,0)),"")</f>
        <v/>
      </c>
      <c r="M65" s="114" t="str">
        <f aca="false">IFERROR(INDEX('Historical Data'!$Q$2:$Q$9,MATCH($A65,'Historical Data'!$BE$2:$BE$9,0)),"")</f>
        <v/>
      </c>
      <c r="N65" s="115" t="str">
        <f aca="false">IFERROR(INDEX('Historical Data'!$S$2:$S$9,MATCH($A65,'Historical Data'!$BE$2:$BE$9,0)),"")</f>
        <v/>
      </c>
      <c r="O65" s="114" t="str">
        <f aca="false">IFERROR(INDEX('Historical Data'!$AJ$2:$AJ$9,MATCH($A65,'Historical Data'!$BE$2:$BE$9,0)),"")</f>
        <v/>
      </c>
      <c r="P65" s="114" t="str">
        <f aca="false">IFERROR(INDEX('Historical Data'!$AK$2:$AK$9,MATCH($A65,'Historical Data'!$BE$2:$BE$9,0)),"")</f>
        <v/>
      </c>
      <c r="Q65" s="111" t="str">
        <f aca="false">IFERROR(INDEX('Historical Data'!$AA$2:$AA$9,MATCH($A65,'Historical Data'!$BE$2:$BE$9,0)),"")</f>
        <v/>
      </c>
      <c r="R65" s="111" t="str">
        <f aca="false">IFERROR(INDEX('Historical Data'!$AB$2:$AB$9,MATCH($A65,'Historical Data'!$BE$2:$BE$9,0)),"")</f>
        <v/>
      </c>
      <c r="S65" s="111" t="str">
        <f aca="false">IFERROR(INDEX('Historical Data'!$AN$2:$AN$9,MATCH($A65,'Historical Data'!$BE$2:$BE$9,0)),"")</f>
        <v/>
      </c>
      <c r="T65" s="111" t="str">
        <f aca="false">IFERROR(INDEX('Historical Data'!$AC$2:$AC$9,MATCH($A65,'Historical Data'!$BE$2:$BE$9,0)),"")</f>
        <v/>
      </c>
      <c r="U65" s="111" t="str">
        <f aca="false">IFERROR(INDEX('Historical Data'!$AE$2:$AE$9,MATCH($A65,'Historical Data'!$BE$2:$BE$9,0)),"")</f>
        <v/>
      </c>
      <c r="V65" s="111" t="str">
        <f aca="false">IFERROR(INDEX('Historical Data'!$AH$2:$AH$9,MATCH($A65,'Historical Data'!$BE$2:$BE$9,0)),"")</f>
        <v/>
      </c>
      <c r="W65" s="111" t="str">
        <f aca="false">IFERROR(INDEX('Historical Data'!$BC$2:$BC$9,MATCH($A65,'Historical Data'!$BE$2:$BE$9,0)),"")</f>
        <v/>
      </c>
      <c r="X65" s="110" t="str">
        <f aca="false">IF(B65="","",IF(W65=1,"NR + industry + position",IF(W65=2,"NR + ISO + position",IF(W65=3,"NR + industry",IF(W65=4,"NR + ISO",IF(W65=5,"NR + position",IF(W65=6,"NR only","book baseline"))))))&amp;"  ["&amp;IF(T65=1,"seasoned","unseasoned")&amp;IF(U65=1,", defaulted","")&amp;IF(V65=1,", open","")&amp;"]")</f>
        <v/>
      </c>
    </row>
    <row r="66" customFormat="false" ht="15" hidden="false" customHeight="false" outlineLevel="0" collapsed="false">
      <c r="A66" s="110" t="n">
        <v>62</v>
      </c>
      <c r="B66" s="111" t="str">
        <f aca="false">IFERROR(INDEX('Historical Data'!$A$2:$A$9,MATCH($A66,'Historical Data'!$BE$2:$BE$9,0)),"")</f>
        <v/>
      </c>
      <c r="C66" s="111" t="str">
        <f aca="false">IFERROR(INDEX('Historical Data'!$B$2:$B$9,MATCH($A66,'Historical Data'!$BE$2:$BE$9,0)),"")</f>
        <v/>
      </c>
      <c r="D66" s="111" t="str">
        <f aca="false">IFERROR(INDEX('Historical Data'!$D$2:$D$9,MATCH($A66,'Historical Data'!$BE$2:$BE$9,0)),"")</f>
        <v/>
      </c>
      <c r="E66" s="112" t="str">
        <f aca="false">IFERROR(INDEX('Historical Data'!$E$2:$E$9,MATCH($A66,'Historical Data'!$BE$2:$BE$9,0)),"")</f>
        <v/>
      </c>
      <c r="F66" s="111" t="str">
        <f aca="false">IFERROR(INDEX('Historical Data'!$G$2:$G$9,MATCH($A66,'Historical Data'!$BE$2:$BE$9,0)),"")</f>
        <v/>
      </c>
      <c r="G66" s="111" t="str">
        <f aca="false">IFERROR(INDEX('Historical Data'!$Y$2:$Y$9,MATCH($A66,'Historical Data'!$BE$2:$BE$9,0)),"")</f>
        <v/>
      </c>
      <c r="H66" s="111" t="str">
        <f aca="false">IFERROR(INDEX('Historical Data'!$K$2:$K$9,MATCH($A66,'Historical Data'!$BE$2:$BE$9,0)),"")</f>
        <v/>
      </c>
      <c r="I66" s="111" t="str">
        <f aca="false">IFERROR(INDEX('Historical Data'!$J$2:$J$9,MATCH($A66,'Historical Data'!$BE$2:$BE$9,0)),"")</f>
        <v/>
      </c>
      <c r="J66" s="111" t="str">
        <f aca="false">IFERROR(INDEX('Historical Data'!$L$2:$L$9,MATCH($A66,'Historical Data'!$BE$2:$BE$9,0)),"")</f>
        <v/>
      </c>
      <c r="K66" s="113" t="str">
        <f aca="false">IFERROR(INDEX('Historical Data'!$M$2:$M$9,MATCH($A66,'Historical Data'!$BE$2:$BE$9,0)),"")</f>
        <v/>
      </c>
      <c r="L66" s="114" t="str">
        <f aca="false">IFERROR(INDEX('Historical Data'!$N$2:$N$9,MATCH($A66,'Historical Data'!$BE$2:$BE$9,0)),"")</f>
        <v/>
      </c>
      <c r="M66" s="114" t="str">
        <f aca="false">IFERROR(INDEX('Historical Data'!$Q$2:$Q$9,MATCH($A66,'Historical Data'!$BE$2:$BE$9,0)),"")</f>
        <v/>
      </c>
      <c r="N66" s="115" t="str">
        <f aca="false">IFERROR(INDEX('Historical Data'!$S$2:$S$9,MATCH($A66,'Historical Data'!$BE$2:$BE$9,0)),"")</f>
        <v/>
      </c>
      <c r="O66" s="114" t="str">
        <f aca="false">IFERROR(INDEX('Historical Data'!$AJ$2:$AJ$9,MATCH($A66,'Historical Data'!$BE$2:$BE$9,0)),"")</f>
        <v/>
      </c>
      <c r="P66" s="114" t="str">
        <f aca="false">IFERROR(INDEX('Historical Data'!$AK$2:$AK$9,MATCH($A66,'Historical Data'!$BE$2:$BE$9,0)),"")</f>
        <v/>
      </c>
      <c r="Q66" s="111" t="str">
        <f aca="false">IFERROR(INDEX('Historical Data'!$AA$2:$AA$9,MATCH($A66,'Historical Data'!$BE$2:$BE$9,0)),"")</f>
        <v/>
      </c>
      <c r="R66" s="111" t="str">
        <f aca="false">IFERROR(INDEX('Historical Data'!$AB$2:$AB$9,MATCH($A66,'Historical Data'!$BE$2:$BE$9,0)),"")</f>
        <v/>
      </c>
      <c r="S66" s="111" t="str">
        <f aca="false">IFERROR(INDEX('Historical Data'!$AN$2:$AN$9,MATCH($A66,'Historical Data'!$BE$2:$BE$9,0)),"")</f>
        <v/>
      </c>
      <c r="T66" s="111" t="str">
        <f aca="false">IFERROR(INDEX('Historical Data'!$AC$2:$AC$9,MATCH($A66,'Historical Data'!$BE$2:$BE$9,0)),"")</f>
        <v/>
      </c>
      <c r="U66" s="111" t="str">
        <f aca="false">IFERROR(INDEX('Historical Data'!$AE$2:$AE$9,MATCH($A66,'Historical Data'!$BE$2:$BE$9,0)),"")</f>
        <v/>
      </c>
      <c r="V66" s="111" t="str">
        <f aca="false">IFERROR(INDEX('Historical Data'!$AH$2:$AH$9,MATCH($A66,'Historical Data'!$BE$2:$BE$9,0)),"")</f>
        <v/>
      </c>
      <c r="W66" s="111" t="str">
        <f aca="false">IFERROR(INDEX('Historical Data'!$BC$2:$BC$9,MATCH($A66,'Historical Data'!$BE$2:$BE$9,0)),"")</f>
        <v/>
      </c>
      <c r="X66" s="110" t="str">
        <f aca="false">IF(B66="","",IF(W66=1,"NR + industry + position",IF(W66=2,"NR + ISO + position",IF(W66=3,"NR + industry",IF(W66=4,"NR + ISO",IF(W66=5,"NR + position",IF(W66=6,"NR only","book baseline"))))))&amp;"  ["&amp;IF(T66=1,"seasoned","unseasoned")&amp;IF(U66=1,", defaulted","")&amp;IF(V66=1,", open","")&amp;"]")</f>
        <v/>
      </c>
    </row>
    <row r="67" customFormat="false" ht="15" hidden="false" customHeight="false" outlineLevel="0" collapsed="false">
      <c r="A67" s="110" t="n">
        <v>63</v>
      </c>
      <c r="B67" s="111" t="str">
        <f aca="false">IFERROR(INDEX('Historical Data'!$A$2:$A$9,MATCH($A67,'Historical Data'!$BE$2:$BE$9,0)),"")</f>
        <v/>
      </c>
      <c r="C67" s="111" t="str">
        <f aca="false">IFERROR(INDEX('Historical Data'!$B$2:$B$9,MATCH($A67,'Historical Data'!$BE$2:$BE$9,0)),"")</f>
        <v/>
      </c>
      <c r="D67" s="111" t="str">
        <f aca="false">IFERROR(INDEX('Historical Data'!$D$2:$D$9,MATCH($A67,'Historical Data'!$BE$2:$BE$9,0)),"")</f>
        <v/>
      </c>
      <c r="E67" s="112" t="str">
        <f aca="false">IFERROR(INDEX('Historical Data'!$E$2:$E$9,MATCH($A67,'Historical Data'!$BE$2:$BE$9,0)),"")</f>
        <v/>
      </c>
      <c r="F67" s="111" t="str">
        <f aca="false">IFERROR(INDEX('Historical Data'!$G$2:$G$9,MATCH($A67,'Historical Data'!$BE$2:$BE$9,0)),"")</f>
        <v/>
      </c>
      <c r="G67" s="111" t="str">
        <f aca="false">IFERROR(INDEX('Historical Data'!$Y$2:$Y$9,MATCH($A67,'Historical Data'!$BE$2:$BE$9,0)),"")</f>
        <v/>
      </c>
      <c r="H67" s="111" t="str">
        <f aca="false">IFERROR(INDEX('Historical Data'!$K$2:$K$9,MATCH($A67,'Historical Data'!$BE$2:$BE$9,0)),"")</f>
        <v/>
      </c>
      <c r="I67" s="111" t="str">
        <f aca="false">IFERROR(INDEX('Historical Data'!$J$2:$J$9,MATCH($A67,'Historical Data'!$BE$2:$BE$9,0)),"")</f>
        <v/>
      </c>
      <c r="J67" s="111" t="str">
        <f aca="false">IFERROR(INDEX('Historical Data'!$L$2:$L$9,MATCH($A67,'Historical Data'!$BE$2:$BE$9,0)),"")</f>
        <v/>
      </c>
      <c r="K67" s="113" t="str">
        <f aca="false">IFERROR(INDEX('Historical Data'!$M$2:$M$9,MATCH($A67,'Historical Data'!$BE$2:$BE$9,0)),"")</f>
        <v/>
      </c>
      <c r="L67" s="114" t="str">
        <f aca="false">IFERROR(INDEX('Historical Data'!$N$2:$N$9,MATCH($A67,'Historical Data'!$BE$2:$BE$9,0)),"")</f>
        <v/>
      </c>
      <c r="M67" s="114" t="str">
        <f aca="false">IFERROR(INDEX('Historical Data'!$Q$2:$Q$9,MATCH($A67,'Historical Data'!$BE$2:$BE$9,0)),"")</f>
        <v/>
      </c>
      <c r="N67" s="115" t="str">
        <f aca="false">IFERROR(INDEX('Historical Data'!$S$2:$S$9,MATCH($A67,'Historical Data'!$BE$2:$BE$9,0)),"")</f>
        <v/>
      </c>
      <c r="O67" s="114" t="str">
        <f aca="false">IFERROR(INDEX('Historical Data'!$AJ$2:$AJ$9,MATCH($A67,'Historical Data'!$BE$2:$BE$9,0)),"")</f>
        <v/>
      </c>
      <c r="P67" s="114" t="str">
        <f aca="false">IFERROR(INDEX('Historical Data'!$AK$2:$AK$9,MATCH($A67,'Historical Data'!$BE$2:$BE$9,0)),"")</f>
        <v/>
      </c>
      <c r="Q67" s="111" t="str">
        <f aca="false">IFERROR(INDEX('Historical Data'!$AA$2:$AA$9,MATCH($A67,'Historical Data'!$BE$2:$BE$9,0)),"")</f>
        <v/>
      </c>
      <c r="R67" s="111" t="str">
        <f aca="false">IFERROR(INDEX('Historical Data'!$AB$2:$AB$9,MATCH($A67,'Historical Data'!$BE$2:$BE$9,0)),"")</f>
        <v/>
      </c>
      <c r="S67" s="111" t="str">
        <f aca="false">IFERROR(INDEX('Historical Data'!$AN$2:$AN$9,MATCH($A67,'Historical Data'!$BE$2:$BE$9,0)),"")</f>
        <v/>
      </c>
      <c r="T67" s="111" t="str">
        <f aca="false">IFERROR(INDEX('Historical Data'!$AC$2:$AC$9,MATCH($A67,'Historical Data'!$BE$2:$BE$9,0)),"")</f>
        <v/>
      </c>
      <c r="U67" s="111" t="str">
        <f aca="false">IFERROR(INDEX('Historical Data'!$AE$2:$AE$9,MATCH($A67,'Historical Data'!$BE$2:$BE$9,0)),"")</f>
        <v/>
      </c>
      <c r="V67" s="111" t="str">
        <f aca="false">IFERROR(INDEX('Historical Data'!$AH$2:$AH$9,MATCH($A67,'Historical Data'!$BE$2:$BE$9,0)),"")</f>
        <v/>
      </c>
      <c r="W67" s="111" t="str">
        <f aca="false">IFERROR(INDEX('Historical Data'!$BC$2:$BC$9,MATCH($A67,'Historical Data'!$BE$2:$BE$9,0)),"")</f>
        <v/>
      </c>
      <c r="X67" s="110" t="str">
        <f aca="false">IF(B67="","",IF(W67=1,"NR + industry + position",IF(W67=2,"NR + ISO + position",IF(W67=3,"NR + industry",IF(W67=4,"NR + ISO",IF(W67=5,"NR + position",IF(W67=6,"NR only","book baseline"))))))&amp;"  ["&amp;IF(T67=1,"seasoned","unseasoned")&amp;IF(U67=1,", defaulted","")&amp;IF(V67=1,", open","")&amp;"]")</f>
        <v/>
      </c>
    </row>
    <row r="68" customFormat="false" ht="15" hidden="false" customHeight="false" outlineLevel="0" collapsed="false">
      <c r="A68" s="110" t="n">
        <v>64</v>
      </c>
      <c r="B68" s="111" t="str">
        <f aca="false">IFERROR(INDEX('Historical Data'!$A$2:$A$9,MATCH($A68,'Historical Data'!$BE$2:$BE$9,0)),"")</f>
        <v/>
      </c>
      <c r="C68" s="111" t="str">
        <f aca="false">IFERROR(INDEX('Historical Data'!$B$2:$B$9,MATCH($A68,'Historical Data'!$BE$2:$BE$9,0)),"")</f>
        <v/>
      </c>
      <c r="D68" s="111" t="str">
        <f aca="false">IFERROR(INDEX('Historical Data'!$D$2:$D$9,MATCH($A68,'Historical Data'!$BE$2:$BE$9,0)),"")</f>
        <v/>
      </c>
      <c r="E68" s="112" t="str">
        <f aca="false">IFERROR(INDEX('Historical Data'!$E$2:$E$9,MATCH($A68,'Historical Data'!$BE$2:$BE$9,0)),"")</f>
        <v/>
      </c>
      <c r="F68" s="111" t="str">
        <f aca="false">IFERROR(INDEX('Historical Data'!$G$2:$G$9,MATCH($A68,'Historical Data'!$BE$2:$BE$9,0)),"")</f>
        <v/>
      </c>
      <c r="G68" s="111" t="str">
        <f aca="false">IFERROR(INDEX('Historical Data'!$Y$2:$Y$9,MATCH($A68,'Historical Data'!$BE$2:$BE$9,0)),"")</f>
        <v/>
      </c>
      <c r="H68" s="111" t="str">
        <f aca="false">IFERROR(INDEX('Historical Data'!$K$2:$K$9,MATCH($A68,'Historical Data'!$BE$2:$BE$9,0)),"")</f>
        <v/>
      </c>
      <c r="I68" s="111" t="str">
        <f aca="false">IFERROR(INDEX('Historical Data'!$J$2:$J$9,MATCH($A68,'Historical Data'!$BE$2:$BE$9,0)),"")</f>
        <v/>
      </c>
      <c r="J68" s="111" t="str">
        <f aca="false">IFERROR(INDEX('Historical Data'!$L$2:$L$9,MATCH($A68,'Historical Data'!$BE$2:$BE$9,0)),"")</f>
        <v/>
      </c>
      <c r="K68" s="113" t="str">
        <f aca="false">IFERROR(INDEX('Historical Data'!$M$2:$M$9,MATCH($A68,'Historical Data'!$BE$2:$BE$9,0)),"")</f>
        <v/>
      </c>
      <c r="L68" s="114" t="str">
        <f aca="false">IFERROR(INDEX('Historical Data'!$N$2:$N$9,MATCH($A68,'Historical Data'!$BE$2:$BE$9,0)),"")</f>
        <v/>
      </c>
      <c r="M68" s="114" t="str">
        <f aca="false">IFERROR(INDEX('Historical Data'!$Q$2:$Q$9,MATCH($A68,'Historical Data'!$BE$2:$BE$9,0)),"")</f>
        <v/>
      </c>
      <c r="N68" s="115" t="str">
        <f aca="false">IFERROR(INDEX('Historical Data'!$S$2:$S$9,MATCH($A68,'Historical Data'!$BE$2:$BE$9,0)),"")</f>
        <v/>
      </c>
      <c r="O68" s="114" t="str">
        <f aca="false">IFERROR(INDEX('Historical Data'!$AJ$2:$AJ$9,MATCH($A68,'Historical Data'!$BE$2:$BE$9,0)),"")</f>
        <v/>
      </c>
      <c r="P68" s="114" t="str">
        <f aca="false">IFERROR(INDEX('Historical Data'!$AK$2:$AK$9,MATCH($A68,'Historical Data'!$BE$2:$BE$9,0)),"")</f>
        <v/>
      </c>
      <c r="Q68" s="111" t="str">
        <f aca="false">IFERROR(INDEX('Historical Data'!$AA$2:$AA$9,MATCH($A68,'Historical Data'!$BE$2:$BE$9,0)),"")</f>
        <v/>
      </c>
      <c r="R68" s="111" t="str">
        <f aca="false">IFERROR(INDEX('Historical Data'!$AB$2:$AB$9,MATCH($A68,'Historical Data'!$BE$2:$BE$9,0)),"")</f>
        <v/>
      </c>
      <c r="S68" s="111" t="str">
        <f aca="false">IFERROR(INDEX('Historical Data'!$AN$2:$AN$9,MATCH($A68,'Historical Data'!$BE$2:$BE$9,0)),"")</f>
        <v/>
      </c>
      <c r="T68" s="111" t="str">
        <f aca="false">IFERROR(INDEX('Historical Data'!$AC$2:$AC$9,MATCH($A68,'Historical Data'!$BE$2:$BE$9,0)),"")</f>
        <v/>
      </c>
      <c r="U68" s="111" t="str">
        <f aca="false">IFERROR(INDEX('Historical Data'!$AE$2:$AE$9,MATCH($A68,'Historical Data'!$BE$2:$BE$9,0)),"")</f>
        <v/>
      </c>
      <c r="V68" s="111" t="str">
        <f aca="false">IFERROR(INDEX('Historical Data'!$AH$2:$AH$9,MATCH($A68,'Historical Data'!$BE$2:$BE$9,0)),"")</f>
        <v/>
      </c>
      <c r="W68" s="111" t="str">
        <f aca="false">IFERROR(INDEX('Historical Data'!$BC$2:$BC$9,MATCH($A68,'Historical Data'!$BE$2:$BE$9,0)),"")</f>
        <v/>
      </c>
      <c r="X68" s="110" t="str">
        <f aca="false">IF(B68="","",IF(W68=1,"NR + industry + position",IF(W68=2,"NR + ISO + position",IF(W68=3,"NR + industry",IF(W68=4,"NR + ISO",IF(W68=5,"NR + position",IF(W68=6,"NR only","book baseline"))))))&amp;"  ["&amp;IF(T68=1,"seasoned","unseasoned")&amp;IF(U68=1,", defaulted","")&amp;IF(V68=1,", open","")&amp;"]")</f>
        <v/>
      </c>
    </row>
    <row r="69" customFormat="false" ht="15" hidden="false" customHeight="false" outlineLevel="0" collapsed="false">
      <c r="A69" s="110" t="n">
        <v>65</v>
      </c>
      <c r="B69" s="111" t="str">
        <f aca="false">IFERROR(INDEX('Historical Data'!$A$2:$A$9,MATCH($A69,'Historical Data'!$BE$2:$BE$9,0)),"")</f>
        <v/>
      </c>
      <c r="C69" s="111" t="str">
        <f aca="false">IFERROR(INDEX('Historical Data'!$B$2:$B$9,MATCH($A69,'Historical Data'!$BE$2:$BE$9,0)),"")</f>
        <v/>
      </c>
      <c r="D69" s="111" t="str">
        <f aca="false">IFERROR(INDEX('Historical Data'!$D$2:$D$9,MATCH($A69,'Historical Data'!$BE$2:$BE$9,0)),"")</f>
        <v/>
      </c>
      <c r="E69" s="112" t="str">
        <f aca="false">IFERROR(INDEX('Historical Data'!$E$2:$E$9,MATCH($A69,'Historical Data'!$BE$2:$BE$9,0)),"")</f>
        <v/>
      </c>
      <c r="F69" s="111" t="str">
        <f aca="false">IFERROR(INDEX('Historical Data'!$G$2:$G$9,MATCH($A69,'Historical Data'!$BE$2:$BE$9,0)),"")</f>
        <v/>
      </c>
      <c r="G69" s="111" t="str">
        <f aca="false">IFERROR(INDEX('Historical Data'!$Y$2:$Y$9,MATCH($A69,'Historical Data'!$BE$2:$BE$9,0)),"")</f>
        <v/>
      </c>
      <c r="H69" s="111" t="str">
        <f aca="false">IFERROR(INDEX('Historical Data'!$K$2:$K$9,MATCH($A69,'Historical Data'!$BE$2:$BE$9,0)),"")</f>
        <v/>
      </c>
      <c r="I69" s="111" t="str">
        <f aca="false">IFERROR(INDEX('Historical Data'!$J$2:$J$9,MATCH($A69,'Historical Data'!$BE$2:$BE$9,0)),"")</f>
        <v/>
      </c>
      <c r="J69" s="111" t="str">
        <f aca="false">IFERROR(INDEX('Historical Data'!$L$2:$L$9,MATCH($A69,'Historical Data'!$BE$2:$BE$9,0)),"")</f>
        <v/>
      </c>
      <c r="K69" s="113" t="str">
        <f aca="false">IFERROR(INDEX('Historical Data'!$M$2:$M$9,MATCH($A69,'Historical Data'!$BE$2:$BE$9,0)),"")</f>
        <v/>
      </c>
      <c r="L69" s="114" t="str">
        <f aca="false">IFERROR(INDEX('Historical Data'!$N$2:$N$9,MATCH($A69,'Historical Data'!$BE$2:$BE$9,0)),"")</f>
        <v/>
      </c>
      <c r="M69" s="114" t="str">
        <f aca="false">IFERROR(INDEX('Historical Data'!$Q$2:$Q$9,MATCH($A69,'Historical Data'!$BE$2:$BE$9,0)),"")</f>
        <v/>
      </c>
      <c r="N69" s="115" t="str">
        <f aca="false">IFERROR(INDEX('Historical Data'!$S$2:$S$9,MATCH($A69,'Historical Data'!$BE$2:$BE$9,0)),"")</f>
        <v/>
      </c>
      <c r="O69" s="114" t="str">
        <f aca="false">IFERROR(INDEX('Historical Data'!$AJ$2:$AJ$9,MATCH($A69,'Historical Data'!$BE$2:$BE$9,0)),"")</f>
        <v/>
      </c>
      <c r="P69" s="114" t="str">
        <f aca="false">IFERROR(INDEX('Historical Data'!$AK$2:$AK$9,MATCH($A69,'Historical Data'!$BE$2:$BE$9,0)),"")</f>
        <v/>
      </c>
      <c r="Q69" s="111" t="str">
        <f aca="false">IFERROR(INDEX('Historical Data'!$AA$2:$AA$9,MATCH($A69,'Historical Data'!$BE$2:$BE$9,0)),"")</f>
        <v/>
      </c>
      <c r="R69" s="111" t="str">
        <f aca="false">IFERROR(INDEX('Historical Data'!$AB$2:$AB$9,MATCH($A69,'Historical Data'!$BE$2:$BE$9,0)),"")</f>
        <v/>
      </c>
      <c r="S69" s="111" t="str">
        <f aca="false">IFERROR(INDEX('Historical Data'!$AN$2:$AN$9,MATCH($A69,'Historical Data'!$BE$2:$BE$9,0)),"")</f>
        <v/>
      </c>
      <c r="T69" s="111" t="str">
        <f aca="false">IFERROR(INDEX('Historical Data'!$AC$2:$AC$9,MATCH($A69,'Historical Data'!$BE$2:$BE$9,0)),"")</f>
        <v/>
      </c>
      <c r="U69" s="111" t="str">
        <f aca="false">IFERROR(INDEX('Historical Data'!$AE$2:$AE$9,MATCH($A69,'Historical Data'!$BE$2:$BE$9,0)),"")</f>
        <v/>
      </c>
      <c r="V69" s="111" t="str">
        <f aca="false">IFERROR(INDEX('Historical Data'!$AH$2:$AH$9,MATCH($A69,'Historical Data'!$BE$2:$BE$9,0)),"")</f>
        <v/>
      </c>
      <c r="W69" s="111" t="str">
        <f aca="false">IFERROR(INDEX('Historical Data'!$BC$2:$BC$9,MATCH($A69,'Historical Data'!$BE$2:$BE$9,0)),"")</f>
        <v/>
      </c>
      <c r="X69" s="110" t="str">
        <f aca="false">IF(B69="","",IF(W69=1,"NR + industry + position",IF(W69=2,"NR + ISO + position",IF(W69=3,"NR + industry",IF(W69=4,"NR + ISO",IF(W69=5,"NR + position",IF(W69=6,"NR only","book baseline"))))))&amp;"  ["&amp;IF(T69=1,"seasoned","unseasoned")&amp;IF(U69=1,", defaulted","")&amp;IF(V69=1,", open","")&amp;"]")</f>
        <v/>
      </c>
    </row>
    <row r="70" customFormat="false" ht="15" hidden="false" customHeight="false" outlineLevel="0" collapsed="false">
      <c r="A70" s="110" t="n">
        <v>66</v>
      </c>
      <c r="B70" s="111" t="str">
        <f aca="false">IFERROR(INDEX('Historical Data'!$A$2:$A$9,MATCH($A70,'Historical Data'!$BE$2:$BE$9,0)),"")</f>
        <v/>
      </c>
      <c r="C70" s="111" t="str">
        <f aca="false">IFERROR(INDEX('Historical Data'!$B$2:$B$9,MATCH($A70,'Historical Data'!$BE$2:$BE$9,0)),"")</f>
        <v/>
      </c>
      <c r="D70" s="111" t="str">
        <f aca="false">IFERROR(INDEX('Historical Data'!$D$2:$D$9,MATCH($A70,'Historical Data'!$BE$2:$BE$9,0)),"")</f>
        <v/>
      </c>
      <c r="E70" s="112" t="str">
        <f aca="false">IFERROR(INDEX('Historical Data'!$E$2:$E$9,MATCH($A70,'Historical Data'!$BE$2:$BE$9,0)),"")</f>
        <v/>
      </c>
      <c r="F70" s="111" t="str">
        <f aca="false">IFERROR(INDEX('Historical Data'!$G$2:$G$9,MATCH($A70,'Historical Data'!$BE$2:$BE$9,0)),"")</f>
        <v/>
      </c>
      <c r="G70" s="111" t="str">
        <f aca="false">IFERROR(INDEX('Historical Data'!$Y$2:$Y$9,MATCH($A70,'Historical Data'!$BE$2:$BE$9,0)),"")</f>
        <v/>
      </c>
      <c r="H70" s="111" t="str">
        <f aca="false">IFERROR(INDEX('Historical Data'!$K$2:$K$9,MATCH($A70,'Historical Data'!$BE$2:$BE$9,0)),"")</f>
        <v/>
      </c>
      <c r="I70" s="111" t="str">
        <f aca="false">IFERROR(INDEX('Historical Data'!$J$2:$J$9,MATCH($A70,'Historical Data'!$BE$2:$BE$9,0)),"")</f>
        <v/>
      </c>
      <c r="J70" s="111" t="str">
        <f aca="false">IFERROR(INDEX('Historical Data'!$L$2:$L$9,MATCH($A70,'Historical Data'!$BE$2:$BE$9,0)),"")</f>
        <v/>
      </c>
      <c r="K70" s="113" t="str">
        <f aca="false">IFERROR(INDEX('Historical Data'!$M$2:$M$9,MATCH($A70,'Historical Data'!$BE$2:$BE$9,0)),"")</f>
        <v/>
      </c>
      <c r="L70" s="114" t="str">
        <f aca="false">IFERROR(INDEX('Historical Data'!$N$2:$N$9,MATCH($A70,'Historical Data'!$BE$2:$BE$9,0)),"")</f>
        <v/>
      </c>
      <c r="M70" s="114" t="str">
        <f aca="false">IFERROR(INDEX('Historical Data'!$Q$2:$Q$9,MATCH($A70,'Historical Data'!$BE$2:$BE$9,0)),"")</f>
        <v/>
      </c>
      <c r="N70" s="115" t="str">
        <f aca="false">IFERROR(INDEX('Historical Data'!$S$2:$S$9,MATCH($A70,'Historical Data'!$BE$2:$BE$9,0)),"")</f>
        <v/>
      </c>
      <c r="O70" s="114" t="str">
        <f aca="false">IFERROR(INDEX('Historical Data'!$AJ$2:$AJ$9,MATCH($A70,'Historical Data'!$BE$2:$BE$9,0)),"")</f>
        <v/>
      </c>
      <c r="P70" s="114" t="str">
        <f aca="false">IFERROR(INDEX('Historical Data'!$AK$2:$AK$9,MATCH($A70,'Historical Data'!$BE$2:$BE$9,0)),"")</f>
        <v/>
      </c>
      <c r="Q70" s="111" t="str">
        <f aca="false">IFERROR(INDEX('Historical Data'!$AA$2:$AA$9,MATCH($A70,'Historical Data'!$BE$2:$BE$9,0)),"")</f>
        <v/>
      </c>
      <c r="R70" s="111" t="str">
        <f aca="false">IFERROR(INDEX('Historical Data'!$AB$2:$AB$9,MATCH($A70,'Historical Data'!$BE$2:$BE$9,0)),"")</f>
        <v/>
      </c>
      <c r="S70" s="111" t="str">
        <f aca="false">IFERROR(INDEX('Historical Data'!$AN$2:$AN$9,MATCH($A70,'Historical Data'!$BE$2:$BE$9,0)),"")</f>
        <v/>
      </c>
      <c r="T70" s="111" t="str">
        <f aca="false">IFERROR(INDEX('Historical Data'!$AC$2:$AC$9,MATCH($A70,'Historical Data'!$BE$2:$BE$9,0)),"")</f>
        <v/>
      </c>
      <c r="U70" s="111" t="str">
        <f aca="false">IFERROR(INDEX('Historical Data'!$AE$2:$AE$9,MATCH($A70,'Historical Data'!$BE$2:$BE$9,0)),"")</f>
        <v/>
      </c>
      <c r="V70" s="111" t="str">
        <f aca="false">IFERROR(INDEX('Historical Data'!$AH$2:$AH$9,MATCH($A70,'Historical Data'!$BE$2:$BE$9,0)),"")</f>
        <v/>
      </c>
      <c r="W70" s="111" t="str">
        <f aca="false">IFERROR(INDEX('Historical Data'!$BC$2:$BC$9,MATCH($A70,'Historical Data'!$BE$2:$BE$9,0)),"")</f>
        <v/>
      </c>
      <c r="X70" s="110" t="str">
        <f aca="false">IF(B70="","",IF(W70=1,"NR + industry + position",IF(W70=2,"NR + ISO + position",IF(W70=3,"NR + industry",IF(W70=4,"NR + ISO",IF(W70=5,"NR + position",IF(W70=6,"NR only","book baseline"))))))&amp;"  ["&amp;IF(T70=1,"seasoned","unseasoned")&amp;IF(U70=1,", defaulted","")&amp;IF(V70=1,", open","")&amp;"]")</f>
        <v/>
      </c>
    </row>
    <row r="71" customFormat="false" ht="15" hidden="false" customHeight="false" outlineLevel="0" collapsed="false">
      <c r="A71" s="110" t="n">
        <v>67</v>
      </c>
      <c r="B71" s="111" t="str">
        <f aca="false">IFERROR(INDEX('Historical Data'!$A$2:$A$9,MATCH($A71,'Historical Data'!$BE$2:$BE$9,0)),"")</f>
        <v/>
      </c>
      <c r="C71" s="111" t="str">
        <f aca="false">IFERROR(INDEX('Historical Data'!$B$2:$B$9,MATCH($A71,'Historical Data'!$BE$2:$BE$9,0)),"")</f>
        <v/>
      </c>
      <c r="D71" s="111" t="str">
        <f aca="false">IFERROR(INDEX('Historical Data'!$D$2:$D$9,MATCH($A71,'Historical Data'!$BE$2:$BE$9,0)),"")</f>
        <v/>
      </c>
      <c r="E71" s="112" t="str">
        <f aca="false">IFERROR(INDEX('Historical Data'!$E$2:$E$9,MATCH($A71,'Historical Data'!$BE$2:$BE$9,0)),"")</f>
        <v/>
      </c>
      <c r="F71" s="111" t="str">
        <f aca="false">IFERROR(INDEX('Historical Data'!$G$2:$G$9,MATCH($A71,'Historical Data'!$BE$2:$BE$9,0)),"")</f>
        <v/>
      </c>
      <c r="G71" s="111" t="str">
        <f aca="false">IFERROR(INDEX('Historical Data'!$Y$2:$Y$9,MATCH($A71,'Historical Data'!$BE$2:$BE$9,0)),"")</f>
        <v/>
      </c>
      <c r="H71" s="111" t="str">
        <f aca="false">IFERROR(INDEX('Historical Data'!$K$2:$K$9,MATCH($A71,'Historical Data'!$BE$2:$BE$9,0)),"")</f>
        <v/>
      </c>
      <c r="I71" s="111" t="str">
        <f aca="false">IFERROR(INDEX('Historical Data'!$J$2:$J$9,MATCH($A71,'Historical Data'!$BE$2:$BE$9,0)),"")</f>
        <v/>
      </c>
      <c r="J71" s="111" t="str">
        <f aca="false">IFERROR(INDEX('Historical Data'!$L$2:$L$9,MATCH($A71,'Historical Data'!$BE$2:$BE$9,0)),"")</f>
        <v/>
      </c>
      <c r="K71" s="113" t="str">
        <f aca="false">IFERROR(INDEX('Historical Data'!$M$2:$M$9,MATCH($A71,'Historical Data'!$BE$2:$BE$9,0)),"")</f>
        <v/>
      </c>
      <c r="L71" s="114" t="str">
        <f aca="false">IFERROR(INDEX('Historical Data'!$N$2:$N$9,MATCH($A71,'Historical Data'!$BE$2:$BE$9,0)),"")</f>
        <v/>
      </c>
      <c r="M71" s="114" t="str">
        <f aca="false">IFERROR(INDEX('Historical Data'!$Q$2:$Q$9,MATCH($A71,'Historical Data'!$BE$2:$BE$9,0)),"")</f>
        <v/>
      </c>
      <c r="N71" s="115" t="str">
        <f aca="false">IFERROR(INDEX('Historical Data'!$S$2:$S$9,MATCH($A71,'Historical Data'!$BE$2:$BE$9,0)),"")</f>
        <v/>
      </c>
      <c r="O71" s="114" t="str">
        <f aca="false">IFERROR(INDEX('Historical Data'!$AJ$2:$AJ$9,MATCH($A71,'Historical Data'!$BE$2:$BE$9,0)),"")</f>
        <v/>
      </c>
      <c r="P71" s="114" t="str">
        <f aca="false">IFERROR(INDEX('Historical Data'!$AK$2:$AK$9,MATCH($A71,'Historical Data'!$BE$2:$BE$9,0)),"")</f>
        <v/>
      </c>
      <c r="Q71" s="111" t="str">
        <f aca="false">IFERROR(INDEX('Historical Data'!$AA$2:$AA$9,MATCH($A71,'Historical Data'!$BE$2:$BE$9,0)),"")</f>
        <v/>
      </c>
      <c r="R71" s="111" t="str">
        <f aca="false">IFERROR(INDEX('Historical Data'!$AB$2:$AB$9,MATCH($A71,'Historical Data'!$BE$2:$BE$9,0)),"")</f>
        <v/>
      </c>
      <c r="S71" s="111" t="str">
        <f aca="false">IFERROR(INDEX('Historical Data'!$AN$2:$AN$9,MATCH($A71,'Historical Data'!$BE$2:$BE$9,0)),"")</f>
        <v/>
      </c>
      <c r="T71" s="111" t="str">
        <f aca="false">IFERROR(INDEX('Historical Data'!$AC$2:$AC$9,MATCH($A71,'Historical Data'!$BE$2:$BE$9,0)),"")</f>
        <v/>
      </c>
      <c r="U71" s="111" t="str">
        <f aca="false">IFERROR(INDEX('Historical Data'!$AE$2:$AE$9,MATCH($A71,'Historical Data'!$BE$2:$BE$9,0)),"")</f>
        <v/>
      </c>
      <c r="V71" s="111" t="str">
        <f aca="false">IFERROR(INDEX('Historical Data'!$AH$2:$AH$9,MATCH($A71,'Historical Data'!$BE$2:$BE$9,0)),"")</f>
        <v/>
      </c>
      <c r="W71" s="111" t="str">
        <f aca="false">IFERROR(INDEX('Historical Data'!$BC$2:$BC$9,MATCH($A71,'Historical Data'!$BE$2:$BE$9,0)),"")</f>
        <v/>
      </c>
      <c r="X71" s="110" t="str">
        <f aca="false">IF(B71="","",IF(W71=1,"NR + industry + position",IF(W71=2,"NR + ISO + position",IF(W71=3,"NR + industry",IF(W71=4,"NR + ISO",IF(W71=5,"NR + position",IF(W71=6,"NR only","book baseline"))))))&amp;"  ["&amp;IF(T71=1,"seasoned","unseasoned")&amp;IF(U71=1,", defaulted","")&amp;IF(V71=1,", open","")&amp;"]")</f>
        <v/>
      </c>
    </row>
    <row r="72" customFormat="false" ht="15" hidden="false" customHeight="false" outlineLevel="0" collapsed="false">
      <c r="A72" s="110" t="n">
        <v>68</v>
      </c>
      <c r="B72" s="111" t="str">
        <f aca="false">IFERROR(INDEX('Historical Data'!$A$2:$A$9,MATCH($A72,'Historical Data'!$BE$2:$BE$9,0)),"")</f>
        <v/>
      </c>
      <c r="C72" s="111" t="str">
        <f aca="false">IFERROR(INDEX('Historical Data'!$B$2:$B$9,MATCH($A72,'Historical Data'!$BE$2:$BE$9,0)),"")</f>
        <v/>
      </c>
      <c r="D72" s="111" t="str">
        <f aca="false">IFERROR(INDEX('Historical Data'!$D$2:$D$9,MATCH($A72,'Historical Data'!$BE$2:$BE$9,0)),"")</f>
        <v/>
      </c>
      <c r="E72" s="112" t="str">
        <f aca="false">IFERROR(INDEX('Historical Data'!$E$2:$E$9,MATCH($A72,'Historical Data'!$BE$2:$BE$9,0)),"")</f>
        <v/>
      </c>
      <c r="F72" s="111" t="str">
        <f aca="false">IFERROR(INDEX('Historical Data'!$G$2:$G$9,MATCH($A72,'Historical Data'!$BE$2:$BE$9,0)),"")</f>
        <v/>
      </c>
      <c r="G72" s="111" t="str">
        <f aca="false">IFERROR(INDEX('Historical Data'!$Y$2:$Y$9,MATCH($A72,'Historical Data'!$BE$2:$BE$9,0)),"")</f>
        <v/>
      </c>
      <c r="H72" s="111" t="str">
        <f aca="false">IFERROR(INDEX('Historical Data'!$K$2:$K$9,MATCH($A72,'Historical Data'!$BE$2:$BE$9,0)),"")</f>
        <v/>
      </c>
      <c r="I72" s="111" t="str">
        <f aca="false">IFERROR(INDEX('Historical Data'!$J$2:$J$9,MATCH($A72,'Historical Data'!$BE$2:$BE$9,0)),"")</f>
        <v/>
      </c>
      <c r="J72" s="111" t="str">
        <f aca="false">IFERROR(INDEX('Historical Data'!$L$2:$L$9,MATCH($A72,'Historical Data'!$BE$2:$BE$9,0)),"")</f>
        <v/>
      </c>
      <c r="K72" s="113" t="str">
        <f aca="false">IFERROR(INDEX('Historical Data'!$M$2:$M$9,MATCH($A72,'Historical Data'!$BE$2:$BE$9,0)),"")</f>
        <v/>
      </c>
      <c r="L72" s="114" t="str">
        <f aca="false">IFERROR(INDEX('Historical Data'!$N$2:$N$9,MATCH($A72,'Historical Data'!$BE$2:$BE$9,0)),"")</f>
        <v/>
      </c>
      <c r="M72" s="114" t="str">
        <f aca="false">IFERROR(INDEX('Historical Data'!$Q$2:$Q$9,MATCH($A72,'Historical Data'!$BE$2:$BE$9,0)),"")</f>
        <v/>
      </c>
      <c r="N72" s="115" t="str">
        <f aca="false">IFERROR(INDEX('Historical Data'!$S$2:$S$9,MATCH($A72,'Historical Data'!$BE$2:$BE$9,0)),"")</f>
        <v/>
      </c>
      <c r="O72" s="114" t="str">
        <f aca="false">IFERROR(INDEX('Historical Data'!$AJ$2:$AJ$9,MATCH($A72,'Historical Data'!$BE$2:$BE$9,0)),"")</f>
        <v/>
      </c>
      <c r="P72" s="114" t="str">
        <f aca="false">IFERROR(INDEX('Historical Data'!$AK$2:$AK$9,MATCH($A72,'Historical Data'!$BE$2:$BE$9,0)),"")</f>
        <v/>
      </c>
      <c r="Q72" s="111" t="str">
        <f aca="false">IFERROR(INDEX('Historical Data'!$AA$2:$AA$9,MATCH($A72,'Historical Data'!$BE$2:$BE$9,0)),"")</f>
        <v/>
      </c>
      <c r="R72" s="111" t="str">
        <f aca="false">IFERROR(INDEX('Historical Data'!$AB$2:$AB$9,MATCH($A72,'Historical Data'!$BE$2:$BE$9,0)),"")</f>
        <v/>
      </c>
      <c r="S72" s="111" t="str">
        <f aca="false">IFERROR(INDEX('Historical Data'!$AN$2:$AN$9,MATCH($A72,'Historical Data'!$BE$2:$BE$9,0)),"")</f>
        <v/>
      </c>
      <c r="T72" s="111" t="str">
        <f aca="false">IFERROR(INDEX('Historical Data'!$AC$2:$AC$9,MATCH($A72,'Historical Data'!$BE$2:$BE$9,0)),"")</f>
        <v/>
      </c>
      <c r="U72" s="111" t="str">
        <f aca="false">IFERROR(INDEX('Historical Data'!$AE$2:$AE$9,MATCH($A72,'Historical Data'!$BE$2:$BE$9,0)),"")</f>
        <v/>
      </c>
      <c r="V72" s="111" t="str">
        <f aca="false">IFERROR(INDEX('Historical Data'!$AH$2:$AH$9,MATCH($A72,'Historical Data'!$BE$2:$BE$9,0)),"")</f>
        <v/>
      </c>
      <c r="W72" s="111" t="str">
        <f aca="false">IFERROR(INDEX('Historical Data'!$BC$2:$BC$9,MATCH($A72,'Historical Data'!$BE$2:$BE$9,0)),"")</f>
        <v/>
      </c>
      <c r="X72" s="110" t="str">
        <f aca="false">IF(B72="","",IF(W72=1,"NR + industry + position",IF(W72=2,"NR + ISO + position",IF(W72=3,"NR + industry",IF(W72=4,"NR + ISO",IF(W72=5,"NR + position",IF(W72=6,"NR only","book baseline"))))))&amp;"  ["&amp;IF(T72=1,"seasoned","unseasoned")&amp;IF(U72=1,", defaulted","")&amp;IF(V72=1,", open","")&amp;"]")</f>
        <v/>
      </c>
    </row>
    <row r="73" customFormat="false" ht="15" hidden="false" customHeight="false" outlineLevel="0" collapsed="false">
      <c r="A73" s="110" t="n">
        <v>69</v>
      </c>
      <c r="B73" s="111" t="str">
        <f aca="false">IFERROR(INDEX('Historical Data'!$A$2:$A$9,MATCH($A73,'Historical Data'!$BE$2:$BE$9,0)),"")</f>
        <v/>
      </c>
      <c r="C73" s="111" t="str">
        <f aca="false">IFERROR(INDEX('Historical Data'!$B$2:$B$9,MATCH($A73,'Historical Data'!$BE$2:$BE$9,0)),"")</f>
        <v/>
      </c>
      <c r="D73" s="111" t="str">
        <f aca="false">IFERROR(INDEX('Historical Data'!$D$2:$D$9,MATCH($A73,'Historical Data'!$BE$2:$BE$9,0)),"")</f>
        <v/>
      </c>
      <c r="E73" s="112" t="str">
        <f aca="false">IFERROR(INDEX('Historical Data'!$E$2:$E$9,MATCH($A73,'Historical Data'!$BE$2:$BE$9,0)),"")</f>
        <v/>
      </c>
      <c r="F73" s="111" t="str">
        <f aca="false">IFERROR(INDEX('Historical Data'!$G$2:$G$9,MATCH($A73,'Historical Data'!$BE$2:$BE$9,0)),"")</f>
        <v/>
      </c>
      <c r="G73" s="111" t="str">
        <f aca="false">IFERROR(INDEX('Historical Data'!$Y$2:$Y$9,MATCH($A73,'Historical Data'!$BE$2:$BE$9,0)),"")</f>
        <v/>
      </c>
      <c r="H73" s="111" t="str">
        <f aca="false">IFERROR(INDEX('Historical Data'!$K$2:$K$9,MATCH($A73,'Historical Data'!$BE$2:$BE$9,0)),"")</f>
        <v/>
      </c>
      <c r="I73" s="111" t="str">
        <f aca="false">IFERROR(INDEX('Historical Data'!$J$2:$J$9,MATCH($A73,'Historical Data'!$BE$2:$BE$9,0)),"")</f>
        <v/>
      </c>
      <c r="J73" s="111" t="str">
        <f aca="false">IFERROR(INDEX('Historical Data'!$L$2:$L$9,MATCH($A73,'Historical Data'!$BE$2:$BE$9,0)),"")</f>
        <v/>
      </c>
      <c r="K73" s="113" t="str">
        <f aca="false">IFERROR(INDEX('Historical Data'!$M$2:$M$9,MATCH($A73,'Historical Data'!$BE$2:$BE$9,0)),"")</f>
        <v/>
      </c>
      <c r="L73" s="114" t="str">
        <f aca="false">IFERROR(INDEX('Historical Data'!$N$2:$N$9,MATCH($A73,'Historical Data'!$BE$2:$BE$9,0)),"")</f>
        <v/>
      </c>
      <c r="M73" s="114" t="str">
        <f aca="false">IFERROR(INDEX('Historical Data'!$Q$2:$Q$9,MATCH($A73,'Historical Data'!$BE$2:$BE$9,0)),"")</f>
        <v/>
      </c>
      <c r="N73" s="115" t="str">
        <f aca="false">IFERROR(INDEX('Historical Data'!$S$2:$S$9,MATCH($A73,'Historical Data'!$BE$2:$BE$9,0)),"")</f>
        <v/>
      </c>
      <c r="O73" s="114" t="str">
        <f aca="false">IFERROR(INDEX('Historical Data'!$AJ$2:$AJ$9,MATCH($A73,'Historical Data'!$BE$2:$BE$9,0)),"")</f>
        <v/>
      </c>
      <c r="P73" s="114" t="str">
        <f aca="false">IFERROR(INDEX('Historical Data'!$AK$2:$AK$9,MATCH($A73,'Historical Data'!$BE$2:$BE$9,0)),"")</f>
        <v/>
      </c>
      <c r="Q73" s="111" t="str">
        <f aca="false">IFERROR(INDEX('Historical Data'!$AA$2:$AA$9,MATCH($A73,'Historical Data'!$BE$2:$BE$9,0)),"")</f>
        <v/>
      </c>
      <c r="R73" s="111" t="str">
        <f aca="false">IFERROR(INDEX('Historical Data'!$AB$2:$AB$9,MATCH($A73,'Historical Data'!$BE$2:$BE$9,0)),"")</f>
        <v/>
      </c>
      <c r="S73" s="111" t="str">
        <f aca="false">IFERROR(INDEX('Historical Data'!$AN$2:$AN$9,MATCH($A73,'Historical Data'!$BE$2:$BE$9,0)),"")</f>
        <v/>
      </c>
      <c r="T73" s="111" t="str">
        <f aca="false">IFERROR(INDEX('Historical Data'!$AC$2:$AC$9,MATCH($A73,'Historical Data'!$BE$2:$BE$9,0)),"")</f>
        <v/>
      </c>
      <c r="U73" s="111" t="str">
        <f aca="false">IFERROR(INDEX('Historical Data'!$AE$2:$AE$9,MATCH($A73,'Historical Data'!$BE$2:$BE$9,0)),"")</f>
        <v/>
      </c>
      <c r="V73" s="111" t="str">
        <f aca="false">IFERROR(INDEX('Historical Data'!$AH$2:$AH$9,MATCH($A73,'Historical Data'!$BE$2:$BE$9,0)),"")</f>
        <v/>
      </c>
      <c r="W73" s="111" t="str">
        <f aca="false">IFERROR(INDEX('Historical Data'!$BC$2:$BC$9,MATCH($A73,'Historical Data'!$BE$2:$BE$9,0)),"")</f>
        <v/>
      </c>
      <c r="X73" s="110" t="str">
        <f aca="false">IF(B73="","",IF(W73=1,"NR + industry + position",IF(W73=2,"NR + ISO + position",IF(W73=3,"NR + industry",IF(W73=4,"NR + ISO",IF(W73=5,"NR + position",IF(W73=6,"NR only","book baseline"))))))&amp;"  ["&amp;IF(T73=1,"seasoned","unseasoned")&amp;IF(U73=1,", defaulted","")&amp;IF(V73=1,", open","")&amp;"]")</f>
        <v/>
      </c>
    </row>
    <row r="74" customFormat="false" ht="15" hidden="false" customHeight="false" outlineLevel="0" collapsed="false">
      <c r="A74" s="110" t="n">
        <v>70</v>
      </c>
      <c r="B74" s="111" t="str">
        <f aca="false">IFERROR(INDEX('Historical Data'!$A$2:$A$9,MATCH($A74,'Historical Data'!$BE$2:$BE$9,0)),"")</f>
        <v/>
      </c>
      <c r="C74" s="111" t="str">
        <f aca="false">IFERROR(INDEX('Historical Data'!$B$2:$B$9,MATCH($A74,'Historical Data'!$BE$2:$BE$9,0)),"")</f>
        <v/>
      </c>
      <c r="D74" s="111" t="str">
        <f aca="false">IFERROR(INDEX('Historical Data'!$D$2:$D$9,MATCH($A74,'Historical Data'!$BE$2:$BE$9,0)),"")</f>
        <v/>
      </c>
      <c r="E74" s="112" t="str">
        <f aca="false">IFERROR(INDEX('Historical Data'!$E$2:$E$9,MATCH($A74,'Historical Data'!$BE$2:$BE$9,0)),"")</f>
        <v/>
      </c>
      <c r="F74" s="111" t="str">
        <f aca="false">IFERROR(INDEX('Historical Data'!$G$2:$G$9,MATCH($A74,'Historical Data'!$BE$2:$BE$9,0)),"")</f>
        <v/>
      </c>
      <c r="G74" s="111" t="str">
        <f aca="false">IFERROR(INDEX('Historical Data'!$Y$2:$Y$9,MATCH($A74,'Historical Data'!$BE$2:$BE$9,0)),"")</f>
        <v/>
      </c>
      <c r="H74" s="111" t="str">
        <f aca="false">IFERROR(INDEX('Historical Data'!$K$2:$K$9,MATCH($A74,'Historical Data'!$BE$2:$BE$9,0)),"")</f>
        <v/>
      </c>
      <c r="I74" s="111" t="str">
        <f aca="false">IFERROR(INDEX('Historical Data'!$J$2:$J$9,MATCH($A74,'Historical Data'!$BE$2:$BE$9,0)),"")</f>
        <v/>
      </c>
      <c r="J74" s="111" t="str">
        <f aca="false">IFERROR(INDEX('Historical Data'!$L$2:$L$9,MATCH($A74,'Historical Data'!$BE$2:$BE$9,0)),"")</f>
        <v/>
      </c>
      <c r="K74" s="113" t="str">
        <f aca="false">IFERROR(INDEX('Historical Data'!$M$2:$M$9,MATCH($A74,'Historical Data'!$BE$2:$BE$9,0)),"")</f>
        <v/>
      </c>
      <c r="L74" s="114" t="str">
        <f aca="false">IFERROR(INDEX('Historical Data'!$N$2:$N$9,MATCH($A74,'Historical Data'!$BE$2:$BE$9,0)),"")</f>
        <v/>
      </c>
      <c r="M74" s="114" t="str">
        <f aca="false">IFERROR(INDEX('Historical Data'!$Q$2:$Q$9,MATCH($A74,'Historical Data'!$BE$2:$BE$9,0)),"")</f>
        <v/>
      </c>
      <c r="N74" s="115" t="str">
        <f aca="false">IFERROR(INDEX('Historical Data'!$S$2:$S$9,MATCH($A74,'Historical Data'!$BE$2:$BE$9,0)),"")</f>
        <v/>
      </c>
      <c r="O74" s="114" t="str">
        <f aca="false">IFERROR(INDEX('Historical Data'!$AJ$2:$AJ$9,MATCH($A74,'Historical Data'!$BE$2:$BE$9,0)),"")</f>
        <v/>
      </c>
      <c r="P74" s="114" t="str">
        <f aca="false">IFERROR(INDEX('Historical Data'!$AK$2:$AK$9,MATCH($A74,'Historical Data'!$BE$2:$BE$9,0)),"")</f>
        <v/>
      </c>
      <c r="Q74" s="111" t="str">
        <f aca="false">IFERROR(INDEX('Historical Data'!$AA$2:$AA$9,MATCH($A74,'Historical Data'!$BE$2:$BE$9,0)),"")</f>
        <v/>
      </c>
      <c r="R74" s="111" t="str">
        <f aca="false">IFERROR(INDEX('Historical Data'!$AB$2:$AB$9,MATCH($A74,'Historical Data'!$BE$2:$BE$9,0)),"")</f>
        <v/>
      </c>
      <c r="S74" s="111" t="str">
        <f aca="false">IFERROR(INDEX('Historical Data'!$AN$2:$AN$9,MATCH($A74,'Historical Data'!$BE$2:$BE$9,0)),"")</f>
        <v/>
      </c>
      <c r="T74" s="111" t="str">
        <f aca="false">IFERROR(INDEX('Historical Data'!$AC$2:$AC$9,MATCH($A74,'Historical Data'!$BE$2:$BE$9,0)),"")</f>
        <v/>
      </c>
      <c r="U74" s="111" t="str">
        <f aca="false">IFERROR(INDEX('Historical Data'!$AE$2:$AE$9,MATCH($A74,'Historical Data'!$BE$2:$BE$9,0)),"")</f>
        <v/>
      </c>
      <c r="V74" s="111" t="str">
        <f aca="false">IFERROR(INDEX('Historical Data'!$AH$2:$AH$9,MATCH($A74,'Historical Data'!$BE$2:$BE$9,0)),"")</f>
        <v/>
      </c>
      <c r="W74" s="111" t="str">
        <f aca="false">IFERROR(INDEX('Historical Data'!$BC$2:$BC$9,MATCH($A74,'Historical Data'!$BE$2:$BE$9,0)),"")</f>
        <v/>
      </c>
      <c r="X74" s="110" t="str">
        <f aca="false">IF(B74="","",IF(W74=1,"NR + industry + position",IF(W74=2,"NR + ISO + position",IF(W74=3,"NR + industry",IF(W74=4,"NR + ISO",IF(W74=5,"NR + position",IF(W74=6,"NR only","book baseline"))))))&amp;"  ["&amp;IF(T74=1,"seasoned","unseasoned")&amp;IF(U74=1,", defaulted","")&amp;IF(V74=1,", open","")&amp;"]")</f>
        <v/>
      </c>
    </row>
    <row r="75" customFormat="false" ht="15" hidden="false" customHeight="false" outlineLevel="0" collapsed="false">
      <c r="A75" s="110" t="n">
        <v>71</v>
      </c>
      <c r="B75" s="111" t="str">
        <f aca="false">IFERROR(INDEX('Historical Data'!$A$2:$A$9,MATCH($A75,'Historical Data'!$BE$2:$BE$9,0)),"")</f>
        <v/>
      </c>
      <c r="C75" s="111" t="str">
        <f aca="false">IFERROR(INDEX('Historical Data'!$B$2:$B$9,MATCH($A75,'Historical Data'!$BE$2:$BE$9,0)),"")</f>
        <v/>
      </c>
      <c r="D75" s="111" t="str">
        <f aca="false">IFERROR(INDEX('Historical Data'!$D$2:$D$9,MATCH($A75,'Historical Data'!$BE$2:$BE$9,0)),"")</f>
        <v/>
      </c>
      <c r="E75" s="112" t="str">
        <f aca="false">IFERROR(INDEX('Historical Data'!$E$2:$E$9,MATCH($A75,'Historical Data'!$BE$2:$BE$9,0)),"")</f>
        <v/>
      </c>
      <c r="F75" s="111" t="str">
        <f aca="false">IFERROR(INDEX('Historical Data'!$G$2:$G$9,MATCH($A75,'Historical Data'!$BE$2:$BE$9,0)),"")</f>
        <v/>
      </c>
      <c r="G75" s="111" t="str">
        <f aca="false">IFERROR(INDEX('Historical Data'!$Y$2:$Y$9,MATCH($A75,'Historical Data'!$BE$2:$BE$9,0)),"")</f>
        <v/>
      </c>
      <c r="H75" s="111" t="str">
        <f aca="false">IFERROR(INDEX('Historical Data'!$K$2:$K$9,MATCH($A75,'Historical Data'!$BE$2:$BE$9,0)),"")</f>
        <v/>
      </c>
      <c r="I75" s="111" t="str">
        <f aca="false">IFERROR(INDEX('Historical Data'!$J$2:$J$9,MATCH($A75,'Historical Data'!$BE$2:$BE$9,0)),"")</f>
        <v/>
      </c>
      <c r="J75" s="111" t="str">
        <f aca="false">IFERROR(INDEX('Historical Data'!$L$2:$L$9,MATCH($A75,'Historical Data'!$BE$2:$BE$9,0)),"")</f>
        <v/>
      </c>
      <c r="K75" s="113" t="str">
        <f aca="false">IFERROR(INDEX('Historical Data'!$M$2:$M$9,MATCH($A75,'Historical Data'!$BE$2:$BE$9,0)),"")</f>
        <v/>
      </c>
      <c r="L75" s="114" t="str">
        <f aca="false">IFERROR(INDEX('Historical Data'!$N$2:$N$9,MATCH($A75,'Historical Data'!$BE$2:$BE$9,0)),"")</f>
        <v/>
      </c>
      <c r="M75" s="114" t="str">
        <f aca="false">IFERROR(INDEX('Historical Data'!$Q$2:$Q$9,MATCH($A75,'Historical Data'!$BE$2:$BE$9,0)),"")</f>
        <v/>
      </c>
      <c r="N75" s="115" t="str">
        <f aca="false">IFERROR(INDEX('Historical Data'!$S$2:$S$9,MATCH($A75,'Historical Data'!$BE$2:$BE$9,0)),"")</f>
        <v/>
      </c>
      <c r="O75" s="114" t="str">
        <f aca="false">IFERROR(INDEX('Historical Data'!$AJ$2:$AJ$9,MATCH($A75,'Historical Data'!$BE$2:$BE$9,0)),"")</f>
        <v/>
      </c>
      <c r="P75" s="114" t="str">
        <f aca="false">IFERROR(INDEX('Historical Data'!$AK$2:$AK$9,MATCH($A75,'Historical Data'!$BE$2:$BE$9,0)),"")</f>
        <v/>
      </c>
      <c r="Q75" s="111" t="str">
        <f aca="false">IFERROR(INDEX('Historical Data'!$AA$2:$AA$9,MATCH($A75,'Historical Data'!$BE$2:$BE$9,0)),"")</f>
        <v/>
      </c>
      <c r="R75" s="111" t="str">
        <f aca="false">IFERROR(INDEX('Historical Data'!$AB$2:$AB$9,MATCH($A75,'Historical Data'!$BE$2:$BE$9,0)),"")</f>
        <v/>
      </c>
      <c r="S75" s="111" t="str">
        <f aca="false">IFERROR(INDEX('Historical Data'!$AN$2:$AN$9,MATCH($A75,'Historical Data'!$BE$2:$BE$9,0)),"")</f>
        <v/>
      </c>
      <c r="T75" s="111" t="str">
        <f aca="false">IFERROR(INDEX('Historical Data'!$AC$2:$AC$9,MATCH($A75,'Historical Data'!$BE$2:$BE$9,0)),"")</f>
        <v/>
      </c>
      <c r="U75" s="111" t="str">
        <f aca="false">IFERROR(INDEX('Historical Data'!$AE$2:$AE$9,MATCH($A75,'Historical Data'!$BE$2:$BE$9,0)),"")</f>
        <v/>
      </c>
      <c r="V75" s="111" t="str">
        <f aca="false">IFERROR(INDEX('Historical Data'!$AH$2:$AH$9,MATCH($A75,'Historical Data'!$BE$2:$BE$9,0)),"")</f>
        <v/>
      </c>
      <c r="W75" s="111" t="str">
        <f aca="false">IFERROR(INDEX('Historical Data'!$BC$2:$BC$9,MATCH($A75,'Historical Data'!$BE$2:$BE$9,0)),"")</f>
        <v/>
      </c>
      <c r="X75" s="110" t="str">
        <f aca="false">IF(B75="","",IF(W75=1,"NR + industry + position",IF(W75=2,"NR + ISO + position",IF(W75=3,"NR + industry",IF(W75=4,"NR + ISO",IF(W75=5,"NR + position",IF(W75=6,"NR only","book baseline"))))))&amp;"  ["&amp;IF(T75=1,"seasoned","unseasoned")&amp;IF(U75=1,", defaulted","")&amp;IF(V75=1,", open","")&amp;"]")</f>
        <v/>
      </c>
    </row>
    <row r="76" customFormat="false" ht="15" hidden="false" customHeight="false" outlineLevel="0" collapsed="false">
      <c r="A76" s="110" t="n">
        <v>72</v>
      </c>
      <c r="B76" s="111" t="str">
        <f aca="false">IFERROR(INDEX('Historical Data'!$A$2:$A$9,MATCH($A76,'Historical Data'!$BE$2:$BE$9,0)),"")</f>
        <v/>
      </c>
      <c r="C76" s="111" t="str">
        <f aca="false">IFERROR(INDEX('Historical Data'!$B$2:$B$9,MATCH($A76,'Historical Data'!$BE$2:$BE$9,0)),"")</f>
        <v/>
      </c>
      <c r="D76" s="111" t="str">
        <f aca="false">IFERROR(INDEX('Historical Data'!$D$2:$D$9,MATCH($A76,'Historical Data'!$BE$2:$BE$9,0)),"")</f>
        <v/>
      </c>
      <c r="E76" s="112" t="str">
        <f aca="false">IFERROR(INDEX('Historical Data'!$E$2:$E$9,MATCH($A76,'Historical Data'!$BE$2:$BE$9,0)),"")</f>
        <v/>
      </c>
      <c r="F76" s="111" t="str">
        <f aca="false">IFERROR(INDEX('Historical Data'!$G$2:$G$9,MATCH($A76,'Historical Data'!$BE$2:$BE$9,0)),"")</f>
        <v/>
      </c>
      <c r="G76" s="111" t="str">
        <f aca="false">IFERROR(INDEX('Historical Data'!$Y$2:$Y$9,MATCH($A76,'Historical Data'!$BE$2:$BE$9,0)),"")</f>
        <v/>
      </c>
      <c r="H76" s="111" t="str">
        <f aca="false">IFERROR(INDEX('Historical Data'!$K$2:$K$9,MATCH($A76,'Historical Data'!$BE$2:$BE$9,0)),"")</f>
        <v/>
      </c>
      <c r="I76" s="111" t="str">
        <f aca="false">IFERROR(INDEX('Historical Data'!$J$2:$J$9,MATCH($A76,'Historical Data'!$BE$2:$BE$9,0)),"")</f>
        <v/>
      </c>
      <c r="J76" s="111" t="str">
        <f aca="false">IFERROR(INDEX('Historical Data'!$L$2:$L$9,MATCH($A76,'Historical Data'!$BE$2:$BE$9,0)),"")</f>
        <v/>
      </c>
      <c r="K76" s="113" t="str">
        <f aca="false">IFERROR(INDEX('Historical Data'!$M$2:$M$9,MATCH($A76,'Historical Data'!$BE$2:$BE$9,0)),"")</f>
        <v/>
      </c>
      <c r="L76" s="114" t="str">
        <f aca="false">IFERROR(INDEX('Historical Data'!$N$2:$N$9,MATCH($A76,'Historical Data'!$BE$2:$BE$9,0)),"")</f>
        <v/>
      </c>
      <c r="M76" s="114" t="str">
        <f aca="false">IFERROR(INDEX('Historical Data'!$Q$2:$Q$9,MATCH($A76,'Historical Data'!$BE$2:$BE$9,0)),"")</f>
        <v/>
      </c>
      <c r="N76" s="115" t="str">
        <f aca="false">IFERROR(INDEX('Historical Data'!$S$2:$S$9,MATCH($A76,'Historical Data'!$BE$2:$BE$9,0)),"")</f>
        <v/>
      </c>
      <c r="O76" s="114" t="str">
        <f aca="false">IFERROR(INDEX('Historical Data'!$AJ$2:$AJ$9,MATCH($A76,'Historical Data'!$BE$2:$BE$9,0)),"")</f>
        <v/>
      </c>
      <c r="P76" s="114" t="str">
        <f aca="false">IFERROR(INDEX('Historical Data'!$AK$2:$AK$9,MATCH($A76,'Historical Data'!$BE$2:$BE$9,0)),"")</f>
        <v/>
      </c>
      <c r="Q76" s="111" t="str">
        <f aca="false">IFERROR(INDEX('Historical Data'!$AA$2:$AA$9,MATCH($A76,'Historical Data'!$BE$2:$BE$9,0)),"")</f>
        <v/>
      </c>
      <c r="R76" s="111" t="str">
        <f aca="false">IFERROR(INDEX('Historical Data'!$AB$2:$AB$9,MATCH($A76,'Historical Data'!$BE$2:$BE$9,0)),"")</f>
        <v/>
      </c>
      <c r="S76" s="111" t="str">
        <f aca="false">IFERROR(INDEX('Historical Data'!$AN$2:$AN$9,MATCH($A76,'Historical Data'!$BE$2:$BE$9,0)),"")</f>
        <v/>
      </c>
      <c r="T76" s="111" t="str">
        <f aca="false">IFERROR(INDEX('Historical Data'!$AC$2:$AC$9,MATCH($A76,'Historical Data'!$BE$2:$BE$9,0)),"")</f>
        <v/>
      </c>
      <c r="U76" s="111" t="str">
        <f aca="false">IFERROR(INDEX('Historical Data'!$AE$2:$AE$9,MATCH($A76,'Historical Data'!$BE$2:$BE$9,0)),"")</f>
        <v/>
      </c>
      <c r="V76" s="111" t="str">
        <f aca="false">IFERROR(INDEX('Historical Data'!$AH$2:$AH$9,MATCH($A76,'Historical Data'!$BE$2:$BE$9,0)),"")</f>
        <v/>
      </c>
      <c r="W76" s="111" t="str">
        <f aca="false">IFERROR(INDEX('Historical Data'!$BC$2:$BC$9,MATCH($A76,'Historical Data'!$BE$2:$BE$9,0)),"")</f>
        <v/>
      </c>
      <c r="X76" s="110" t="str">
        <f aca="false">IF(B76="","",IF(W76=1,"NR + industry + position",IF(W76=2,"NR + ISO + position",IF(W76=3,"NR + industry",IF(W76=4,"NR + ISO",IF(W76=5,"NR + position",IF(W76=6,"NR only","book baseline"))))))&amp;"  ["&amp;IF(T76=1,"seasoned","unseasoned")&amp;IF(U76=1,", defaulted","")&amp;IF(V76=1,", open","")&amp;"]")</f>
        <v/>
      </c>
    </row>
    <row r="77" customFormat="false" ht="15" hidden="false" customHeight="false" outlineLevel="0" collapsed="false">
      <c r="A77" s="110" t="n">
        <v>73</v>
      </c>
      <c r="B77" s="111" t="str">
        <f aca="false">IFERROR(INDEX('Historical Data'!$A$2:$A$9,MATCH($A77,'Historical Data'!$BE$2:$BE$9,0)),"")</f>
        <v/>
      </c>
      <c r="C77" s="111" t="str">
        <f aca="false">IFERROR(INDEX('Historical Data'!$B$2:$B$9,MATCH($A77,'Historical Data'!$BE$2:$BE$9,0)),"")</f>
        <v/>
      </c>
      <c r="D77" s="111" t="str">
        <f aca="false">IFERROR(INDEX('Historical Data'!$D$2:$D$9,MATCH($A77,'Historical Data'!$BE$2:$BE$9,0)),"")</f>
        <v/>
      </c>
      <c r="E77" s="112" t="str">
        <f aca="false">IFERROR(INDEX('Historical Data'!$E$2:$E$9,MATCH($A77,'Historical Data'!$BE$2:$BE$9,0)),"")</f>
        <v/>
      </c>
      <c r="F77" s="111" t="str">
        <f aca="false">IFERROR(INDEX('Historical Data'!$G$2:$G$9,MATCH($A77,'Historical Data'!$BE$2:$BE$9,0)),"")</f>
        <v/>
      </c>
      <c r="G77" s="111" t="str">
        <f aca="false">IFERROR(INDEX('Historical Data'!$Y$2:$Y$9,MATCH($A77,'Historical Data'!$BE$2:$BE$9,0)),"")</f>
        <v/>
      </c>
      <c r="H77" s="111" t="str">
        <f aca="false">IFERROR(INDEX('Historical Data'!$K$2:$K$9,MATCH($A77,'Historical Data'!$BE$2:$BE$9,0)),"")</f>
        <v/>
      </c>
      <c r="I77" s="111" t="str">
        <f aca="false">IFERROR(INDEX('Historical Data'!$J$2:$J$9,MATCH($A77,'Historical Data'!$BE$2:$BE$9,0)),"")</f>
        <v/>
      </c>
      <c r="J77" s="111" t="str">
        <f aca="false">IFERROR(INDEX('Historical Data'!$L$2:$L$9,MATCH($A77,'Historical Data'!$BE$2:$BE$9,0)),"")</f>
        <v/>
      </c>
      <c r="K77" s="113" t="str">
        <f aca="false">IFERROR(INDEX('Historical Data'!$M$2:$M$9,MATCH($A77,'Historical Data'!$BE$2:$BE$9,0)),"")</f>
        <v/>
      </c>
      <c r="L77" s="114" t="str">
        <f aca="false">IFERROR(INDEX('Historical Data'!$N$2:$N$9,MATCH($A77,'Historical Data'!$BE$2:$BE$9,0)),"")</f>
        <v/>
      </c>
      <c r="M77" s="114" t="str">
        <f aca="false">IFERROR(INDEX('Historical Data'!$Q$2:$Q$9,MATCH($A77,'Historical Data'!$BE$2:$BE$9,0)),"")</f>
        <v/>
      </c>
      <c r="N77" s="115" t="str">
        <f aca="false">IFERROR(INDEX('Historical Data'!$S$2:$S$9,MATCH($A77,'Historical Data'!$BE$2:$BE$9,0)),"")</f>
        <v/>
      </c>
      <c r="O77" s="114" t="str">
        <f aca="false">IFERROR(INDEX('Historical Data'!$AJ$2:$AJ$9,MATCH($A77,'Historical Data'!$BE$2:$BE$9,0)),"")</f>
        <v/>
      </c>
      <c r="P77" s="114" t="str">
        <f aca="false">IFERROR(INDEX('Historical Data'!$AK$2:$AK$9,MATCH($A77,'Historical Data'!$BE$2:$BE$9,0)),"")</f>
        <v/>
      </c>
      <c r="Q77" s="111" t="str">
        <f aca="false">IFERROR(INDEX('Historical Data'!$AA$2:$AA$9,MATCH($A77,'Historical Data'!$BE$2:$BE$9,0)),"")</f>
        <v/>
      </c>
      <c r="R77" s="111" t="str">
        <f aca="false">IFERROR(INDEX('Historical Data'!$AB$2:$AB$9,MATCH($A77,'Historical Data'!$BE$2:$BE$9,0)),"")</f>
        <v/>
      </c>
      <c r="S77" s="111" t="str">
        <f aca="false">IFERROR(INDEX('Historical Data'!$AN$2:$AN$9,MATCH($A77,'Historical Data'!$BE$2:$BE$9,0)),"")</f>
        <v/>
      </c>
      <c r="T77" s="111" t="str">
        <f aca="false">IFERROR(INDEX('Historical Data'!$AC$2:$AC$9,MATCH($A77,'Historical Data'!$BE$2:$BE$9,0)),"")</f>
        <v/>
      </c>
      <c r="U77" s="111" t="str">
        <f aca="false">IFERROR(INDEX('Historical Data'!$AE$2:$AE$9,MATCH($A77,'Historical Data'!$BE$2:$BE$9,0)),"")</f>
        <v/>
      </c>
      <c r="V77" s="111" t="str">
        <f aca="false">IFERROR(INDEX('Historical Data'!$AH$2:$AH$9,MATCH($A77,'Historical Data'!$BE$2:$BE$9,0)),"")</f>
        <v/>
      </c>
      <c r="W77" s="111" t="str">
        <f aca="false">IFERROR(INDEX('Historical Data'!$BC$2:$BC$9,MATCH($A77,'Historical Data'!$BE$2:$BE$9,0)),"")</f>
        <v/>
      </c>
      <c r="X77" s="110" t="str">
        <f aca="false">IF(B77="","",IF(W77=1,"NR + industry + position",IF(W77=2,"NR + ISO + position",IF(W77=3,"NR + industry",IF(W77=4,"NR + ISO",IF(W77=5,"NR + position",IF(W77=6,"NR only","book baseline"))))))&amp;"  ["&amp;IF(T77=1,"seasoned","unseasoned")&amp;IF(U77=1,", defaulted","")&amp;IF(V77=1,", open","")&amp;"]")</f>
        <v/>
      </c>
    </row>
    <row r="78" customFormat="false" ht="15" hidden="false" customHeight="false" outlineLevel="0" collapsed="false">
      <c r="A78" s="110" t="n">
        <v>74</v>
      </c>
      <c r="B78" s="111" t="str">
        <f aca="false">IFERROR(INDEX('Historical Data'!$A$2:$A$9,MATCH($A78,'Historical Data'!$BE$2:$BE$9,0)),"")</f>
        <v/>
      </c>
      <c r="C78" s="111" t="str">
        <f aca="false">IFERROR(INDEX('Historical Data'!$B$2:$B$9,MATCH($A78,'Historical Data'!$BE$2:$BE$9,0)),"")</f>
        <v/>
      </c>
      <c r="D78" s="111" t="str">
        <f aca="false">IFERROR(INDEX('Historical Data'!$D$2:$D$9,MATCH($A78,'Historical Data'!$BE$2:$BE$9,0)),"")</f>
        <v/>
      </c>
      <c r="E78" s="112" t="str">
        <f aca="false">IFERROR(INDEX('Historical Data'!$E$2:$E$9,MATCH($A78,'Historical Data'!$BE$2:$BE$9,0)),"")</f>
        <v/>
      </c>
      <c r="F78" s="111" t="str">
        <f aca="false">IFERROR(INDEX('Historical Data'!$G$2:$G$9,MATCH($A78,'Historical Data'!$BE$2:$BE$9,0)),"")</f>
        <v/>
      </c>
      <c r="G78" s="111" t="str">
        <f aca="false">IFERROR(INDEX('Historical Data'!$Y$2:$Y$9,MATCH($A78,'Historical Data'!$BE$2:$BE$9,0)),"")</f>
        <v/>
      </c>
      <c r="H78" s="111" t="str">
        <f aca="false">IFERROR(INDEX('Historical Data'!$K$2:$K$9,MATCH($A78,'Historical Data'!$BE$2:$BE$9,0)),"")</f>
        <v/>
      </c>
      <c r="I78" s="111" t="str">
        <f aca="false">IFERROR(INDEX('Historical Data'!$J$2:$J$9,MATCH($A78,'Historical Data'!$BE$2:$BE$9,0)),"")</f>
        <v/>
      </c>
      <c r="J78" s="111" t="str">
        <f aca="false">IFERROR(INDEX('Historical Data'!$L$2:$L$9,MATCH($A78,'Historical Data'!$BE$2:$BE$9,0)),"")</f>
        <v/>
      </c>
      <c r="K78" s="113" t="str">
        <f aca="false">IFERROR(INDEX('Historical Data'!$M$2:$M$9,MATCH($A78,'Historical Data'!$BE$2:$BE$9,0)),"")</f>
        <v/>
      </c>
      <c r="L78" s="114" t="str">
        <f aca="false">IFERROR(INDEX('Historical Data'!$N$2:$N$9,MATCH($A78,'Historical Data'!$BE$2:$BE$9,0)),"")</f>
        <v/>
      </c>
      <c r="M78" s="114" t="str">
        <f aca="false">IFERROR(INDEX('Historical Data'!$Q$2:$Q$9,MATCH($A78,'Historical Data'!$BE$2:$BE$9,0)),"")</f>
        <v/>
      </c>
      <c r="N78" s="115" t="str">
        <f aca="false">IFERROR(INDEX('Historical Data'!$S$2:$S$9,MATCH($A78,'Historical Data'!$BE$2:$BE$9,0)),"")</f>
        <v/>
      </c>
      <c r="O78" s="114" t="str">
        <f aca="false">IFERROR(INDEX('Historical Data'!$AJ$2:$AJ$9,MATCH($A78,'Historical Data'!$BE$2:$BE$9,0)),"")</f>
        <v/>
      </c>
      <c r="P78" s="114" t="str">
        <f aca="false">IFERROR(INDEX('Historical Data'!$AK$2:$AK$9,MATCH($A78,'Historical Data'!$BE$2:$BE$9,0)),"")</f>
        <v/>
      </c>
      <c r="Q78" s="111" t="str">
        <f aca="false">IFERROR(INDEX('Historical Data'!$AA$2:$AA$9,MATCH($A78,'Historical Data'!$BE$2:$BE$9,0)),"")</f>
        <v/>
      </c>
      <c r="R78" s="111" t="str">
        <f aca="false">IFERROR(INDEX('Historical Data'!$AB$2:$AB$9,MATCH($A78,'Historical Data'!$BE$2:$BE$9,0)),"")</f>
        <v/>
      </c>
      <c r="S78" s="111" t="str">
        <f aca="false">IFERROR(INDEX('Historical Data'!$AN$2:$AN$9,MATCH($A78,'Historical Data'!$BE$2:$BE$9,0)),"")</f>
        <v/>
      </c>
      <c r="T78" s="111" t="str">
        <f aca="false">IFERROR(INDEX('Historical Data'!$AC$2:$AC$9,MATCH($A78,'Historical Data'!$BE$2:$BE$9,0)),"")</f>
        <v/>
      </c>
      <c r="U78" s="111" t="str">
        <f aca="false">IFERROR(INDEX('Historical Data'!$AE$2:$AE$9,MATCH($A78,'Historical Data'!$BE$2:$BE$9,0)),"")</f>
        <v/>
      </c>
      <c r="V78" s="111" t="str">
        <f aca="false">IFERROR(INDEX('Historical Data'!$AH$2:$AH$9,MATCH($A78,'Historical Data'!$BE$2:$BE$9,0)),"")</f>
        <v/>
      </c>
      <c r="W78" s="111" t="str">
        <f aca="false">IFERROR(INDEX('Historical Data'!$BC$2:$BC$9,MATCH($A78,'Historical Data'!$BE$2:$BE$9,0)),"")</f>
        <v/>
      </c>
      <c r="X78" s="110" t="str">
        <f aca="false">IF(B78="","",IF(W78=1,"NR + industry + position",IF(W78=2,"NR + ISO + position",IF(W78=3,"NR + industry",IF(W78=4,"NR + ISO",IF(W78=5,"NR + position",IF(W78=6,"NR only","book baseline"))))))&amp;"  ["&amp;IF(T78=1,"seasoned","unseasoned")&amp;IF(U78=1,", defaulted","")&amp;IF(V78=1,", open","")&amp;"]")</f>
        <v/>
      </c>
    </row>
    <row r="79" customFormat="false" ht="15" hidden="false" customHeight="false" outlineLevel="0" collapsed="false">
      <c r="A79" s="110" t="n">
        <v>75</v>
      </c>
      <c r="B79" s="111" t="str">
        <f aca="false">IFERROR(INDEX('Historical Data'!$A$2:$A$9,MATCH($A79,'Historical Data'!$BE$2:$BE$9,0)),"")</f>
        <v/>
      </c>
      <c r="C79" s="111" t="str">
        <f aca="false">IFERROR(INDEX('Historical Data'!$B$2:$B$9,MATCH($A79,'Historical Data'!$BE$2:$BE$9,0)),"")</f>
        <v/>
      </c>
      <c r="D79" s="111" t="str">
        <f aca="false">IFERROR(INDEX('Historical Data'!$D$2:$D$9,MATCH($A79,'Historical Data'!$BE$2:$BE$9,0)),"")</f>
        <v/>
      </c>
      <c r="E79" s="112" t="str">
        <f aca="false">IFERROR(INDEX('Historical Data'!$E$2:$E$9,MATCH($A79,'Historical Data'!$BE$2:$BE$9,0)),"")</f>
        <v/>
      </c>
      <c r="F79" s="111" t="str">
        <f aca="false">IFERROR(INDEX('Historical Data'!$G$2:$G$9,MATCH($A79,'Historical Data'!$BE$2:$BE$9,0)),"")</f>
        <v/>
      </c>
      <c r="G79" s="111" t="str">
        <f aca="false">IFERROR(INDEX('Historical Data'!$Y$2:$Y$9,MATCH($A79,'Historical Data'!$BE$2:$BE$9,0)),"")</f>
        <v/>
      </c>
      <c r="H79" s="111" t="str">
        <f aca="false">IFERROR(INDEX('Historical Data'!$K$2:$K$9,MATCH($A79,'Historical Data'!$BE$2:$BE$9,0)),"")</f>
        <v/>
      </c>
      <c r="I79" s="111" t="str">
        <f aca="false">IFERROR(INDEX('Historical Data'!$J$2:$J$9,MATCH($A79,'Historical Data'!$BE$2:$BE$9,0)),"")</f>
        <v/>
      </c>
      <c r="J79" s="111" t="str">
        <f aca="false">IFERROR(INDEX('Historical Data'!$L$2:$L$9,MATCH($A79,'Historical Data'!$BE$2:$BE$9,0)),"")</f>
        <v/>
      </c>
      <c r="K79" s="113" t="str">
        <f aca="false">IFERROR(INDEX('Historical Data'!$M$2:$M$9,MATCH($A79,'Historical Data'!$BE$2:$BE$9,0)),"")</f>
        <v/>
      </c>
      <c r="L79" s="114" t="str">
        <f aca="false">IFERROR(INDEX('Historical Data'!$N$2:$N$9,MATCH($A79,'Historical Data'!$BE$2:$BE$9,0)),"")</f>
        <v/>
      </c>
      <c r="M79" s="114" t="str">
        <f aca="false">IFERROR(INDEX('Historical Data'!$Q$2:$Q$9,MATCH($A79,'Historical Data'!$BE$2:$BE$9,0)),"")</f>
        <v/>
      </c>
      <c r="N79" s="115" t="str">
        <f aca="false">IFERROR(INDEX('Historical Data'!$S$2:$S$9,MATCH($A79,'Historical Data'!$BE$2:$BE$9,0)),"")</f>
        <v/>
      </c>
      <c r="O79" s="114" t="str">
        <f aca="false">IFERROR(INDEX('Historical Data'!$AJ$2:$AJ$9,MATCH($A79,'Historical Data'!$BE$2:$BE$9,0)),"")</f>
        <v/>
      </c>
      <c r="P79" s="114" t="str">
        <f aca="false">IFERROR(INDEX('Historical Data'!$AK$2:$AK$9,MATCH($A79,'Historical Data'!$BE$2:$BE$9,0)),"")</f>
        <v/>
      </c>
      <c r="Q79" s="111" t="str">
        <f aca="false">IFERROR(INDEX('Historical Data'!$AA$2:$AA$9,MATCH($A79,'Historical Data'!$BE$2:$BE$9,0)),"")</f>
        <v/>
      </c>
      <c r="R79" s="111" t="str">
        <f aca="false">IFERROR(INDEX('Historical Data'!$AB$2:$AB$9,MATCH($A79,'Historical Data'!$BE$2:$BE$9,0)),"")</f>
        <v/>
      </c>
      <c r="S79" s="111" t="str">
        <f aca="false">IFERROR(INDEX('Historical Data'!$AN$2:$AN$9,MATCH($A79,'Historical Data'!$BE$2:$BE$9,0)),"")</f>
        <v/>
      </c>
      <c r="T79" s="111" t="str">
        <f aca="false">IFERROR(INDEX('Historical Data'!$AC$2:$AC$9,MATCH($A79,'Historical Data'!$BE$2:$BE$9,0)),"")</f>
        <v/>
      </c>
      <c r="U79" s="111" t="str">
        <f aca="false">IFERROR(INDEX('Historical Data'!$AE$2:$AE$9,MATCH($A79,'Historical Data'!$BE$2:$BE$9,0)),"")</f>
        <v/>
      </c>
      <c r="V79" s="111" t="str">
        <f aca="false">IFERROR(INDEX('Historical Data'!$AH$2:$AH$9,MATCH($A79,'Historical Data'!$BE$2:$BE$9,0)),"")</f>
        <v/>
      </c>
      <c r="W79" s="111" t="str">
        <f aca="false">IFERROR(INDEX('Historical Data'!$BC$2:$BC$9,MATCH($A79,'Historical Data'!$BE$2:$BE$9,0)),"")</f>
        <v/>
      </c>
      <c r="X79" s="110" t="str">
        <f aca="false">IF(B79="","",IF(W79=1,"NR + industry + position",IF(W79=2,"NR + ISO + position",IF(W79=3,"NR + industry",IF(W79=4,"NR + ISO",IF(W79=5,"NR + position",IF(W79=6,"NR only","book baseline"))))))&amp;"  ["&amp;IF(T79=1,"seasoned","unseasoned")&amp;IF(U79=1,", defaulted","")&amp;IF(V79=1,", open","")&amp;"]")</f>
        <v/>
      </c>
    </row>
    <row r="80" customFormat="false" ht="15" hidden="false" customHeight="false" outlineLevel="0" collapsed="false">
      <c r="A80" s="110" t="n">
        <v>76</v>
      </c>
      <c r="B80" s="111" t="str">
        <f aca="false">IFERROR(INDEX('Historical Data'!$A$2:$A$9,MATCH($A80,'Historical Data'!$BE$2:$BE$9,0)),"")</f>
        <v/>
      </c>
      <c r="C80" s="111" t="str">
        <f aca="false">IFERROR(INDEX('Historical Data'!$B$2:$B$9,MATCH($A80,'Historical Data'!$BE$2:$BE$9,0)),"")</f>
        <v/>
      </c>
      <c r="D80" s="111" t="str">
        <f aca="false">IFERROR(INDEX('Historical Data'!$D$2:$D$9,MATCH($A80,'Historical Data'!$BE$2:$BE$9,0)),"")</f>
        <v/>
      </c>
      <c r="E80" s="112" t="str">
        <f aca="false">IFERROR(INDEX('Historical Data'!$E$2:$E$9,MATCH($A80,'Historical Data'!$BE$2:$BE$9,0)),"")</f>
        <v/>
      </c>
      <c r="F80" s="111" t="str">
        <f aca="false">IFERROR(INDEX('Historical Data'!$G$2:$G$9,MATCH($A80,'Historical Data'!$BE$2:$BE$9,0)),"")</f>
        <v/>
      </c>
      <c r="G80" s="111" t="str">
        <f aca="false">IFERROR(INDEX('Historical Data'!$Y$2:$Y$9,MATCH($A80,'Historical Data'!$BE$2:$BE$9,0)),"")</f>
        <v/>
      </c>
      <c r="H80" s="111" t="str">
        <f aca="false">IFERROR(INDEX('Historical Data'!$K$2:$K$9,MATCH($A80,'Historical Data'!$BE$2:$BE$9,0)),"")</f>
        <v/>
      </c>
      <c r="I80" s="111" t="str">
        <f aca="false">IFERROR(INDEX('Historical Data'!$J$2:$J$9,MATCH($A80,'Historical Data'!$BE$2:$BE$9,0)),"")</f>
        <v/>
      </c>
      <c r="J80" s="111" t="str">
        <f aca="false">IFERROR(INDEX('Historical Data'!$L$2:$L$9,MATCH($A80,'Historical Data'!$BE$2:$BE$9,0)),"")</f>
        <v/>
      </c>
      <c r="K80" s="113" t="str">
        <f aca="false">IFERROR(INDEX('Historical Data'!$M$2:$M$9,MATCH($A80,'Historical Data'!$BE$2:$BE$9,0)),"")</f>
        <v/>
      </c>
      <c r="L80" s="114" t="str">
        <f aca="false">IFERROR(INDEX('Historical Data'!$N$2:$N$9,MATCH($A80,'Historical Data'!$BE$2:$BE$9,0)),"")</f>
        <v/>
      </c>
      <c r="M80" s="114" t="str">
        <f aca="false">IFERROR(INDEX('Historical Data'!$Q$2:$Q$9,MATCH($A80,'Historical Data'!$BE$2:$BE$9,0)),"")</f>
        <v/>
      </c>
      <c r="N80" s="115" t="str">
        <f aca="false">IFERROR(INDEX('Historical Data'!$S$2:$S$9,MATCH($A80,'Historical Data'!$BE$2:$BE$9,0)),"")</f>
        <v/>
      </c>
      <c r="O80" s="114" t="str">
        <f aca="false">IFERROR(INDEX('Historical Data'!$AJ$2:$AJ$9,MATCH($A80,'Historical Data'!$BE$2:$BE$9,0)),"")</f>
        <v/>
      </c>
      <c r="P80" s="114" t="str">
        <f aca="false">IFERROR(INDEX('Historical Data'!$AK$2:$AK$9,MATCH($A80,'Historical Data'!$BE$2:$BE$9,0)),"")</f>
        <v/>
      </c>
      <c r="Q80" s="111" t="str">
        <f aca="false">IFERROR(INDEX('Historical Data'!$AA$2:$AA$9,MATCH($A80,'Historical Data'!$BE$2:$BE$9,0)),"")</f>
        <v/>
      </c>
      <c r="R80" s="111" t="str">
        <f aca="false">IFERROR(INDEX('Historical Data'!$AB$2:$AB$9,MATCH($A80,'Historical Data'!$BE$2:$BE$9,0)),"")</f>
        <v/>
      </c>
      <c r="S80" s="111" t="str">
        <f aca="false">IFERROR(INDEX('Historical Data'!$AN$2:$AN$9,MATCH($A80,'Historical Data'!$BE$2:$BE$9,0)),"")</f>
        <v/>
      </c>
      <c r="T80" s="111" t="str">
        <f aca="false">IFERROR(INDEX('Historical Data'!$AC$2:$AC$9,MATCH($A80,'Historical Data'!$BE$2:$BE$9,0)),"")</f>
        <v/>
      </c>
      <c r="U80" s="111" t="str">
        <f aca="false">IFERROR(INDEX('Historical Data'!$AE$2:$AE$9,MATCH($A80,'Historical Data'!$BE$2:$BE$9,0)),"")</f>
        <v/>
      </c>
      <c r="V80" s="111" t="str">
        <f aca="false">IFERROR(INDEX('Historical Data'!$AH$2:$AH$9,MATCH($A80,'Historical Data'!$BE$2:$BE$9,0)),"")</f>
        <v/>
      </c>
      <c r="W80" s="111" t="str">
        <f aca="false">IFERROR(INDEX('Historical Data'!$BC$2:$BC$9,MATCH($A80,'Historical Data'!$BE$2:$BE$9,0)),"")</f>
        <v/>
      </c>
      <c r="X80" s="110" t="str">
        <f aca="false">IF(B80="","",IF(W80=1,"NR + industry + position",IF(W80=2,"NR + ISO + position",IF(W80=3,"NR + industry",IF(W80=4,"NR + ISO",IF(W80=5,"NR + position",IF(W80=6,"NR only","book baseline"))))))&amp;"  ["&amp;IF(T80=1,"seasoned","unseasoned")&amp;IF(U80=1,", defaulted","")&amp;IF(V80=1,", open","")&amp;"]")</f>
        <v/>
      </c>
    </row>
    <row r="81" customFormat="false" ht="15" hidden="false" customHeight="false" outlineLevel="0" collapsed="false">
      <c r="A81" s="110" t="n">
        <v>77</v>
      </c>
      <c r="B81" s="111" t="str">
        <f aca="false">IFERROR(INDEX('Historical Data'!$A$2:$A$9,MATCH($A81,'Historical Data'!$BE$2:$BE$9,0)),"")</f>
        <v/>
      </c>
      <c r="C81" s="111" t="str">
        <f aca="false">IFERROR(INDEX('Historical Data'!$B$2:$B$9,MATCH($A81,'Historical Data'!$BE$2:$BE$9,0)),"")</f>
        <v/>
      </c>
      <c r="D81" s="111" t="str">
        <f aca="false">IFERROR(INDEX('Historical Data'!$D$2:$D$9,MATCH($A81,'Historical Data'!$BE$2:$BE$9,0)),"")</f>
        <v/>
      </c>
      <c r="E81" s="112" t="str">
        <f aca="false">IFERROR(INDEX('Historical Data'!$E$2:$E$9,MATCH($A81,'Historical Data'!$BE$2:$BE$9,0)),"")</f>
        <v/>
      </c>
      <c r="F81" s="111" t="str">
        <f aca="false">IFERROR(INDEX('Historical Data'!$G$2:$G$9,MATCH($A81,'Historical Data'!$BE$2:$BE$9,0)),"")</f>
        <v/>
      </c>
      <c r="G81" s="111" t="str">
        <f aca="false">IFERROR(INDEX('Historical Data'!$Y$2:$Y$9,MATCH($A81,'Historical Data'!$BE$2:$BE$9,0)),"")</f>
        <v/>
      </c>
      <c r="H81" s="111" t="str">
        <f aca="false">IFERROR(INDEX('Historical Data'!$K$2:$K$9,MATCH($A81,'Historical Data'!$BE$2:$BE$9,0)),"")</f>
        <v/>
      </c>
      <c r="I81" s="111" t="str">
        <f aca="false">IFERROR(INDEX('Historical Data'!$J$2:$J$9,MATCH($A81,'Historical Data'!$BE$2:$BE$9,0)),"")</f>
        <v/>
      </c>
      <c r="J81" s="111" t="str">
        <f aca="false">IFERROR(INDEX('Historical Data'!$L$2:$L$9,MATCH($A81,'Historical Data'!$BE$2:$BE$9,0)),"")</f>
        <v/>
      </c>
      <c r="K81" s="113" t="str">
        <f aca="false">IFERROR(INDEX('Historical Data'!$M$2:$M$9,MATCH($A81,'Historical Data'!$BE$2:$BE$9,0)),"")</f>
        <v/>
      </c>
      <c r="L81" s="114" t="str">
        <f aca="false">IFERROR(INDEX('Historical Data'!$N$2:$N$9,MATCH($A81,'Historical Data'!$BE$2:$BE$9,0)),"")</f>
        <v/>
      </c>
      <c r="M81" s="114" t="str">
        <f aca="false">IFERROR(INDEX('Historical Data'!$Q$2:$Q$9,MATCH($A81,'Historical Data'!$BE$2:$BE$9,0)),"")</f>
        <v/>
      </c>
      <c r="N81" s="115" t="str">
        <f aca="false">IFERROR(INDEX('Historical Data'!$S$2:$S$9,MATCH($A81,'Historical Data'!$BE$2:$BE$9,0)),"")</f>
        <v/>
      </c>
      <c r="O81" s="114" t="str">
        <f aca="false">IFERROR(INDEX('Historical Data'!$AJ$2:$AJ$9,MATCH($A81,'Historical Data'!$BE$2:$BE$9,0)),"")</f>
        <v/>
      </c>
      <c r="P81" s="114" t="str">
        <f aca="false">IFERROR(INDEX('Historical Data'!$AK$2:$AK$9,MATCH($A81,'Historical Data'!$BE$2:$BE$9,0)),"")</f>
        <v/>
      </c>
      <c r="Q81" s="111" t="str">
        <f aca="false">IFERROR(INDEX('Historical Data'!$AA$2:$AA$9,MATCH($A81,'Historical Data'!$BE$2:$BE$9,0)),"")</f>
        <v/>
      </c>
      <c r="R81" s="111" t="str">
        <f aca="false">IFERROR(INDEX('Historical Data'!$AB$2:$AB$9,MATCH($A81,'Historical Data'!$BE$2:$BE$9,0)),"")</f>
        <v/>
      </c>
      <c r="S81" s="111" t="str">
        <f aca="false">IFERROR(INDEX('Historical Data'!$AN$2:$AN$9,MATCH($A81,'Historical Data'!$BE$2:$BE$9,0)),"")</f>
        <v/>
      </c>
      <c r="T81" s="111" t="str">
        <f aca="false">IFERROR(INDEX('Historical Data'!$AC$2:$AC$9,MATCH($A81,'Historical Data'!$BE$2:$BE$9,0)),"")</f>
        <v/>
      </c>
      <c r="U81" s="111" t="str">
        <f aca="false">IFERROR(INDEX('Historical Data'!$AE$2:$AE$9,MATCH($A81,'Historical Data'!$BE$2:$BE$9,0)),"")</f>
        <v/>
      </c>
      <c r="V81" s="111" t="str">
        <f aca="false">IFERROR(INDEX('Historical Data'!$AH$2:$AH$9,MATCH($A81,'Historical Data'!$BE$2:$BE$9,0)),"")</f>
        <v/>
      </c>
      <c r="W81" s="111" t="str">
        <f aca="false">IFERROR(INDEX('Historical Data'!$BC$2:$BC$9,MATCH($A81,'Historical Data'!$BE$2:$BE$9,0)),"")</f>
        <v/>
      </c>
      <c r="X81" s="110" t="str">
        <f aca="false">IF(B81="","",IF(W81=1,"NR + industry + position",IF(W81=2,"NR + ISO + position",IF(W81=3,"NR + industry",IF(W81=4,"NR + ISO",IF(W81=5,"NR + position",IF(W81=6,"NR only","book baseline"))))))&amp;"  ["&amp;IF(T81=1,"seasoned","unseasoned")&amp;IF(U81=1,", defaulted","")&amp;IF(V81=1,", open","")&amp;"]")</f>
        <v/>
      </c>
    </row>
    <row r="82" customFormat="false" ht="15" hidden="false" customHeight="false" outlineLevel="0" collapsed="false">
      <c r="A82" s="110" t="n">
        <v>78</v>
      </c>
      <c r="B82" s="111" t="str">
        <f aca="false">IFERROR(INDEX('Historical Data'!$A$2:$A$9,MATCH($A82,'Historical Data'!$BE$2:$BE$9,0)),"")</f>
        <v/>
      </c>
      <c r="C82" s="111" t="str">
        <f aca="false">IFERROR(INDEX('Historical Data'!$B$2:$B$9,MATCH($A82,'Historical Data'!$BE$2:$BE$9,0)),"")</f>
        <v/>
      </c>
      <c r="D82" s="111" t="str">
        <f aca="false">IFERROR(INDEX('Historical Data'!$D$2:$D$9,MATCH($A82,'Historical Data'!$BE$2:$BE$9,0)),"")</f>
        <v/>
      </c>
      <c r="E82" s="112" t="str">
        <f aca="false">IFERROR(INDEX('Historical Data'!$E$2:$E$9,MATCH($A82,'Historical Data'!$BE$2:$BE$9,0)),"")</f>
        <v/>
      </c>
      <c r="F82" s="111" t="str">
        <f aca="false">IFERROR(INDEX('Historical Data'!$G$2:$G$9,MATCH($A82,'Historical Data'!$BE$2:$BE$9,0)),"")</f>
        <v/>
      </c>
      <c r="G82" s="111" t="str">
        <f aca="false">IFERROR(INDEX('Historical Data'!$Y$2:$Y$9,MATCH($A82,'Historical Data'!$BE$2:$BE$9,0)),"")</f>
        <v/>
      </c>
      <c r="H82" s="111" t="str">
        <f aca="false">IFERROR(INDEX('Historical Data'!$K$2:$K$9,MATCH($A82,'Historical Data'!$BE$2:$BE$9,0)),"")</f>
        <v/>
      </c>
      <c r="I82" s="111" t="str">
        <f aca="false">IFERROR(INDEX('Historical Data'!$J$2:$J$9,MATCH($A82,'Historical Data'!$BE$2:$BE$9,0)),"")</f>
        <v/>
      </c>
      <c r="J82" s="111" t="str">
        <f aca="false">IFERROR(INDEX('Historical Data'!$L$2:$L$9,MATCH($A82,'Historical Data'!$BE$2:$BE$9,0)),"")</f>
        <v/>
      </c>
      <c r="K82" s="113" t="str">
        <f aca="false">IFERROR(INDEX('Historical Data'!$M$2:$M$9,MATCH($A82,'Historical Data'!$BE$2:$BE$9,0)),"")</f>
        <v/>
      </c>
      <c r="L82" s="114" t="str">
        <f aca="false">IFERROR(INDEX('Historical Data'!$N$2:$N$9,MATCH($A82,'Historical Data'!$BE$2:$BE$9,0)),"")</f>
        <v/>
      </c>
      <c r="M82" s="114" t="str">
        <f aca="false">IFERROR(INDEX('Historical Data'!$Q$2:$Q$9,MATCH($A82,'Historical Data'!$BE$2:$BE$9,0)),"")</f>
        <v/>
      </c>
      <c r="N82" s="115" t="str">
        <f aca="false">IFERROR(INDEX('Historical Data'!$S$2:$S$9,MATCH($A82,'Historical Data'!$BE$2:$BE$9,0)),"")</f>
        <v/>
      </c>
      <c r="O82" s="114" t="str">
        <f aca="false">IFERROR(INDEX('Historical Data'!$AJ$2:$AJ$9,MATCH($A82,'Historical Data'!$BE$2:$BE$9,0)),"")</f>
        <v/>
      </c>
      <c r="P82" s="114" t="str">
        <f aca="false">IFERROR(INDEX('Historical Data'!$AK$2:$AK$9,MATCH($A82,'Historical Data'!$BE$2:$BE$9,0)),"")</f>
        <v/>
      </c>
      <c r="Q82" s="111" t="str">
        <f aca="false">IFERROR(INDEX('Historical Data'!$AA$2:$AA$9,MATCH($A82,'Historical Data'!$BE$2:$BE$9,0)),"")</f>
        <v/>
      </c>
      <c r="R82" s="111" t="str">
        <f aca="false">IFERROR(INDEX('Historical Data'!$AB$2:$AB$9,MATCH($A82,'Historical Data'!$BE$2:$BE$9,0)),"")</f>
        <v/>
      </c>
      <c r="S82" s="111" t="str">
        <f aca="false">IFERROR(INDEX('Historical Data'!$AN$2:$AN$9,MATCH($A82,'Historical Data'!$BE$2:$BE$9,0)),"")</f>
        <v/>
      </c>
      <c r="T82" s="111" t="str">
        <f aca="false">IFERROR(INDEX('Historical Data'!$AC$2:$AC$9,MATCH($A82,'Historical Data'!$BE$2:$BE$9,0)),"")</f>
        <v/>
      </c>
      <c r="U82" s="111" t="str">
        <f aca="false">IFERROR(INDEX('Historical Data'!$AE$2:$AE$9,MATCH($A82,'Historical Data'!$BE$2:$BE$9,0)),"")</f>
        <v/>
      </c>
      <c r="V82" s="111" t="str">
        <f aca="false">IFERROR(INDEX('Historical Data'!$AH$2:$AH$9,MATCH($A82,'Historical Data'!$BE$2:$BE$9,0)),"")</f>
        <v/>
      </c>
      <c r="W82" s="111" t="str">
        <f aca="false">IFERROR(INDEX('Historical Data'!$BC$2:$BC$9,MATCH($A82,'Historical Data'!$BE$2:$BE$9,0)),"")</f>
        <v/>
      </c>
      <c r="X82" s="110" t="str">
        <f aca="false">IF(B82="","",IF(W82=1,"NR + industry + position",IF(W82=2,"NR + ISO + position",IF(W82=3,"NR + industry",IF(W82=4,"NR + ISO",IF(W82=5,"NR + position",IF(W82=6,"NR only","book baseline"))))))&amp;"  ["&amp;IF(T82=1,"seasoned","unseasoned")&amp;IF(U82=1,", defaulted","")&amp;IF(V82=1,", open","")&amp;"]")</f>
        <v/>
      </c>
    </row>
    <row r="83" customFormat="false" ht="15" hidden="false" customHeight="false" outlineLevel="0" collapsed="false">
      <c r="A83" s="110" t="n">
        <v>79</v>
      </c>
      <c r="B83" s="111" t="str">
        <f aca="false">IFERROR(INDEX('Historical Data'!$A$2:$A$9,MATCH($A83,'Historical Data'!$BE$2:$BE$9,0)),"")</f>
        <v/>
      </c>
      <c r="C83" s="111" t="str">
        <f aca="false">IFERROR(INDEX('Historical Data'!$B$2:$B$9,MATCH($A83,'Historical Data'!$BE$2:$BE$9,0)),"")</f>
        <v/>
      </c>
      <c r="D83" s="111" t="str">
        <f aca="false">IFERROR(INDEX('Historical Data'!$D$2:$D$9,MATCH($A83,'Historical Data'!$BE$2:$BE$9,0)),"")</f>
        <v/>
      </c>
      <c r="E83" s="112" t="str">
        <f aca="false">IFERROR(INDEX('Historical Data'!$E$2:$E$9,MATCH($A83,'Historical Data'!$BE$2:$BE$9,0)),"")</f>
        <v/>
      </c>
      <c r="F83" s="111" t="str">
        <f aca="false">IFERROR(INDEX('Historical Data'!$G$2:$G$9,MATCH($A83,'Historical Data'!$BE$2:$BE$9,0)),"")</f>
        <v/>
      </c>
      <c r="G83" s="111" t="str">
        <f aca="false">IFERROR(INDEX('Historical Data'!$Y$2:$Y$9,MATCH($A83,'Historical Data'!$BE$2:$BE$9,0)),"")</f>
        <v/>
      </c>
      <c r="H83" s="111" t="str">
        <f aca="false">IFERROR(INDEX('Historical Data'!$K$2:$K$9,MATCH($A83,'Historical Data'!$BE$2:$BE$9,0)),"")</f>
        <v/>
      </c>
      <c r="I83" s="111" t="str">
        <f aca="false">IFERROR(INDEX('Historical Data'!$J$2:$J$9,MATCH($A83,'Historical Data'!$BE$2:$BE$9,0)),"")</f>
        <v/>
      </c>
      <c r="J83" s="111" t="str">
        <f aca="false">IFERROR(INDEX('Historical Data'!$L$2:$L$9,MATCH($A83,'Historical Data'!$BE$2:$BE$9,0)),"")</f>
        <v/>
      </c>
      <c r="K83" s="113" t="str">
        <f aca="false">IFERROR(INDEX('Historical Data'!$M$2:$M$9,MATCH($A83,'Historical Data'!$BE$2:$BE$9,0)),"")</f>
        <v/>
      </c>
      <c r="L83" s="114" t="str">
        <f aca="false">IFERROR(INDEX('Historical Data'!$N$2:$N$9,MATCH($A83,'Historical Data'!$BE$2:$BE$9,0)),"")</f>
        <v/>
      </c>
      <c r="M83" s="114" t="str">
        <f aca="false">IFERROR(INDEX('Historical Data'!$Q$2:$Q$9,MATCH($A83,'Historical Data'!$BE$2:$BE$9,0)),"")</f>
        <v/>
      </c>
      <c r="N83" s="115" t="str">
        <f aca="false">IFERROR(INDEX('Historical Data'!$S$2:$S$9,MATCH($A83,'Historical Data'!$BE$2:$BE$9,0)),"")</f>
        <v/>
      </c>
      <c r="O83" s="114" t="str">
        <f aca="false">IFERROR(INDEX('Historical Data'!$AJ$2:$AJ$9,MATCH($A83,'Historical Data'!$BE$2:$BE$9,0)),"")</f>
        <v/>
      </c>
      <c r="P83" s="114" t="str">
        <f aca="false">IFERROR(INDEX('Historical Data'!$AK$2:$AK$9,MATCH($A83,'Historical Data'!$BE$2:$BE$9,0)),"")</f>
        <v/>
      </c>
      <c r="Q83" s="111" t="str">
        <f aca="false">IFERROR(INDEX('Historical Data'!$AA$2:$AA$9,MATCH($A83,'Historical Data'!$BE$2:$BE$9,0)),"")</f>
        <v/>
      </c>
      <c r="R83" s="111" t="str">
        <f aca="false">IFERROR(INDEX('Historical Data'!$AB$2:$AB$9,MATCH($A83,'Historical Data'!$BE$2:$BE$9,0)),"")</f>
        <v/>
      </c>
      <c r="S83" s="111" t="str">
        <f aca="false">IFERROR(INDEX('Historical Data'!$AN$2:$AN$9,MATCH($A83,'Historical Data'!$BE$2:$BE$9,0)),"")</f>
        <v/>
      </c>
      <c r="T83" s="111" t="str">
        <f aca="false">IFERROR(INDEX('Historical Data'!$AC$2:$AC$9,MATCH($A83,'Historical Data'!$BE$2:$BE$9,0)),"")</f>
        <v/>
      </c>
      <c r="U83" s="111" t="str">
        <f aca="false">IFERROR(INDEX('Historical Data'!$AE$2:$AE$9,MATCH($A83,'Historical Data'!$BE$2:$BE$9,0)),"")</f>
        <v/>
      </c>
      <c r="V83" s="111" t="str">
        <f aca="false">IFERROR(INDEX('Historical Data'!$AH$2:$AH$9,MATCH($A83,'Historical Data'!$BE$2:$BE$9,0)),"")</f>
        <v/>
      </c>
      <c r="W83" s="111" t="str">
        <f aca="false">IFERROR(INDEX('Historical Data'!$BC$2:$BC$9,MATCH($A83,'Historical Data'!$BE$2:$BE$9,0)),"")</f>
        <v/>
      </c>
      <c r="X83" s="110" t="str">
        <f aca="false">IF(B83="","",IF(W83=1,"NR + industry + position",IF(W83=2,"NR + ISO + position",IF(W83=3,"NR + industry",IF(W83=4,"NR + ISO",IF(W83=5,"NR + position",IF(W83=6,"NR only","book baseline"))))))&amp;"  ["&amp;IF(T83=1,"seasoned","unseasoned")&amp;IF(U83=1,", defaulted","")&amp;IF(V83=1,", open","")&amp;"]")</f>
        <v/>
      </c>
    </row>
    <row r="84" customFormat="false" ht="15" hidden="false" customHeight="false" outlineLevel="0" collapsed="false">
      <c r="A84" s="110" t="n">
        <v>80</v>
      </c>
      <c r="B84" s="111" t="str">
        <f aca="false">IFERROR(INDEX('Historical Data'!$A$2:$A$9,MATCH($A84,'Historical Data'!$BE$2:$BE$9,0)),"")</f>
        <v/>
      </c>
      <c r="C84" s="111" t="str">
        <f aca="false">IFERROR(INDEX('Historical Data'!$B$2:$B$9,MATCH($A84,'Historical Data'!$BE$2:$BE$9,0)),"")</f>
        <v/>
      </c>
      <c r="D84" s="111" t="str">
        <f aca="false">IFERROR(INDEX('Historical Data'!$D$2:$D$9,MATCH($A84,'Historical Data'!$BE$2:$BE$9,0)),"")</f>
        <v/>
      </c>
      <c r="E84" s="112" t="str">
        <f aca="false">IFERROR(INDEX('Historical Data'!$E$2:$E$9,MATCH($A84,'Historical Data'!$BE$2:$BE$9,0)),"")</f>
        <v/>
      </c>
      <c r="F84" s="111" t="str">
        <f aca="false">IFERROR(INDEX('Historical Data'!$G$2:$G$9,MATCH($A84,'Historical Data'!$BE$2:$BE$9,0)),"")</f>
        <v/>
      </c>
      <c r="G84" s="111" t="str">
        <f aca="false">IFERROR(INDEX('Historical Data'!$Y$2:$Y$9,MATCH($A84,'Historical Data'!$BE$2:$BE$9,0)),"")</f>
        <v/>
      </c>
      <c r="H84" s="111" t="str">
        <f aca="false">IFERROR(INDEX('Historical Data'!$K$2:$K$9,MATCH($A84,'Historical Data'!$BE$2:$BE$9,0)),"")</f>
        <v/>
      </c>
      <c r="I84" s="111" t="str">
        <f aca="false">IFERROR(INDEX('Historical Data'!$J$2:$J$9,MATCH($A84,'Historical Data'!$BE$2:$BE$9,0)),"")</f>
        <v/>
      </c>
      <c r="J84" s="111" t="str">
        <f aca="false">IFERROR(INDEX('Historical Data'!$L$2:$L$9,MATCH($A84,'Historical Data'!$BE$2:$BE$9,0)),"")</f>
        <v/>
      </c>
      <c r="K84" s="113" t="str">
        <f aca="false">IFERROR(INDEX('Historical Data'!$M$2:$M$9,MATCH($A84,'Historical Data'!$BE$2:$BE$9,0)),"")</f>
        <v/>
      </c>
      <c r="L84" s="114" t="str">
        <f aca="false">IFERROR(INDEX('Historical Data'!$N$2:$N$9,MATCH($A84,'Historical Data'!$BE$2:$BE$9,0)),"")</f>
        <v/>
      </c>
      <c r="M84" s="114" t="str">
        <f aca="false">IFERROR(INDEX('Historical Data'!$Q$2:$Q$9,MATCH($A84,'Historical Data'!$BE$2:$BE$9,0)),"")</f>
        <v/>
      </c>
      <c r="N84" s="115" t="str">
        <f aca="false">IFERROR(INDEX('Historical Data'!$S$2:$S$9,MATCH($A84,'Historical Data'!$BE$2:$BE$9,0)),"")</f>
        <v/>
      </c>
      <c r="O84" s="114" t="str">
        <f aca="false">IFERROR(INDEX('Historical Data'!$AJ$2:$AJ$9,MATCH($A84,'Historical Data'!$BE$2:$BE$9,0)),"")</f>
        <v/>
      </c>
      <c r="P84" s="114" t="str">
        <f aca="false">IFERROR(INDEX('Historical Data'!$AK$2:$AK$9,MATCH($A84,'Historical Data'!$BE$2:$BE$9,0)),"")</f>
        <v/>
      </c>
      <c r="Q84" s="111" t="str">
        <f aca="false">IFERROR(INDEX('Historical Data'!$AA$2:$AA$9,MATCH($A84,'Historical Data'!$BE$2:$BE$9,0)),"")</f>
        <v/>
      </c>
      <c r="R84" s="111" t="str">
        <f aca="false">IFERROR(INDEX('Historical Data'!$AB$2:$AB$9,MATCH($A84,'Historical Data'!$BE$2:$BE$9,0)),"")</f>
        <v/>
      </c>
      <c r="S84" s="111" t="str">
        <f aca="false">IFERROR(INDEX('Historical Data'!$AN$2:$AN$9,MATCH($A84,'Historical Data'!$BE$2:$BE$9,0)),"")</f>
        <v/>
      </c>
      <c r="T84" s="111" t="str">
        <f aca="false">IFERROR(INDEX('Historical Data'!$AC$2:$AC$9,MATCH($A84,'Historical Data'!$BE$2:$BE$9,0)),"")</f>
        <v/>
      </c>
      <c r="U84" s="111" t="str">
        <f aca="false">IFERROR(INDEX('Historical Data'!$AE$2:$AE$9,MATCH($A84,'Historical Data'!$BE$2:$BE$9,0)),"")</f>
        <v/>
      </c>
      <c r="V84" s="111" t="str">
        <f aca="false">IFERROR(INDEX('Historical Data'!$AH$2:$AH$9,MATCH($A84,'Historical Data'!$BE$2:$BE$9,0)),"")</f>
        <v/>
      </c>
      <c r="W84" s="111" t="str">
        <f aca="false">IFERROR(INDEX('Historical Data'!$BC$2:$BC$9,MATCH($A84,'Historical Data'!$BE$2:$BE$9,0)),"")</f>
        <v/>
      </c>
      <c r="X84" s="110" t="str">
        <f aca="false">IF(B84="","",IF(W84=1,"NR + industry + position",IF(W84=2,"NR + ISO + position",IF(W84=3,"NR + industry",IF(W84=4,"NR + ISO",IF(W84=5,"NR + position",IF(W84=6,"NR only","book baseline"))))))&amp;"  ["&amp;IF(T84=1,"seasoned","unseasoned")&amp;IF(U84=1,", defaulted","")&amp;IF(V84=1,", open","")&amp;"]")</f>
        <v/>
      </c>
    </row>
    <row r="85" customFormat="false" ht="15" hidden="false" customHeight="false" outlineLevel="0" collapsed="false">
      <c r="A85" s="110" t="n">
        <v>81</v>
      </c>
      <c r="B85" s="111" t="str">
        <f aca="false">IFERROR(INDEX('Historical Data'!$A$2:$A$9,MATCH($A85,'Historical Data'!$BE$2:$BE$9,0)),"")</f>
        <v/>
      </c>
      <c r="C85" s="111" t="str">
        <f aca="false">IFERROR(INDEX('Historical Data'!$B$2:$B$9,MATCH($A85,'Historical Data'!$BE$2:$BE$9,0)),"")</f>
        <v/>
      </c>
      <c r="D85" s="111" t="str">
        <f aca="false">IFERROR(INDEX('Historical Data'!$D$2:$D$9,MATCH($A85,'Historical Data'!$BE$2:$BE$9,0)),"")</f>
        <v/>
      </c>
      <c r="E85" s="112" t="str">
        <f aca="false">IFERROR(INDEX('Historical Data'!$E$2:$E$9,MATCH($A85,'Historical Data'!$BE$2:$BE$9,0)),"")</f>
        <v/>
      </c>
      <c r="F85" s="111" t="str">
        <f aca="false">IFERROR(INDEX('Historical Data'!$G$2:$G$9,MATCH($A85,'Historical Data'!$BE$2:$BE$9,0)),"")</f>
        <v/>
      </c>
      <c r="G85" s="111" t="str">
        <f aca="false">IFERROR(INDEX('Historical Data'!$Y$2:$Y$9,MATCH($A85,'Historical Data'!$BE$2:$BE$9,0)),"")</f>
        <v/>
      </c>
      <c r="H85" s="111" t="str">
        <f aca="false">IFERROR(INDEX('Historical Data'!$K$2:$K$9,MATCH($A85,'Historical Data'!$BE$2:$BE$9,0)),"")</f>
        <v/>
      </c>
      <c r="I85" s="111" t="str">
        <f aca="false">IFERROR(INDEX('Historical Data'!$J$2:$J$9,MATCH($A85,'Historical Data'!$BE$2:$BE$9,0)),"")</f>
        <v/>
      </c>
      <c r="J85" s="111" t="str">
        <f aca="false">IFERROR(INDEX('Historical Data'!$L$2:$L$9,MATCH($A85,'Historical Data'!$BE$2:$BE$9,0)),"")</f>
        <v/>
      </c>
      <c r="K85" s="113" t="str">
        <f aca="false">IFERROR(INDEX('Historical Data'!$M$2:$M$9,MATCH($A85,'Historical Data'!$BE$2:$BE$9,0)),"")</f>
        <v/>
      </c>
      <c r="L85" s="114" t="str">
        <f aca="false">IFERROR(INDEX('Historical Data'!$N$2:$N$9,MATCH($A85,'Historical Data'!$BE$2:$BE$9,0)),"")</f>
        <v/>
      </c>
      <c r="M85" s="114" t="str">
        <f aca="false">IFERROR(INDEX('Historical Data'!$Q$2:$Q$9,MATCH($A85,'Historical Data'!$BE$2:$BE$9,0)),"")</f>
        <v/>
      </c>
      <c r="N85" s="115" t="str">
        <f aca="false">IFERROR(INDEX('Historical Data'!$S$2:$S$9,MATCH($A85,'Historical Data'!$BE$2:$BE$9,0)),"")</f>
        <v/>
      </c>
      <c r="O85" s="114" t="str">
        <f aca="false">IFERROR(INDEX('Historical Data'!$AJ$2:$AJ$9,MATCH($A85,'Historical Data'!$BE$2:$BE$9,0)),"")</f>
        <v/>
      </c>
      <c r="P85" s="114" t="str">
        <f aca="false">IFERROR(INDEX('Historical Data'!$AK$2:$AK$9,MATCH($A85,'Historical Data'!$BE$2:$BE$9,0)),"")</f>
        <v/>
      </c>
      <c r="Q85" s="111" t="str">
        <f aca="false">IFERROR(INDEX('Historical Data'!$AA$2:$AA$9,MATCH($A85,'Historical Data'!$BE$2:$BE$9,0)),"")</f>
        <v/>
      </c>
      <c r="R85" s="111" t="str">
        <f aca="false">IFERROR(INDEX('Historical Data'!$AB$2:$AB$9,MATCH($A85,'Historical Data'!$BE$2:$BE$9,0)),"")</f>
        <v/>
      </c>
      <c r="S85" s="111" t="str">
        <f aca="false">IFERROR(INDEX('Historical Data'!$AN$2:$AN$9,MATCH($A85,'Historical Data'!$BE$2:$BE$9,0)),"")</f>
        <v/>
      </c>
      <c r="T85" s="111" t="str">
        <f aca="false">IFERROR(INDEX('Historical Data'!$AC$2:$AC$9,MATCH($A85,'Historical Data'!$BE$2:$BE$9,0)),"")</f>
        <v/>
      </c>
      <c r="U85" s="111" t="str">
        <f aca="false">IFERROR(INDEX('Historical Data'!$AE$2:$AE$9,MATCH($A85,'Historical Data'!$BE$2:$BE$9,0)),"")</f>
        <v/>
      </c>
      <c r="V85" s="111" t="str">
        <f aca="false">IFERROR(INDEX('Historical Data'!$AH$2:$AH$9,MATCH($A85,'Historical Data'!$BE$2:$BE$9,0)),"")</f>
        <v/>
      </c>
      <c r="W85" s="111" t="str">
        <f aca="false">IFERROR(INDEX('Historical Data'!$BC$2:$BC$9,MATCH($A85,'Historical Data'!$BE$2:$BE$9,0)),"")</f>
        <v/>
      </c>
      <c r="X85" s="110" t="str">
        <f aca="false">IF(B85="","",IF(W85=1,"NR + industry + position",IF(W85=2,"NR + ISO + position",IF(W85=3,"NR + industry",IF(W85=4,"NR + ISO",IF(W85=5,"NR + position",IF(W85=6,"NR only","book baseline"))))))&amp;"  ["&amp;IF(T85=1,"seasoned","unseasoned")&amp;IF(U85=1,", defaulted","")&amp;IF(V85=1,", open","")&amp;"]")</f>
        <v/>
      </c>
    </row>
    <row r="86" customFormat="false" ht="15" hidden="false" customHeight="false" outlineLevel="0" collapsed="false">
      <c r="A86" s="110" t="n">
        <v>82</v>
      </c>
      <c r="B86" s="111" t="str">
        <f aca="false">IFERROR(INDEX('Historical Data'!$A$2:$A$9,MATCH($A86,'Historical Data'!$BE$2:$BE$9,0)),"")</f>
        <v/>
      </c>
      <c r="C86" s="111" t="str">
        <f aca="false">IFERROR(INDEX('Historical Data'!$B$2:$B$9,MATCH($A86,'Historical Data'!$BE$2:$BE$9,0)),"")</f>
        <v/>
      </c>
      <c r="D86" s="111" t="str">
        <f aca="false">IFERROR(INDEX('Historical Data'!$D$2:$D$9,MATCH($A86,'Historical Data'!$BE$2:$BE$9,0)),"")</f>
        <v/>
      </c>
      <c r="E86" s="112" t="str">
        <f aca="false">IFERROR(INDEX('Historical Data'!$E$2:$E$9,MATCH($A86,'Historical Data'!$BE$2:$BE$9,0)),"")</f>
        <v/>
      </c>
      <c r="F86" s="111" t="str">
        <f aca="false">IFERROR(INDEX('Historical Data'!$G$2:$G$9,MATCH($A86,'Historical Data'!$BE$2:$BE$9,0)),"")</f>
        <v/>
      </c>
      <c r="G86" s="111" t="str">
        <f aca="false">IFERROR(INDEX('Historical Data'!$Y$2:$Y$9,MATCH($A86,'Historical Data'!$BE$2:$BE$9,0)),"")</f>
        <v/>
      </c>
      <c r="H86" s="111" t="str">
        <f aca="false">IFERROR(INDEX('Historical Data'!$K$2:$K$9,MATCH($A86,'Historical Data'!$BE$2:$BE$9,0)),"")</f>
        <v/>
      </c>
      <c r="I86" s="111" t="str">
        <f aca="false">IFERROR(INDEX('Historical Data'!$J$2:$J$9,MATCH($A86,'Historical Data'!$BE$2:$BE$9,0)),"")</f>
        <v/>
      </c>
      <c r="J86" s="111" t="str">
        <f aca="false">IFERROR(INDEX('Historical Data'!$L$2:$L$9,MATCH($A86,'Historical Data'!$BE$2:$BE$9,0)),"")</f>
        <v/>
      </c>
      <c r="K86" s="113" t="str">
        <f aca="false">IFERROR(INDEX('Historical Data'!$M$2:$M$9,MATCH($A86,'Historical Data'!$BE$2:$BE$9,0)),"")</f>
        <v/>
      </c>
      <c r="L86" s="114" t="str">
        <f aca="false">IFERROR(INDEX('Historical Data'!$N$2:$N$9,MATCH($A86,'Historical Data'!$BE$2:$BE$9,0)),"")</f>
        <v/>
      </c>
      <c r="M86" s="114" t="str">
        <f aca="false">IFERROR(INDEX('Historical Data'!$Q$2:$Q$9,MATCH($A86,'Historical Data'!$BE$2:$BE$9,0)),"")</f>
        <v/>
      </c>
      <c r="N86" s="115" t="str">
        <f aca="false">IFERROR(INDEX('Historical Data'!$S$2:$S$9,MATCH($A86,'Historical Data'!$BE$2:$BE$9,0)),"")</f>
        <v/>
      </c>
      <c r="O86" s="114" t="str">
        <f aca="false">IFERROR(INDEX('Historical Data'!$AJ$2:$AJ$9,MATCH($A86,'Historical Data'!$BE$2:$BE$9,0)),"")</f>
        <v/>
      </c>
      <c r="P86" s="114" t="str">
        <f aca="false">IFERROR(INDEX('Historical Data'!$AK$2:$AK$9,MATCH($A86,'Historical Data'!$BE$2:$BE$9,0)),"")</f>
        <v/>
      </c>
      <c r="Q86" s="111" t="str">
        <f aca="false">IFERROR(INDEX('Historical Data'!$AA$2:$AA$9,MATCH($A86,'Historical Data'!$BE$2:$BE$9,0)),"")</f>
        <v/>
      </c>
      <c r="R86" s="111" t="str">
        <f aca="false">IFERROR(INDEX('Historical Data'!$AB$2:$AB$9,MATCH($A86,'Historical Data'!$BE$2:$BE$9,0)),"")</f>
        <v/>
      </c>
      <c r="S86" s="111" t="str">
        <f aca="false">IFERROR(INDEX('Historical Data'!$AN$2:$AN$9,MATCH($A86,'Historical Data'!$BE$2:$BE$9,0)),"")</f>
        <v/>
      </c>
      <c r="T86" s="111" t="str">
        <f aca="false">IFERROR(INDEX('Historical Data'!$AC$2:$AC$9,MATCH($A86,'Historical Data'!$BE$2:$BE$9,0)),"")</f>
        <v/>
      </c>
      <c r="U86" s="111" t="str">
        <f aca="false">IFERROR(INDEX('Historical Data'!$AE$2:$AE$9,MATCH($A86,'Historical Data'!$BE$2:$BE$9,0)),"")</f>
        <v/>
      </c>
      <c r="V86" s="111" t="str">
        <f aca="false">IFERROR(INDEX('Historical Data'!$AH$2:$AH$9,MATCH($A86,'Historical Data'!$BE$2:$BE$9,0)),"")</f>
        <v/>
      </c>
      <c r="W86" s="111" t="str">
        <f aca="false">IFERROR(INDEX('Historical Data'!$BC$2:$BC$9,MATCH($A86,'Historical Data'!$BE$2:$BE$9,0)),"")</f>
        <v/>
      </c>
      <c r="X86" s="110" t="str">
        <f aca="false">IF(B86="","",IF(W86=1,"NR + industry + position",IF(W86=2,"NR + ISO + position",IF(W86=3,"NR + industry",IF(W86=4,"NR + ISO",IF(W86=5,"NR + position",IF(W86=6,"NR only","book baseline"))))))&amp;"  ["&amp;IF(T86=1,"seasoned","unseasoned")&amp;IF(U86=1,", defaulted","")&amp;IF(V86=1,", open","")&amp;"]")</f>
        <v/>
      </c>
    </row>
    <row r="87" customFormat="false" ht="15" hidden="false" customHeight="false" outlineLevel="0" collapsed="false">
      <c r="A87" s="110" t="n">
        <v>83</v>
      </c>
      <c r="B87" s="111" t="str">
        <f aca="false">IFERROR(INDEX('Historical Data'!$A$2:$A$9,MATCH($A87,'Historical Data'!$BE$2:$BE$9,0)),"")</f>
        <v/>
      </c>
      <c r="C87" s="111" t="str">
        <f aca="false">IFERROR(INDEX('Historical Data'!$B$2:$B$9,MATCH($A87,'Historical Data'!$BE$2:$BE$9,0)),"")</f>
        <v/>
      </c>
      <c r="D87" s="111" t="str">
        <f aca="false">IFERROR(INDEX('Historical Data'!$D$2:$D$9,MATCH($A87,'Historical Data'!$BE$2:$BE$9,0)),"")</f>
        <v/>
      </c>
      <c r="E87" s="112" t="str">
        <f aca="false">IFERROR(INDEX('Historical Data'!$E$2:$E$9,MATCH($A87,'Historical Data'!$BE$2:$BE$9,0)),"")</f>
        <v/>
      </c>
      <c r="F87" s="111" t="str">
        <f aca="false">IFERROR(INDEX('Historical Data'!$G$2:$G$9,MATCH($A87,'Historical Data'!$BE$2:$BE$9,0)),"")</f>
        <v/>
      </c>
      <c r="G87" s="111" t="str">
        <f aca="false">IFERROR(INDEX('Historical Data'!$Y$2:$Y$9,MATCH($A87,'Historical Data'!$BE$2:$BE$9,0)),"")</f>
        <v/>
      </c>
      <c r="H87" s="111" t="str">
        <f aca="false">IFERROR(INDEX('Historical Data'!$K$2:$K$9,MATCH($A87,'Historical Data'!$BE$2:$BE$9,0)),"")</f>
        <v/>
      </c>
      <c r="I87" s="111" t="str">
        <f aca="false">IFERROR(INDEX('Historical Data'!$J$2:$J$9,MATCH($A87,'Historical Data'!$BE$2:$BE$9,0)),"")</f>
        <v/>
      </c>
      <c r="J87" s="111" t="str">
        <f aca="false">IFERROR(INDEX('Historical Data'!$L$2:$L$9,MATCH($A87,'Historical Data'!$BE$2:$BE$9,0)),"")</f>
        <v/>
      </c>
      <c r="K87" s="113" t="str">
        <f aca="false">IFERROR(INDEX('Historical Data'!$M$2:$M$9,MATCH($A87,'Historical Data'!$BE$2:$BE$9,0)),"")</f>
        <v/>
      </c>
      <c r="L87" s="114" t="str">
        <f aca="false">IFERROR(INDEX('Historical Data'!$N$2:$N$9,MATCH($A87,'Historical Data'!$BE$2:$BE$9,0)),"")</f>
        <v/>
      </c>
      <c r="M87" s="114" t="str">
        <f aca="false">IFERROR(INDEX('Historical Data'!$Q$2:$Q$9,MATCH($A87,'Historical Data'!$BE$2:$BE$9,0)),"")</f>
        <v/>
      </c>
      <c r="N87" s="115" t="str">
        <f aca="false">IFERROR(INDEX('Historical Data'!$S$2:$S$9,MATCH($A87,'Historical Data'!$BE$2:$BE$9,0)),"")</f>
        <v/>
      </c>
      <c r="O87" s="114" t="str">
        <f aca="false">IFERROR(INDEX('Historical Data'!$AJ$2:$AJ$9,MATCH($A87,'Historical Data'!$BE$2:$BE$9,0)),"")</f>
        <v/>
      </c>
      <c r="P87" s="114" t="str">
        <f aca="false">IFERROR(INDEX('Historical Data'!$AK$2:$AK$9,MATCH($A87,'Historical Data'!$BE$2:$BE$9,0)),"")</f>
        <v/>
      </c>
      <c r="Q87" s="111" t="str">
        <f aca="false">IFERROR(INDEX('Historical Data'!$AA$2:$AA$9,MATCH($A87,'Historical Data'!$BE$2:$BE$9,0)),"")</f>
        <v/>
      </c>
      <c r="R87" s="111" t="str">
        <f aca="false">IFERROR(INDEX('Historical Data'!$AB$2:$AB$9,MATCH($A87,'Historical Data'!$BE$2:$BE$9,0)),"")</f>
        <v/>
      </c>
      <c r="S87" s="111" t="str">
        <f aca="false">IFERROR(INDEX('Historical Data'!$AN$2:$AN$9,MATCH($A87,'Historical Data'!$BE$2:$BE$9,0)),"")</f>
        <v/>
      </c>
      <c r="T87" s="111" t="str">
        <f aca="false">IFERROR(INDEX('Historical Data'!$AC$2:$AC$9,MATCH($A87,'Historical Data'!$BE$2:$BE$9,0)),"")</f>
        <v/>
      </c>
      <c r="U87" s="111" t="str">
        <f aca="false">IFERROR(INDEX('Historical Data'!$AE$2:$AE$9,MATCH($A87,'Historical Data'!$BE$2:$BE$9,0)),"")</f>
        <v/>
      </c>
      <c r="V87" s="111" t="str">
        <f aca="false">IFERROR(INDEX('Historical Data'!$AH$2:$AH$9,MATCH($A87,'Historical Data'!$BE$2:$BE$9,0)),"")</f>
        <v/>
      </c>
      <c r="W87" s="111" t="str">
        <f aca="false">IFERROR(INDEX('Historical Data'!$BC$2:$BC$9,MATCH($A87,'Historical Data'!$BE$2:$BE$9,0)),"")</f>
        <v/>
      </c>
      <c r="X87" s="110" t="str">
        <f aca="false">IF(B87="","",IF(W87=1,"NR + industry + position",IF(W87=2,"NR + ISO + position",IF(W87=3,"NR + industry",IF(W87=4,"NR + ISO",IF(W87=5,"NR + position",IF(W87=6,"NR only","book baseline"))))))&amp;"  ["&amp;IF(T87=1,"seasoned","unseasoned")&amp;IF(U87=1,", defaulted","")&amp;IF(V87=1,", open","")&amp;"]")</f>
        <v/>
      </c>
    </row>
    <row r="88" customFormat="false" ht="15" hidden="false" customHeight="false" outlineLevel="0" collapsed="false">
      <c r="A88" s="110" t="n">
        <v>84</v>
      </c>
      <c r="B88" s="111" t="str">
        <f aca="false">IFERROR(INDEX('Historical Data'!$A$2:$A$9,MATCH($A88,'Historical Data'!$BE$2:$BE$9,0)),"")</f>
        <v/>
      </c>
      <c r="C88" s="111" t="str">
        <f aca="false">IFERROR(INDEX('Historical Data'!$B$2:$B$9,MATCH($A88,'Historical Data'!$BE$2:$BE$9,0)),"")</f>
        <v/>
      </c>
      <c r="D88" s="111" t="str">
        <f aca="false">IFERROR(INDEX('Historical Data'!$D$2:$D$9,MATCH($A88,'Historical Data'!$BE$2:$BE$9,0)),"")</f>
        <v/>
      </c>
      <c r="E88" s="112" t="str">
        <f aca="false">IFERROR(INDEX('Historical Data'!$E$2:$E$9,MATCH($A88,'Historical Data'!$BE$2:$BE$9,0)),"")</f>
        <v/>
      </c>
      <c r="F88" s="111" t="str">
        <f aca="false">IFERROR(INDEX('Historical Data'!$G$2:$G$9,MATCH($A88,'Historical Data'!$BE$2:$BE$9,0)),"")</f>
        <v/>
      </c>
      <c r="G88" s="111" t="str">
        <f aca="false">IFERROR(INDEX('Historical Data'!$Y$2:$Y$9,MATCH($A88,'Historical Data'!$BE$2:$BE$9,0)),"")</f>
        <v/>
      </c>
      <c r="H88" s="111" t="str">
        <f aca="false">IFERROR(INDEX('Historical Data'!$K$2:$K$9,MATCH($A88,'Historical Data'!$BE$2:$BE$9,0)),"")</f>
        <v/>
      </c>
      <c r="I88" s="111" t="str">
        <f aca="false">IFERROR(INDEX('Historical Data'!$J$2:$J$9,MATCH($A88,'Historical Data'!$BE$2:$BE$9,0)),"")</f>
        <v/>
      </c>
      <c r="J88" s="111" t="str">
        <f aca="false">IFERROR(INDEX('Historical Data'!$L$2:$L$9,MATCH($A88,'Historical Data'!$BE$2:$BE$9,0)),"")</f>
        <v/>
      </c>
      <c r="K88" s="113" t="str">
        <f aca="false">IFERROR(INDEX('Historical Data'!$M$2:$M$9,MATCH($A88,'Historical Data'!$BE$2:$BE$9,0)),"")</f>
        <v/>
      </c>
      <c r="L88" s="114" t="str">
        <f aca="false">IFERROR(INDEX('Historical Data'!$N$2:$N$9,MATCH($A88,'Historical Data'!$BE$2:$BE$9,0)),"")</f>
        <v/>
      </c>
      <c r="M88" s="114" t="str">
        <f aca="false">IFERROR(INDEX('Historical Data'!$Q$2:$Q$9,MATCH($A88,'Historical Data'!$BE$2:$BE$9,0)),"")</f>
        <v/>
      </c>
      <c r="N88" s="115" t="str">
        <f aca="false">IFERROR(INDEX('Historical Data'!$S$2:$S$9,MATCH($A88,'Historical Data'!$BE$2:$BE$9,0)),"")</f>
        <v/>
      </c>
      <c r="O88" s="114" t="str">
        <f aca="false">IFERROR(INDEX('Historical Data'!$AJ$2:$AJ$9,MATCH($A88,'Historical Data'!$BE$2:$BE$9,0)),"")</f>
        <v/>
      </c>
      <c r="P88" s="114" t="str">
        <f aca="false">IFERROR(INDEX('Historical Data'!$AK$2:$AK$9,MATCH($A88,'Historical Data'!$BE$2:$BE$9,0)),"")</f>
        <v/>
      </c>
      <c r="Q88" s="111" t="str">
        <f aca="false">IFERROR(INDEX('Historical Data'!$AA$2:$AA$9,MATCH($A88,'Historical Data'!$BE$2:$BE$9,0)),"")</f>
        <v/>
      </c>
      <c r="R88" s="111" t="str">
        <f aca="false">IFERROR(INDEX('Historical Data'!$AB$2:$AB$9,MATCH($A88,'Historical Data'!$BE$2:$BE$9,0)),"")</f>
        <v/>
      </c>
      <c r="S88" s="111" t="str">
        <f aca="false">IFERROR(INDEX('Historical Data'!$AN$2:$AN$9,MATCH($A88,'Historical Data'!$BE$2:$BE$9,0)),"")</f>
        <v/>
      </c>
      <c r="T88" s="111" t="str">
        <f aca="false">IFERROR(INDEX('Historical Data'!$AC$2:$AC$9,MATCH($A88,'Historical Data'!$BE$2:$BE$9,0)),"")</f>
        <v/>
      </c>
      <c r="U88" s="111" t="str">
        <f aca="false">IFERROR(INDEX('Historical Data'!$AE$2:$AE$9,MATCH($A88,'Historical Data'!$BE$2:$BE$9,0)),"")</f>
        <v/>
      </c>
      <c r="V88" s="111" t="str">
        <f aca="false">IFERROR(INDEX('Historical Data'!$AH$2:$AH$9,MATCH($A88,'Historical Data'!$BE$2:$BE$9,0)),"")</f>
        <v/>
      </c>
      <c r="W88" s="111" t="str">
        <f aca="false">IFERROR(INDEX('Historical Data'!$BC$2:$BC$9,MATCH($A88,'Historical Data'!$BE$2:$BE$9,0)),"")</f>
        <v/>
      </c>
      <c r="X88" s="110" t="str">
        <f aca="false">IF(B88="","",IF(W88=1,"NR + industry + position",IF(W88=2,"NR + ISO + position",IF(W88=3,"NR + industry",IF(W88=4,"NR + ISO",IF(W88=5,"NR + position",IF(W88=6,"NR only","book baseline"))))))&amp;"  ["&amp;IF(T88=1,"seasoned","unseasoned")&amp;IF(U88=1,", defaulted","")&amp;IF(V88=1,", open","")&amp;"]")</f>
        <v/>
      </c>
    </row>
    <row r="89" customFormat="false" ht="15" hidden="false" customHeight="false" outlineLevel="0" collapsed="false">
      <c r="A89" s="110" t="n">
        <v>85</v>
      </c>
      <c r="B89" s="111" t="str">
        <f aca="false">IFERROR(INDEX('Historical Data'!$A$2:$A$9,MATCH($A89,'Historical Data'!$BE$2:$BE$9,0)),"")</f>
        <v/>
      </c>
      <c r="C89" s="111" t="str">
        <f aca="false">IFERROR(INDEX('Historical Data'!$B$2:$B$9,MATCH($A89,'Historical Data'!$BE$2:$BE$9,0)),"")</f>
        <v/>
      </c>
      <c r="D89" s="111" t="str">
        <f aca="false">IFERROR(INDEX('Historical Data'!$D$2:$D$9,MATCH($A89,'Historical Data'!$BE$2:$BE$9,0)),"")</f>
        <v/>
      </c>
      <c r="E89" s="112" t="str">
        <f aca="false">IFERROR(INDEX('Historical Data'!$E$2:$E$9,MATCH($A89,'Historical Data'!$BE$2:$BE$9,0)),"")</f>
        <v/>
      </c>
      <c r="F89" s="111" t="str">
        <f aca="false">IFERROR(INDEX('Historical Data'!$G$2:$G$9,MATCH($A89,'Historical Data'!$BE$2:$BE$9,0)),"")</f>
        <v/>
      </c>
      <c r="G89" s="111" t="str">
        <f aca="false">IFERROR(INDEX('Historical Data'!$Y$2:$Y$9,MATCH($A89,'Historical Data'!$BE$2:$BE$9,0)),"")</f>
        <v/>
      </c>
      <c r="H89" s="111" t="str">
        <f aca="false">IFERROR(INDEX('Historical Data'!$K$2:$K$9,MATCH($A89,'Historical Data'!$BE$2:$BE$9,0)),"")</f>
        <v/>
      </c>
      <c r="I89" s="111" t="str">
        <f aca="false">IFERROR(INDEX('Historical Data'!$J$2:$J$9,MATCH($A89,'Historical Data'!$BE$2:$BE$9,0)),"")</f>
        <v/>
      </c>
      <c r="J89" s="111" t="str">
        <f aca="false">IFERROR(INDEX('Historical Data'!$L$2:$L$9,MATCH($A89,'Historical Data'!$BE$2:$BE$9,0)),"")</f>
        <v/>
      </c>
      <c r="K89" s="113" t="str">
        <f aca="false">IFERROR(INDEX('Historical Data'!$M$2:$M$9,MATCH($A89,'Historical Data'!$BE$2:$BE$9,0)),"")</f>
        <v/>
      </c>
      <c r="L89" s="114" t="str">
        <f aca="false">IFERROR(INDEX('Historical Data'!$N$2:$N$9,MATCH($A89,'Historical Data'!$BE$2:$BE$9,0)),"")</f>
        <v/>
      </c>
      <c r="M89" s="114" t="str">
        <f aca="false">IFERROR(INDEX('Historical Data'!$Q$2:$Q$9,MATCH($A89,'Historical Data'!$BE$2:$BE$9,0)),"")</f>
        <v/>
      </c>
      <c r="N89" s="115" t="str">
        <f aca="false">IFERROR(INDEX('Historical Data'!$S$2:$S$9,MATCH($A89,'Historical Data'!$BE$2:$BE$9,0)),"")</f>
        <v/>
      </c>
      <c r="O89" s="114" t="str">
        <f aca="false">IFERROR(INDEX('Historical Data'!$AJ$2:$AJ$9,MATCH($A89,'Historical Data'!$BE$2:$BE$9,0)),"")</f>
        <v/>
      </c>
      <c r="P89" s="114" t="str">
        <f aca="false">IFERROR(INDEX('Historical Data'!$AK$2:$AK$9,MATCH($A89,'Historical Data'!$BE$2:$BE$9,0)),"")</f>
        <v/>
      </c>
      <c r="Q89" s="111" t="str">
        <f aca="false">IFERROR(INDEX('Historical Data'!$AA$2:$AA$9,MATCH($A89,'Historical Data'!$BE$2:$BE$9,0)),"")</f>
        <v/>
      </c>
      <c r="R89" s="111" t="str">
        <f aca="false">IFERROR(INDEX('Historical Data'!$AB$2:$AB$9,MATCH($A89,'Historical Data'!$BE$2:$BE$9,0)),"")</f>
        <v/>
      </c>
      <c r="S89" s="111" t="str">
        <f aca="false">IFERROR(INDEX('Historical Data'!$AN$2:$AN$9,MATCH($A89,'Historical Data'!$BE$2:$BE$9,0)),"")</f>
        <v/>
      </c>
      <c r="T89" s="111" t="str">
        <f aca="false">IFERROR(INDEX('Historical Data'!$AC$2:$AC$9,MATCH($A89,'Historical Data'!$BE$2:$BE$9,0)),"")</f>
        <v/>
      </c>
      <c r="U89" s="111" t="str">
        <f aca="false">IFERROR(INDEX('Historical Data'!$AE$2:$AE$9,MATCH($A89,'Historical Data'!$BE$2:$BE$9,0)),"")</f>
        <v/>
      </c>
      <c r="V89" s="111" t="str">
        <f aca="false">IFERROR(INDEX('Historical Data'!$AH$2:$AH$9,MATCH($A89,'Historical Data'!$BE$2:$BE$9,0)),"")</f>
        <v/>
      </c>
      <c r="W89" s="111" t="str">
        <f aca="false">IFERROR(INDEX('Historical Data'!$BC$2:$BC$9,MATCH($A89,'Historical Data'!$BE$2:$BE$9,0)),"")</f>
        <v/>
      </c>
      <c r="X89" s="110" t="str">
        <f aca="false">IF(B89="","",IF(W89=1,"NR + industry + position",IF(W89=2,"NR + ISO + position",IF(W89=3,"NR + industry",IF(W89=4,"NR + ISO",IF(W89=5,"NR + position",IF(W89=6,"NR only","book baseline"))))))&amp;"  ["&amp;IF(T89=1,"seasoned","unseasoned")&amp;IF(U89=1,", defaulted","")&amp;IF(V89=1,", open","")&amp;"]")</f>
        <v/>
      </c>
    </row>
    <row r="90" customFormat="false" ht="15" hidden="false" customHeight="false" outlineLevel="0" collapsed="false">
      <c r="A90" s="110" t="n">
        <v>86</v>
      </c>
      <c r="B90" s="111" t="str">
        <f aca="false">IFERROR(INDEX('Historical Data'!$A$2:$A$9,MATCH($A90,'Historical Data'!$BE$2:$BE$9,0)),"")</f>
        <v/>
      </c>
      <c r="C90" s="111" t="str">
        <f aca="false">IFERROR(INDEX('Historical Data'!$B$2:$B$9,MATCH($A90,'Historical Data'!$BE$2:$BE$9,0)),"")</f>
        <v/>
      </c>
      <c r="D90" s="111" t="str">
        <f aca="false">IFERROR(INDEX('Historical Data'!$D$2:$D$9,MATCH($A90,'Historical Data'!$BE$2:$BE$9,0)),"")</f>
        <v/>
      </c>
      <c r="E90" s="112" t="str">
        <f aca="false">IFERROR(INDEX('Historical Data'!$E$2:$E$9,MATCH($A90,'Historical Data'!$BE$2:$BE$9,0)),"")</f>
        <v/>
      </c>
      <c r="F90" s="111" t="str">
        <f aca="false">IFERROR(INDEX('Historical Data'!$G$2:$G$9,MATCH($A90,'Historical Data'!$BE$2:$BE$9,0)),"")</f>
        <v/>
      </c>
      <c r="G90" s="111" t="str">
        <f aca="false">IFERROR(INDEX('Historical Data'!$Y$2:$Y$9,MATCH($A90,'Historical Data'!$BE$2:$BE$9,0)),"")</f>
        <v/>
      </c>
      <c r="H90" s="111" t="str">
        <f aca="false">IFERROR(INDEX('Historical Data'!$K$2:$K$9,MATCH($A90,'Historical Data'!$BE$2:$BE$9,0)),"")</f>
        <v/>
      </c>
      <c r="I90" s="111" t="str">
        <f aca="false">IFERROR(INDEX('Historical Data'!$J$2:$J$9,MATCH($A90,'Historical Data'!$BE$2:$BE$9,0)),"")</f>
        <v/>
      </c>
      <c r="J90" s="111" t="str">
        <f aca="false">IFERROR(INDEX('Historical Data'!$L$2:$L$9,MATCH($A90,'Historical Data'!$BE$2:$BE$9,0)),"")</f>
        <v/>
      </c>
      <c r="K90" s="113" t="str">
        <f aca="false">IFERROR(INDEX('Historical Data'!$M$2:$M$9,MATCH($A90,'Historical Data'!$BE$2:$BE$9,0)),"")</f>
        <v/>
      </c>
      <c r="L90" s="114" t="str">
        <f aca="false">IFERROR(INDEX('Historical Data'!$N$2:$N$9,MATCH($A90,'Historical Data'!$BE$2:$BE$9,0)),"")</f>
        <v/>
      </c>
      <c r="M90" s="114" t="str">
        <f aca="false">IFERROR(INDEX('Historical Data'!$Q$2:$Q$9,MATCH($A90,'Historical Data'!$BE$2:$BE$9,0)),"")</f>
        <v/>
      </c>
      <c r="N90" s="115" t="str">
        <f aca="false">IFERROR(INDEX('Historical Data'!$S$2:$S$9,MATCH($A90,'Historical Data'!$BE$2:$BE$9,0)),"")</f>
        <v/>
      </c>
      <c r="O90" s="114" t="str">
        <f aca="false">IFERROR(INDEX('Historical Data'!$AJ$2:$AJ$9,MATCH($A90,'Historical Data'!$BE$2:$BE$9,0)),"")</f>
        <v/>
      </c>
      <c r="P90" s="114" t="str">
        <f aca="false">IFERROR(INDEX('Historical Data'!$AK$2:$AK$9,MATCH($A90,'Historical Data'!$BE$2:$BE$9,0)),"")</f>
        <v/>
      </c>
      <c r="Q90" s="111" t="str">
        <f aca="false">IFERROR(INDEX('Historical Data'!$AA$2:$AA$9,MATCH($A90,'Historical Data'!$BE$2:$BE$9,0)),"")</f>
        <v/>
      </c>
      <c r="R90" s="111" t="str">
        <f aca="false">IFERROR(INDEX('Historical Data'!$AB$2:$AB$9,MATCH($A90,'Historical Data'!$BE$2:$BE$9,0)),"")</f>
        <v/>
      </c>
      <c r="S90" s="111" t="str">
        <f aca="false">IFERROR(INDEX('Historical Data'!$AN$2:$AN$9,MATCH($A90,'Historical Data'!$BE$2:$BE$9,0)),"")</f>
        <v/>
      </c>
      <c r="T90" s="111" t="str">
        <f aca="false">IFERROR(INDEX('Historical Data'!$AC$2:$AC$9,MATCH($A90,'Historical Data'!$BE$2:$BE$9,0)),"")</f>
        <v/>
      </c>
      <c r="U90" s="111" t="str">
        <f aca="false">IFERROR(INDEX('Historical Data'!$AE$2:$AE$9,MATCH($A90,'Historical Data'!$BE$2:$BE$9,0)),"")</f>
        <v/>
      </c>
      <c r="V90" s="111" t="str">
        <f aca="false">IFERROR(INDEX('Historical Data'!$AH$2:$AH$9,MATCH($A90,'Historical Data'!$BE$2:$BE$9,0)),"")</f>
        <v/>
      </c>
      <c r="W90" s="111" t="str">
        <f aca="false">IFERROR(INDEX('Historical Data'!$BC$2:$BC$9,MATCH($A90,'Historical Data'!$BE$2:$BE$9,0)),"")</f>
        <v/>
      </c>
      <c r="X90" s="110" t="str">
        <f aca="false">IF(B90="","",IF(W90=1,"NR + industry + position",IF(W90=2,"NR + ISO + position",IF(W90=3,"NR + industry",IF(W90=4,"NR + ISO",IF(W90=5,"NR + position",IF(W90=6,"NR only","book baseline"))))))&amp;"  ["&amp;IF(T90=1,"seasoned","unseasoned")&amp;IF(U90=1,", defaulted","")&amp;IF(V90=1,", open","")&amp;"]")</f>
        <v/>
      </c>
    </row>
    <row r="91" customFormat="false" ht="15" hidden="false" customHeight="false" outlineLevel="0" collapsed="false">
      <c r="A91" s="110" t="n">
        <v>87</v>
      </c>
      <c r="B91" s="111" t="str">
        <f aca="false">IFERROR(INDEX('Historical Data'!$A$2:$A$9,MATCH($A91,'Historical Data'!$BE$2:$BE$9,0)),"")</f>
        <v/>
      </c>
      <c r="C91" s="111" t="str">
        <f aca="false">IFERROR(INDEX('Historical Data'!$B$2:$B$9,MATCH($A91,'Historical Data'!$BE$2:$BE$9,0)),"")</f>
        <v/>
      </c>
      <c r="D91" s="111" t="str">
        <f aca="false">IFERROR(INDEX('Historical Data'!$D$2:$D$9,MATCH($A91,'Historical Data'!$BE$2:$BE$9,0)),"")</f>
        <v/>
      </c>
      <c r="E91" s="112" t="str">
        <f aca="false">IFERROR(INDEX('Historical Data'!$E$2:$E$9,MATCH($A91,'Historical Data'!$BE$2:$BE$9,0)),"")</f>
        <v/>
      </c>
      <c r="F91" s="111" t="str">
        <f aca="false">IFERROR(INDEX('Historical Data'!$G$2:$G$9,MATCH($A91,'Historical Data'!$BE$2:$BE$9,0)),"")</f>
        <v/>
      </c>
      <c r="G91" s="111" t="str">
        <f aca="false">IFERROR(INDEX('Historical Data'!$Y$2:$Y$9,MATCH($A91,'Historical Data'!$BE$2:$BE$9,0)),"")</f>
        <v/>
      </c>
      <c r="H91" s="111" t="str">
        <f aca="false">IFERROR(INDEX('Historical Data'!$K$2:$K$9,MATCH($A91,'Historical Data'!$BE$2:$BE$9,0)),"")</f>
        <v/>
      </c>
      <c r="I91" s="111" t="str">
        <f aca="false">IFERROR(INDEX('Historical Data'!$J$2:$J$9,MATCH($A91,'Historical Data'!$BE$2:$BE$9,0)),"")</f>
        <v/>
      </c>
      <c r="J91" s="111" t="str">
        <f aca="false">IFERROR(INDEX('Historical Data'!$L$2:$L$9,MATCH($A91,'Historical Data'!$BE$2:$BE$9,0)),"")</f>
        <v/>
      </c>
      <c r="K91" s="113" t="str">
        <f aca="false">IFERROR(INDEX('Historical Data'!$M$2:$M$9,MATCH($A91,'Historical Data'!$BE$2:$BE$9,0)),"")</f>
        <v/>
      </c>
      <c r="L91" s="114" t="str">
        <f aca="false">IFERROR(INDEX('Historical Data'!$N$2:$N$9,MATCH($A91,'Historical Data'!$BE$2:$BE$9,0)),"")</f>
        <v/>
      </c>
      <c r="M91" s="114" t="str">
        <f aca="false">IFERROR(INDEX('Historical Data'!$Q$2:$Q$9,MATCH($A91,'Historical Data'!$BE$2:$BE$9,0)),"")</f>
        <v/>
      </c>
      <c r="N91" s="115" t="str">
        <f aca="false">IFERROR(INDEX('Historical Data'!$S$2:$S$9,MATCH($A91,'Historical Data'!$BE$2:$BE$9,0)),"")</f>
        <v/>
      </c>
      <c r="O91" s="114" t="str">
        <f aca="false">IFERROR(INDEX('Historical Data'!$AJ$2:$AJ$9,MATCH($A91,'Historical Data'!$BE$2:$BE$9,0)),"")</f>
        <v/>
      </c>
      <c r="P91" s="114" t="str">
        <f aca="false">IFERROR(INDEX('Historical Data'!$AK$2:$AK$9,MATCH($A91,'Historical Data'!$BE$2:$BE$9,0)),"")</f>
        <v/>
      </c>
      <c r="Q91" s="111" t="str">
        <f aca="false">IFERROR(INDEX('Historical Data'!$AA$2:$AA$9,MATCH($A91,'Historical Data'!$BE$2:$BE$9,0)),"")</f>
        <v/>
      </c>
      <c r="R91" s="111" t="str">
        <f aca="false">IFERROR(INDEX('Historical Data'!$AB$2:$AB$9,MATCH($A91,'Historical Data'!$BE$2:$BE$9,0)),"")</f>
        <v/>
      </c>
      <c r="S91" s="111" t="str">
        <f aca="false">IFERROR(INDEX('Historical Data'!$AN$2:$AN$9,MATCH($A91,'Historical Data'!$BE$2:$BE$9,0)),"")</f>
        <v/>
      </c>
      <c r="T91" s="111" t="str">
        <f aca="false">IFERROR(INDEX('Historical Data'!$AC$2:$AC$9,MATCH($A91,'Historical Data'!$BE$2:$BE$9,0)),"")</f>
        <v/>
      </c>
      <c r="U91" s="111" t="str">
        <f aca="false">IFERROR(INDEX('Historical Data'!$AE$2:$AE$9,MATCH($A91,'Historical Data'!$BE$2:$BE$9,0)),"")</f>
        <v/>
      </c>
      <c r="V91" s="111" t="str">
        <f aca="false">IFERROR(INDEX('Historical Data'!$AH$2:$AH$9,MATCH($A91,'Historical Data'!$BE$2:$BE$9,0)),"")</f>
        <v/>
      </c>
      <c r="W91" s="111" t="str">
        <f aca="false">IFERROR(INDEX('Historical Data'!$BC$2:$BC$9,MATCH($A91,'Historical Data'!$BE$2:$BE$9,0)),"")</f>
        <v/>
      </c>
      <c r="X91" s="110" t="str">
        <f aca="false">IF(B91="","",IF(W91=1,"NR + industry + position",IF(W91=2,"NR + ISO + position",IF(W91=3,"NR + industry",IF(W91=4,"NR + ISO",IF(W91=5,"NR + position",IF(W91=6,"NR only","book baseline"))))))&amp;"  ["&amp;IF(T91=1,"seasoned","unseasoned")&amp;IF(U91=1,", defaulted","")&amp;IF(V91=1,", open","")&amp;"]")</f>
        <v/>
      </c>
    </row>
    <row r="92" customFormat="false" ht="15" hidden="false" customHeight="false" outlineLevel="0" collapsed="false">
      <c r="A92" s="110" t="n">
        <v>88</v>
      </c>
      <c r="B92" s="111" t="str">
        <f aca="false">IFERROR(INDEX('Historical Data'!$A$2:$A$9,MATCH($A92,'Historical Data'!$BE$2:$BE$9,0)),"")</f>
        <v/>
      </c>
      <c r="C92" s="111" t="str">
        <f aca="false">IFERROR(INDEX('Historical Data'!$B$2:$B$9,MATCH($A92,'Historical Data'!$BE$2:$BE$9,0)),"")</f>
        <v/>
      </c>
      <c r="D92" s="111" t="str">
        <f aca="false">IFERROR(INDEX('Historical Data'!$D$2:$D$9,MATCH($A92,'Historical Data'!$BE$2:$BE$9,0)),"")</f>
        <v/>
      </c>
      <c r="E92" s="112" t="str">
        <f aca="false">IFERROR(INDEX('Historical Data'!$E$2:$E$9,MATCH($A92,'Historical Data'!$BE$2:$BE$9,0)),"")</f>
        <v/>
      </c>
      <c r="F92" s="111" t="str">
        <f aca="false">IFERROR(INDEX('Historical Data'!$G$2:$G$9,MATCH($A92,'Historical Data'!$BE$2:$BE$9,0)),"")</f>
        <v/>
      </c>
      <c r="G92" s="111" t="str">
        <f aca="false">IFERROR(INDEX('Historical Data'!$Y$2:$Y$9,MATCH($A92,'Historical Data'!$BE$2:$BE$9,0)),"")</f>
        <v/>
      </c>
      <c r="H92" s="111" t="str">
        <f aca="false">IFERROR(INDEX('Historical Data'!$K$2:$K$9,MATCH($A92,'Historical Data'!$BE$2:$BE$9,0)),"")</f>
        <v/>
      </c>
      <c r="I92" s="111" t="str">
        <f aca="false">IFERROR(INDEX('Historical Data'!$J$2:$J$9,MATCH($A92,'Historical Data'!$BE$2:$BE$9,0)),"")</f>
        <v/>
      </c>
      <c r="J92" s="111" t="str">
        <f aca="false">IFERROR(INDEX('Historical Data'!$L$2:$L$9,MATCH($A92,'Historical Data'!$BE$2:$BE$9,0)),"")</f>
        <v/>
      </c>
      <c r="K92" s="113" t="str">
        <f aca="false">IFERROR(INDEX('Historical Data'!$M$2:$M$9,MATCH($A92,'Historical Data'!$BE$2:$BE$9,0)),"")</f>
        <v/>
      </c>
      <c r="L92" s="114" t="str">
        <f aca="false">IFERROR(INDEX('Historical Data'!$N$2:$N$9,MATCH($A92,'Historical Data'!$BE$2:$BE$9,0)),"")</f>
        <v/>
      </c>
      <c r="M92" s="114" t="str">
        <f aca="false">IFERROR(INDEX('Historical Data'!$Q$2:$Q$9,MATCH($A92,'Historical Data'!$BE$2:$BE$9,0)),"")</f>
        <v/>
      </c>
      <c r="N92" s="115" t="str">
        <f aca="false">IFERROR(INDEX('Historical Data'!$S$2:$S$9,MATCH($A92,'Historical Data'!$BE$2:$BE$9,0)),"")</f>
        <v/>
      </c>
      <c r="O92" s="114" t="str">
        <f aca="false">IFERROR(INDEX('Historical Data'!$AJ$2:$AJ$9,MATCH($A92,'Historical Data'!$BE$2:$BE$9,0)),"")</f>
        <v/>
      </c>
      <c r="P92" s="114" t="str">
        <f aca="false">IFERROR(INDEX('Historical Data'!$AK$2:$AK$9,MATCH($A92,'Historical Data'!$BE$2:$BE$9,0)),"")</f>
        <v/>
      </c>
      <c r="Q92" s="111" t="str">
        <f aca="false">IFERROR(INDEX('Historical Data'!$AA$2:$AA$9,MATCH($A92,'Historical Data'!$BE$2:$BE$9,0)),"")</f>
        <v/>
      </c>
      <c r="R92" s="111" t="str">
        <f aca="false">IFERROR(INDEX('Historical Data'!$AB$2:$AB$9,MATCH($A92,'Historical Data'!$BE$2:$BE$9,0)),"")</f>
        <v/>
      </c>
      <c r="S92" s="111" t="str">
        <f aca="false">IFERROR(INDEX('Historical Data'!$AN$2:$AN$9,MATCH($A92,'Historical Data'!$BE$2:$BE$9,0)),"")</f>
        <v/>
      </c>
      <c r="T92" s="111" t="str">
        <f aca="false">IFERROR(INDEX('Historical Data'!$AC$2:$AC$9,MATCH($A92,'Historical Data'!$BE$2:$BE$9,0)),"")</f>
        <v/>
      </c>
      <c r="U92" s="111" t="str">
        <f aca="false">IFERROR(INDEX('Historical Data'!$AE$2:$AE$9,MATCH($A92,'Historical Data'!$BE$2:$BE$9,0)),"")</f>
        <v/>
      </c>
      <c r="V92" s="111" t="str">
        <f aca="false">IFERROR(INDEX('Historical Data'!$AH$2:$AH$9,MATCH($A92,'Historical Data'!$BE$2:$BE$9,0)),"")</f>
        <v/>
      </c>
      <c r="W92" s="111" t="str">
        <f aca="false">IFERROR(INDEX('Historical Data'!$BC$2:$BC$9,MATCH($A92,'Historical Data'!$BE$2:$BE$9,0)),"")</f>
        <v/>
      </c>
      <c r="X92" s="110" t="str">
        <f aca="false">IF(B92="","",IF(W92=1,"NR + industry + position",IF(W92=2,"NR + ISO + position",IF(W92=3,"NR + industry",IF(W92=4,"NR + ISO",IF(W92=5,"NR + position",IF(W92=6,"NR only","book baseline"))))))&amp;"  ["&amp;IF(T92=1,"seasoned","unseasoned")&amp;IF(U92=1,", defaulted","")&amp;IF(V92=1,", open","")&amp;"]")</f>
        <v/>
      </c>
    </row>
    <row r="93" customFormat="false" ht="15" hidden="false" customHeight="false" outlineLevel="0" collapsed="false">
      <c r="A93" s="110" t="n">
        <v>89</v>
      </c>
      <c r="B93" s="111" t="str">
        <f aca="false">IFERROR(INDEX('Historical Data'!$A$2:$A$9,MATCH($A93,'Historical Data'!$BE$2:$BE$9,0)),"")</f>
        <v/>
      </c>
      <c r="C93" s="111" t="str">
        <f aca="false">IFERROR(INDEX('Historical Data'!$B$2:$B$9,MATCH($A93,'Historical Data'!$BE$2:$BE$9,0)),"")</f>
        <v/>
      </c>
      <c r="D93" s="111" t="str">
        <f aca="false">IFERROR(INDEX('Historical Data'!$D$2:$D$9,MATCH($A93,'Historical Data'!$BE$2:$BE$9,0)),"")</f>
        <v/>
      </c>
      <c r="E93" s="112" t="str">
        <f aca="false">IFERROR(INDEX('Historical Data'!$E$2:$E$9,MATCH($A93,'Historical Data'!$BE$2:$BE$9,0)),"")</f>
        <v/>
      </c>
      <c r="F93" s="111" t="str">
        <f aca="false">IFERROR(INDEX('Historical Data'!$G$2:$G$9,MATCH($A93,'Historical Data'!$BE$2:$BE$9,0)),"")</f>
        <v/>
      </c>
      <c r="G93" s="111" t="str">
        <f aca="false">IFERROR(INDEX('Historical Data'!$Y$2:$Y$9,MATCH($A93,'Historical Data'!$BE$2:$BE$9,0)),"")</f>
        <v/>
      </c>
      <c r="H93" s="111" t="str">
        <f aca="false">IFERROR(INDEX('Historical Data'!$K$2:$K$9,MATCH($A93,'Historical Data'!$BE$2:$BE$9,0)),"")</f>
        <v/>
      </c>
      <c r="I93" s="111" t="str">
        <f aca="false">IFERROR(INDEX('Historical Data'!$J$2:$J$9,MATCH($A93,'Historical Data'!$BE$2:$BE$9,0)),"")</f>
        <v/>
      </c>
      <c r="J93" s="111" t="str">
        <f aca="false">IFERROR(INDEX('Historical Data'!$L$2:$L$9,MATCH($A93,'Historical Data'!$BE$2:$BE$9,0)),"")</f>
        <v/>
      </c>
      <c r="K93" s="113" t="str">
        <f aca="false">IFERROR(INDEX('Historical Data'!$M$2:$M$9,MATCH($A93,'Historical Data'!$BE$2:$BE$9,0)),"")</f>
        <v/>
      </c>
      <c r="L93" s="114" t="str">
        <f aca="false">IFERROR(INDEX('Historical Data'!$N$2:$N$9,MATCH($A93,'Historical Data'!$BE$2:$BE$9,0)),"")</f>
        <v/>
      </c>
      <c r="M93" s="114" t="str">
        <f aca="false">IFERROR(INDEX('Historical Data'!$Q$2:$Q$9,MATCH($A93,'Historical Data'!$BE$2:$BE$9,0)),"")</f>
        <v/>
      </c>
      <c r="N93" s="115" t="str">
        <f aca="false">IFERROR(INDEX('Historical Data'!$S$2:$S$9,MATCH($A93,'Historical Data'!$BE$2:$BE$9,0)),"")</f>
        <v/>
      </c>
      <c r="O93" s="114" t="str">
        <f aca="false">IFERROR(INDEX('Historical Data'!$AJ$2:$AJ$9,MATCH($A93,'Historical Data'!$BE$2:$BE$9,0)),"")</f>
        <v/>
      </c>
      <c r="P93" s="114" t="str">
        <f aca="false">IFERROR(INDEX('Historical Data'!$AK$2:$AK$9,MATCH($A93,'Historical Data'!$BE$2:$BE$9,0)),"")</f>
        <v/>
      </c>
      <c r="Q93" s="111" t="str">
        <f aca="false">IFERROR(INDEX('Historical Data'!$AA$2:$AA$9,MATCH($A93,'Historical Data'!$BE$2:$BE$9,0)),"")</f>
        <v/>
      </c>
      <c r="R93" s="111" t="str">
        <f aca="false">IFERROR(INDEX('Historical Data'!$AB$2:$AB$9,MATCH($A93,'Historical Data'!$BE$2:$BE$9,0)),"")</f>
        <v/>
      </c>
      <c r="S93" s="111" t="str">
        <f aca="false">IFERROR(INDEX('Historical Data'!$AN$2:$AN$9,MATCH($A93,'Historical Data'!$BE$2:$BE$9,0)),"")</f>
        <v/>
      </c>
      <c r="T93" s="111" t="str">
        <f aca="false">IFERROR(INDEX('Historical Data'!$AC$2:$AC$9,MATCH($A93,'Historical Data'!$BE$2:$BE$9,0)),"")</f>
        <v/>
      </c>
      <c r="U93" s="111" t="str">
        <f aca="false">IFERROR(INDEX('Historical Data'!$AE$2:$AE$9,MATCH($A93,'Historical Data'!$BE$2:$BE$9,0)),"")</f>
        <v/>
      </c>
      <c r="V93" s="111" t="str">
        <f aca="false">IFERROR(INDEX('Historical Data'!$AH$2:$AH$9,MATCH($A93,'Historical Data'!$BE$2:$BE$9,0)),"")</f>
        <v/>
      </c>
      <c r="W93" s="111" t="str">
        <f aca="false">IFERROR(INDEX('Historical Data'!$BC$2:$BC$9,MATCH($A93,'Historical Data'!$BE$2:$BE$9,0)),"")</f>
        <v/>
      </c>
      <c r="X93" s="110" t="str">
        <f aca="false">IF(B93="","",IF(W93=1,"NR + industry + position",IF(W93=2,"NR + ISO + position",IF(W93=3,"NR + industry",IF(W93=4,"NR + ISO",IF(W93=5,"NR + position",IF(W93=6,"NR only","book baseline"))))))&amp;"  ["&amp;IF(T93=1,"seasoned","unseasoned")&amp;IF(U93=1,", defaulted","")&amp;IF(V93=1,", open","")&amp;"]")</f>
        <v/>
      </c>
    </row>
    <row r="94" customFormat="false" ht="15" hidden="false" customHeight="false" outlineLevel="0" collapsed="false">
      <c r="A94" s="110" t="n">
        <v>90</v>
      </c>
      <c r="B94" s="111" t="str">
        <f aca="false">IFERROR(INDEX('Historical Data'!$A$2:$A$9,MATCH($A94,'Historical Data'!$BE$2:$BE$9,0)),"")</f>
        <v/>
      </c>
      <c r="C94" s="111" t="str">
        <f aca="false">IFERROR(INDEX('Historical Data'!$B$2:$B$9,MATCH($A94,'Historical Data'!$BE$2:$BE$9,0)),"")</f>
        <v/>
      </c>
      <c r="D94" s="111" t="str">
        <f aca="false">IFERROR(INDEX('Historical Data'!$D$2:$D$9,MATCH($A94,'Historical Data'!$BE$2:$BE$9,0)),"")</f>
        <v/>
      </c>
      <c r="E94" s="112" t="str">
        <f aca="false">IFERROR(INDEX('Historical Data'!$E$2:$E$9,MATCH($A94,'Historical Data'!$BE$2:$BE$9,0)),"")</f>
        <v/>
      </c>
      <c r="F94" s="111" t="str">
        <f aca="false">IFERROR(INDEX('Historical Data'!$G$2:$G$9,MATCH($A94,'Historical Data'!$BE$2:$BE$9,0)),"")</f>
        <v/>
      </c>
      <c r="G94" s="111" t="str">
        <f aca="false">IFERROR(INDEX('Historical Data'!$Y$2:$Y$9,MATCH($A94,'Historical Data'!$BE$2:$BE$9,0)),"")</f>
        <v/>
      </c>
      <c r="H94" s="111" t="str">
        <f aca="false">IFERROR(INDEX('Historical Data'!$K$2:$K$9,MATCH($A94,'Historical Data'!$BE$2:$BE$9,0)),"")</f>
        <v/>
      </c>
      <c r="I94" s="111" t="str">
        <f aca="false">IFERROR(INDEX('Historical Data'!$J$2:$J$9,MATCH($A94,'Historical Data'!$BE$2:$BE$9,0)),"")</f>
        <v/>
      </c>
      <c r="J94" s="111" t="str">
        <f aca="false">IFERROR(INDEX('Historical Data'!$L$2:$L$9,MATCH($A94,'Historical Data'!$BE$2:$BE$9,0)),"")</f>
        <v/>
      </c>
      <c r="K94" s="113" t="str">
        <f aca="false">IFERROR(INDEX('Historical Data'!$M$2:$M$9,MATCH($A94,'Historical Data'!$BE$2:$BE$9,0)),"")</f>
        <v/>
      </c>
      <c r="L94" s="114" t="str">
        <f aca="false">IFERROR(INDEX('Historical Data'!$N$2:$N$9,MATCH($A94,'Historical Data'!$BE$2:$BE$9,0)),"")</f>
        <v/>
      </c>
      <c r="M94" s="114" t="str">
        <f aca="false">IFERROR(INDEX('Historical Data'!$Q$2:$Q$9,MATCH($A94,'Historical Data'!$BE$2:$BE$9,0)),"")</f>
        <v/>
      </c>
      <c r="N94" s="115" t="str">
        <f aca="false">IFERROR(INDEX('Historical Data'!$S$2:$S$9,MATCH($A94,'Historical Data'!$BE$2:$BE$9,0)),"")</f>
        <v/>
      </c>
      <c r="O94" s="114" t="str">
        <f aca="false">IFERROR(INDEX('Historical Data'!$AJ$2:$AJ$9,MATCH($A94,'Historical Data'!$BE$2:$BE$9,0)),"")</f>
        <v/>
      </c>
      <c r="P94" s="114" t="str">
        <f aca="false">IFERROR(INDEX('Historical Data'!$AK$2:$AK$9,MATCH($A94,'Historical Data'!$BE$2:$BE$9,0)),"")</f>
        <v/>
      </c>
      <c r="Q94" s="111" t="str">
        <f aca="false">IFERROR(INDEX('Historical Data'!$AA$2:$AA$9,MATCH($A94,'Historical Data'!$BE$2:$BE$9,0)),"")</f>
        <v/>
      </c>
      <c r="R94" s="111" t="str">
        <f aca="false">IFERROR(INDEX('Historical Data'!$AB$2:$AB$9,MATCH($A94,'Historical Data'!$BE$2:$BE$9,0)),"")</f>
        <v/>
      </c>
      <c r="S94" s="111" t="str">
        <f aca="false">IFERROR(INDEX('Historical Data'!$AN$2:$AN$9,MATCH($A94,'Historical Data'!$BE$2:$BE$9,0)),"")</f>
        <v/>
      </c>
      <c r="T94" s="111" t="str">
        <f aca="false">IFERROR(INDEX('Historical Data'!$AC$2:$AC$9,MATCH($A94,'Historical Data'!$BE$2:$BE$9,0)),"")</f>
        <v/>
      </c>
      <c r="U94" s="111" t="str">
        <f aca="false">IFERROR(INDEX('Historical Data'!$AE$2:$AE$9,MATCH($A94,'Historical Data'!$BE$2:$BE$9,0)),"")</f>
        <v/>
      </c>
      <c r="V94" s="111" t="str">
        <f aca="false">IFERROR(INDEX('Historical Data'!$AH$2:$AH$9,MATCH($A94,'Historical Data'!$BE$2:$BE$9,0)),"")</f>
        <v/>
      </c>
      <c r="W94" s="111" t="str">
        <f aca="false">IFERROR(INDEX('Historical Data'!$BC$2:$BC$9,MATCH($A94,'Historical Data'!$BE$2:$BE$9,0)),"")</f>
        <v/>
      </c>
      <c r="X94" s="110" t="str">
        <f aca="false">IF(B94="","",IF(W94=1,"NR + industry + position",IF(W94=2,"NR + ISO + position",IF(W94=3,"NR + industry",IF(W94=4,"NR + ISO",IF(W94=5,"NR + position",IF(W94=6,"NR only","book baseline"))))))&amp;"  ["&amp;IF(T94=1,"seasoned","unseasoned")&amp;IF(U94=1,", defaulted","")&amp;IF(V94=1,", open","")&amp;"]")</f>
        <v/>
      </c>
    </row>
    <row r="95" customFormat="false" ht="15" hidden="false" customHeight="false" outlineLevel="0" collapsed="false">
      <c r="A95" s="110" t="n">
        <v>91</v>
      </c>
      <c r="B95" s="111" t="str">
        <f aca="false">IFERROR(INDEX('Historical Data'!$A$2:$A$9,MATCH($A95,'Historical Data'!$BE$2:$BE$9,0)),"")</f>
        <v/>
      </c>
      <c r="C95" s="111" t="str">
        <f aca="false">IFERROR(INDEX('Historical Data'!$B$2:$B$9,MATCH($A95,'Historical Data'!$BE$2:$BE$9,0)),"")</f>
        <v/>
      </c>
      <c r="D95" s="111" t="str">
        <f aca="false">IFERROR(INDEX('Historical Data'!$D$2:$D$9,MATCH($A95,'Historical Data'!$BE$2:$BE$9,0)),"")</f>
        <v/>
      </c>
      <c r="E95" s="112" t="str">
        <f aca="false">IFERROR(INDEX('Historical Data'!$E$2:$E$9,MATCH($A95,'Historical Data'!$BE$2:$BE$9,0)),"")</f>
        <v/>
      </c>
      <c r="F95" s="111" t="str">
        <f aca="false">IFERROR(INDEX('Historical Data'!$G$2:$G$9,MATCH($A95,'Historical Data'!$BE$2:$BE$9,0)),"")</f>
        <v/>
      </c>
      <c r="G95" s="111" t="str">
        <f aca="false">IFERROR(INDEX('Historical Data'!$Y$2:$Y$9,MATCH($A95,'Historical Data'!$BE$2:$BE$9,0)),"")</f>
        <v/>
      </c>
      <c r="H95" s="111" t="str">
        <f aca="false">IFERROR(INDEX('Historical Data'!$K$2:$K$9,MATCH($A95,'Historical Data'!$BE$2:$BE$9,0)),"")</f>
        <v/>
      </c>
      <c r="I95" s="111" t="str">
        <f aca="false">IFERROR(INDEX('Historical Data'!$J$2:$J$9,MATCH($A95,'Historical Data'!$BE$2:$BE$9,0)),"")</f>
        <v/>
      </c>
      <c r="J95" s="111" t="str">
        <f aca="false">IFERROR(INDEX('Historical Data'!$L$2:$L$9,MATCH($A95,'Historical Data'!$BE$2:$BE$9,0)),"")</f>
        <v/>
      </c>
      <c r="K95" s="113" t="str">
        <f aca="false">IFERROR(INDEX('Historical Data'!$M$2:$M$9,MATCH($A95,'Historical Data'!$BE$2:$BE$9,0)),"")</f>
        <v/>
      </c>
      <c r="L95" s="114" t="str">
        <f aca="false">IFERROR(INDEX('Historical Data'!$N$2:$N$9,MATCH($A95,'Historical Data'!$BE$2:$BE$9,0)),"")</f>
        <v/>
      </c>
      <c r="M95" s="114" t="str">
        <f aca="false">IFERROR(INDEX('Historical Data'!$Q$2:$Q$9,MATCH($A95,'Historical Data'!$BE$2:$BE$9,0)),"")</f>
        <v/>
      </c>
      <c r="N95" s="115" t="str">
        <f aca="false">IFERROR(INDEX('Historical Data'!$S$2:$S$9,MATCH($A95,'Historical Data'!$BE$2:$BE$9,0)),"")</f>
        <v/>
      </c>
      <c r="O95" s="114" t="str">
        <f aca="false">IFERROR(INDEX('Historical Data'!$AJ$2:$AJ$9,MATCH($A95,'Historical Data'!$BE$2:$BE$9,0)),"")</f>
        <v/>
      </c>
      <c r="P95" s="114" t="str">
        <f aca="false">IFERROR(INDEX('Historical Data'!$AK$2:$AK$9,MATCH($A95,'Historical Data'!$BE$2:$BE$9,0)),"")</f>
        <v/>
      </c>
      <c r="Q95" s="111" t="str">
        <f aca="false">IFERROR(INDEX('Historical Data'!$AA$2:$AA$9,MATCH($A95,'Historical Data'!$BE$2:$BE$9,0)),"")</f>
        <v/>
      </c>
      <c r="R95" s="111" t="str">
        <f aca="false">IFERROR(INDEX('Historical Data'!$AB$2:$AB$9,MATCH($A95,'Historical Data'!$BE$2:$BE$9,0)),"")</f>
        <v/>
      </c>
      <c r="S95" s="111" t="str">
        <f aca="false">IFERROR(INDEX('Historical Data'!$AN$2:$AN$9,MATCH($A95,'Historical Data'!$BE$2:$BE$9,0)),"")</f>
        <v/>
      </c>
      <c r="T95" s="111" t="str">
        <f aca="false">IFERROR(INDEX('Historical Data'!$AC$2:$AC$9,MATCH($A95,'Historical Data'!$BE$2:$BE$9,0)),"")</f>
        <v/>
      </c>
      <c r="U95" s="111" t="str">
        <f aca="false">IFERROR(INDEX('Historical Data'!$AE$2:$AE$9,MATCH($A95,'Historical Data'!$BE$2:$BE$9,0)),"")</f>
        <v/>
      </c>
      <c r="V95" s="111" t="str">
        <f aca="false">IFERROR(INDEX('Historical Data'!$AH$2:$AH$9,MATCH($A95,'Historical Data'!$BE$2:$BE$9,0)),"")</f>
        <v/>
      </c>
      <c r="W95" s="111" t="str">
        <f aca="false">IFERROR(INDEX('Historical Data'!$BC$2:$BC$9,MATCH($A95,'Historical Data'!$BE$2:$BE$9,0)),"")</f>
        <v/>
      </c>
      <c r="X95" s="110" t="str">
        <f aca="false">IF(B95="","",IF(W95=1,"NR + industry + position",IF(W95=2,"NR + ISO + position",IF(W95=3,"NR + industry",IF(W95=4,"NR + ISO",IF(W95=5,"NR + position",IF(W95=6,"NR only","book baseline"))))))&amp;"  ["&amp;IF(T95=1,"seasoned","unseasoned")&amp;IF(U95=1,", defaulted","")&amp;IF(V95=1,", open","")&amp;"]")</f>
        <v/>
      </c>
    </row>
    <row r="96" customFormat="false" ht="15" hidden="false" customHeight="false" outlineLevel="0" collapsed="false">
      <c r="A96" s="110" t="n">
        <v>92</v>
      </c>
      <c r="B96" s="111" t="str">
        <f aca="false">IFERROR(INDEX('Historical Data'!$A$2:$A$9,MATCH($A96,'Historical Data'!$BE$2:$BE$9,0)),"")</f>
        <v/>
      </c>
      <c r="C96" s="111" t="str">
        <f aca="false">IFERROR(INDEX('Historical Data'!$B$2:$B$9,MATCH($A96,'Historical Data'!$BE$2:$BE$9,0)),"")</f>
        <v/>
      </c>
      <c r="D96" s="111" t="str">
        <f aca="false">IFERROR(INDEX('Historical Data'!$D$2:$D$9,MATCH($A96,'Historical Data'!$BE$2:$BE$9,0)),"")</f>
        <v/>
      </c>
      <c r="E96" s="112" t="str">
        <f aca="false">IFERROR(INDEX('Historical Data'!$E$2:$E$9,MATCH($A96,'Historical Data'!$BE$2:$BE$9,0)),"")</f>
        <v/>
      </c>
      <c r="F96" s="111" t="str">
        <f aca="false">IFERROR(INDEX('Historical Data'!$G$2:$G$9,MATCH($A96,'Historical Data'!$BE$2:$BE$9,0)),"")</f>
        <v/>
      </c>
      <c r="G96" s="111" t="str">
        <f aca="false">IFERROR(INDEX('Historical Data'!$Y$2:$Y$9,MATCH($A96,'Historical Data'!$BE$2:$BE$9,0)),"")</f>
        <v/>
      </c>
      <c r="H96" s="111" t="str">
        <f aca="false">IFERROR(INDEX('Historical Data'!$K$2:$K$9,MATCH($A96,'Historical Data'!$BE$2:$BE$9,0)),"")</f>
        <v/>
      </c>
      <c r="I96" s="111" t="str">
        <f aca="false">IFERROR(INDEX('Historical Data'!$J$2:$J$9,MATCH($A96,'Historical Data'!$BE$2:$BE$9,0)),"")</f>
        <v/>
      </c>
      <c r="J96" s="111" t="str">
        <f aca="false">IFERROR(INDEX('Historical Data'!$L$2:$L$9,MATCH($A96,'Historical Data'!$BE$2:$BE$9,0)),"")</f>
        <v/>
      </c>
      <c r="K96" s="113" t="str">
        <f aca="false">IFERROR(INDEX('Historical Data'!$M$2:$M$9,MATCH($A96,'Historical Data'!$BE$2:$BE$9,0)),"")</f>
        <v/>
      </c>
      <c r="L96" s="114" t="str">
        <f aca="false">IFERROR(INDEX('Historical Data'!$N$2:$N$9,MATCH($A96,'Historical Data'!$BE$2:$BE$9,0)),"")</f>
        <v/>
      </c>
      <c r="M96" s="114" t="str">
        <f aca="false">IFERROR(INDEX('Historical Data'!$Q$2:$Q$9,MATCH($A96,'Historical Data'!$BE$2:$BE$9,0)),"")</f>
        <v/>
      </c>
      <c r="N96" s="115" t="str">
        <f aca="false">IFERROR(INDEX('Historical Data'!$S$2:$S$9,MATCH($A96,'Historical Data'!$BE$2:$BE$9,0)),"")</f>
        <v/>
      </c>
      <c r="O96" s="114" t="str">
        <f aca="false">IFERROR(INDEX('Historical Data'!$AJ$2:$AJ$9,MATCH($A96,'Historical Data'!$BE$2:$BE$9,0)),"")</f>
        <v/>
      </c>
      <c r="P96" s="114" t="str">
        <f aca="false">IFERROR(INDEX('Historical Data'!$AK$2:$AK$9,MATCH($A96,'Historical Data'!$BE$2:$BE$9,0)),"")</f>
        <v/>
      </c>
      <c r="Q96" s="111" t="str">
        <f aca="false">IFERROR(INDEX('Historical Data'!$AA$2:$AA$9,MATCH($A96,'Historical Data'!$BE$2:$BE$9,0)),"")</f>
        <v/>
      </c>
      <c r="R96" s="111" t="str">
        <f aca="false">IFERROR(INDEX('Historical Data'!$AB$2:$AB$9,MATCH($A96,'Historical Data'!$BE$2:$BE$9,0)),"")</f>
        <v/>
      </c>
      <c r="S96" s="111" t="str">
        <f aca="false">IFERROR(INDEX('Historical Data'!$AN$2:$AN$9,MATCH($A96,'Historical Data'!$BE$2:$BE$9,0)),"")</f>
        <v/>
      </c>
      <c r="T96" s="111" t="str">
        <f aca="false">IFERROR(INDEX('Historical Data'!$AC$2:$AC$9,MATCH($A96,'Historical Data'!$BE$2:$BE$9,0)),"")</f>
        <v/>
      </c>
      <c r="U96" s="111" t="str">
        <f aca="false">IFERROR(INDEX('Historical Data'!$AE$2:$AE$9,MATCH($A96,'Historical Data'!$BE$2:$BE$9,0)),"")</f>
        <v/>
      </c>
      <c r="V96" s="111" t="str">
        <f aca="false">IFERROR(INDEX('Historical Data'!$AH$2:$AH$9,MATCH($A96,'Historical Data'!$BE$2:$BE$9,0)),"")</f>
        <v/>
      </c>
      <c r="W96" s="111" t="str">
        <f aca="false">IFERROR(INDEX('Historical Data'!$BC$2:$BC$9,MATCH($A96,'Historical Data'!$BE$2:$BE$9,0)),"")</f>
        <v/>
      </c>
      <c r="X96" s="110" t="str">
        <f aca="false">IF(B96="","",IF(W96=1,"NR + industry + position",IF(W96=2,"NR + ISO + position",IF(W96=3,"NR + industry",IF(W96=4,"NR + ISO",IF(W96=5,"NR + position",IF(W96=6,"NR only","book baseline"))))))&amp;"  ["&amp;IF(T96=1,"seasoned","unseasoned")&amp;IF(U96=1,", defaulted","")&amp;IF(V96=1,", open","")&amp;"]")</f>
        <v/>
      </c>
    </row>
    <row r="97" customFormat="false" ht="15" hidden="false" customHeight="false" outlineLevel="0" collapsed="false">
      <c r="A97" s="110" t="n">
        <v>93</v>
      </c>
      <c r="B97" s="111" t="str">
        <f aca="false">IFERROR(INDEX('Historical Data'!$A$2:$A$9,MATCH($A97,'Historical Data'!$BE$2:$BE$9,0)),"")</f>
        <v/>
      </c>
      <c r="C97" s="111" t="str">
        <f aca="false">IFERROR(INDEX('Historical Data'!$B$2:$B$9,MATCH($A97,'Historical Data'!$BE$2:$BE$9,0)),"")</f>
        <v/>
      </c>
      <c r="D97" s="111" t="str">
        <f aca="false">IFERROR(INDEX('Historical Data'!$D$2:$D$9,MATCH($A97,'Historical Data'!$BE$2:$BE$9,0)),"")</f>
        <v/>
      </c>
      <c r="E97" s="112" t="str">
        <f aca="false">IFERROR(INDEX('Historical Data'!$E$2:$E$9,MATCH($A97,'Historical Data'!$BE$2:$BE$9,0)),"")</f>
        <v/>
      </c>
      <c r="F97" s="111" t="str">
        <f aca="false">IFERROR(INDEX('Historical Data'!$G$2:$G$9,MATCH($A97,'Historical Data'!$BE$2:$BE$9,0)),"")</f>
        <v/>
      </c>
      <c r="G97" s="111" t="str">
        <f aca="false">IFERROR(INDEX('Historical Data'!$Y$2:$Y$9,MATCH($A97,'Historical Data'!$BE$2:$BE$9,0)),"")</f>
        <v/>
      </c>
      <c r="H97" s="111" t="str">
        <f aca="false">IFERROR(INDEX('Historical Data'!$K$2:$K$9,MATCH($A97,'Historical Data'!$BE$2:$BE$9,0)),"")</f>
        <v/>
      </c>
      <c r="I97" s="111" t="str">
        <f aca="false">IFERROR(INDEX('Historical Data'!$J$2:$J$9,MATCH($A97,'Historical Data'!$BE$2:$BE$9,0)),"")</f>
        <v/>
      </c>
      <c r="J97" s="111" t="str">
        <f aca="false">IFERROR(INDEX('Historical Data'!$L$2:$L$9,MATCH($A97,'Historical Data'!$BE$2:$BE$9,0)),"")</f>
        <v/>
      </c>
      <c r="K97" s="113" t="str">
        <f aca="false">IFERROR(INDEX('Historical Data'!$M$2:$M$9,MATCH($A97,'Historical Data'!$BE$2:$BE$9,0)),"")</f>
        <v/>
      </c>
      <c r="L97" s="114" t="str">
        <f aca="false">IFERROR(INDEX('Historical Data'!$N$2:$N$9,MATCH($A97,'Historical Data'!$BE$2:$BE$9,0)),"")</f>
        <v/>
      </c>
      <c r="M97" s="114" t="str">
        <f aca="false">IFERROR(INDEX('Historical Data'!$Q$2:$Q$9,MATCH($A97,'Historical Data'!$BE$2:$BE$9,0)),"")</f>
        <v/>
      </c>
      <c r="N97" s="115" t="str">
        <f aca="false">IFERROR(INDEX('Historical Data'!$S$2:$S$9,MATCH($A97,'Historical Data'!$BE$2:$BE$9,0)),"")</f>
        <v/>
      </c>
      <c r="O97" s="114" t="str">
        <f aca="false">IFERROR(INDEX('Historical Data'!$AJ$2:$AJ$9,MATCH($A97,'Historical Data'!$BE$2:$BE$9,0)),"")</f>
        <v/>
      </c>
      <c r="P97" s="114" t="str">
        <f aca="false">IFERROR(INDEX('Historical Data'!$AK$2:$AK$9,MATCH($A97,'Historical Data'!$BE$2:$BE$9,0)),"")</f>
        <v/>
      </c>
      <c r="Q97" s="111" t="str">
        <f aca="false">IFERROR(INDEX('Historical Data'!$AA$2:$AA$9,MATCH($A97,'Historical Data'!$BE$2:$BE$9,0)),"")</f>
        <v/>
      </c>
      <c r="R97" s="111" t="str">
        <f aca="false">IFERROR(INDEX('Historical Data'!$AB$2:$AB$9,MATCH($A97,'Historical Data'!$BE$2:$BE$9,0)),"")</f>
        <v/>
      </c>
      <c r="S97" s="111" t="str">
        <f aca="false">IFERROR(INDEX('Historical Data'!$AN$2:$AN$9,MATCH($A97,'Historical Data'!$BE$2:$BE$9,0)),"")</f>
        <v/>
      </c>
      <c r="T97" s="111" t="str">
        <f aca="false">IFERROR(INDEX('Historical Data'!$AC$2:$AC$9,MATCH($A97,'Historical Data'!$BE$2:$BE$9,0)),"")</f>
        <v/>
      </c>
      <c r="U97" s="111" t="str">
        <f aca="false">IFERROR(INDEX('Historical Data'!$AE$2:$AE$9,MATCH($A97,'Historical Data'!$BE$2:$BE$9,0)),"")</f>
        <v/>
      </c>
      <c r="V97" s="111" t="str">
        <f aca="false">IFERROR(INDEX('Historical Data'!$AH$2:$AH$9,MATCH($A97,'Historical Data'!$BE$2:$BE$9,0)),"")</f>
        <v/>
      </c>
      <c r="W97" s="111" t="str">
        <f aca="false">IFERROR(INDEX('Historical Data'!$BC$2:$BC$9,MATCH($A97,'Historical Data'!$BE$2:$BE$9,0)),"")</f>
        <v/>
      </c>
      <c r="X97" s="110" t="str">
        <f aca="false">IF(B97="","",IF(W97=1,"NR + industry + position",IF(W97=2,"NR + ISO + position",IF(W97=3,"NR + industry",IF(W97=4,"NR + ISO",IF(W97=5,"NR + position",IF(W97=6,"NR only","book baseline"))))))&amp;"  ["&amp;IF(T97=1,"seasoned","unseasoned")&amp;IF(U97=1,", defaulted","")&amp;IF(V97=1,", open","")&amp;"]")</f>
        <v/>
      </c>
    </row>
    <row r="98" customFormat="false" ht="15" hidden="false" customHeight="false" outlineLevel="0" collapsed="false">
      <c r="A98" s="110" t="n">
        <v>94</v>
      </c>
      <c r="B98" s="111" t="str">
        <f aca="false">IFERROR(INDEX('Historical Data'!$A$2:$A$9,MATCH($A98,'Historical Data'!$BE$2:$BE$9,0)),"")</f>
        <v/>
      </c>
      <c r="C98" s="111" t="str">
        <f aca="false">IFERROR(INDEX('Historical Data'!$B$2:$B$9,MATCH($A98,'Historical Data'!$BE$2:$BE$9,0)),"")</f>
        <v/>
      </c>
      <c r="D98" s="111" t="str">
        <f aca="false">IFERROR(INDEX('Historical Data'!$D$2:$D$9,MATCH($A98,'Historical Data'!$BE$2:$BE$9,0)),"")</f>
        <v/>
      </c>
      <c r="E98" s="112" t="str">
        <f aca="false">IFERROR(INDEX('Historical Data'!$E$2:$E$9,MATCH($A98,'Historical Data'!$BE$2:$BE$9,0)),"")</f>
        <v/>
      </c>
      <c r="F98" s="111" t="str">
        <f aca="false">IFERROR(INDEX('Historical Data'!$G$2:$G$9,MATCH($A98,'Historical Data'!$BE$2:$BE$9,0)),"")</f>
        <v/>
      </c>
      <c r="G98" s="111" t="str">
        <f aca="false">IFERROR(INDEX('Historical Data'!$Y$2:$Y$9,MATCH($A98,'Historical Data'!$BE$2:$BE$9,0)),"")</f>
        <v/>
      </c>
      <c r="H98" s="111" t="str">
        <f aca="false">IFERROR(INDEX('Historical Data'!$K$2:$K$9,MATCH($A98,'Historical Data'!$BE$2:$BE$9,0)),"")</f>
        <v/>
      </c>
      <c r="I98" s="111" t="str">
        <f aca="false">IFERROR(INDEX('Historical Data'!$J$2:$J$9,MATCH($A98,'Historical Data'!$BE$2:$BE$9,0)),"")</f>
        <v/>
      </c>
      <c r="J98" s="111" t="str">
        <f aca="false">IFERROR(INDEX('Historical Data'!$L$2:$L$9,MATCH($A98,'Historical Data'!$BE$2:$BE$9,0)),"")</f>
        <v/>
      </c>
      <c r="K98" s="113" t="str">
        <f aca="false">IFERROR(INDEX('Historical Data'!$M$2:$M$9,MATCH($A98,'Historical Data'!$BE$2:$BE$9,0)),"")</f>
        <v/>
      </c>
      <c r="L98" s="114" t="str">
        <f aca="false">IFERROR(INDEX('Historical Data'!$N$2:$N$9,MATCH($A98,'Historical Data'!$BE$2:$BE$9,0)),"")</f>
        <v/>
      </c>
      <c r="M98" s="114" t="str">
        <f aca="false">IFERROR(INDEX('Historical Data'!$Q$2:$Q$9,MATCH($A98,'Historical Data'!$BE$2:$BE$9,0)),"")</f>
        <v/>
      </c>
      <c r="N98" s="115" t="str">
        <f aca="false">IFERROR(INDEX('Historical Data'!$S$2:$S$9,MATCH($A98,'Historical Data'!$BE$2:$BE$9,0)),"")</f>
        <v/>
      </c>
      <c r="O98" s="114" t="str">
        <f aca="false">IFERROR(INDEX('Historical Data'!$AJ$2:$AJ$9,MATCH($A98,'Historical Data'!$BE$2:$BE$9,0)),"")</f>
        <v/>
      </c>
      <c r="P98" s="114" t="str">
        <f aca="false">IFERROR(INDEX('Historical Data'!$AK$2:$AK$9,MATCH($A98,'Historical Data'!$BE$2:$BE$9,0)),"")</f>
        <v/>
      </c>
      <c r="Q98" s="111" t="str">
        <f aca="false">IFERROR(INDEX('Historical Data'!$AA$2:$AA$9,MATCH($A98,'Historical Data'!$BE$2:$BE$9,0)),"")</f>
        <v/>
      </c>
      <c r="R98" s="111" t="str">
        <f aca="false">IFERROR(INDEX('Historical Data'!$AB$2:$AB$9,MATCH($A98,'Historical Data'!$BE$2:$BE$9,0)),"")</f>
        <v/>
      </c>
      <c r="S98" s="111" t="str">
        <f aca="false">IFERROR(INDEX('Historical Data'!$AN$2:$AN$9,MATCH($A98,'Historical Data'!$BE$2:$BE$9,0)),"")</f>
        <v/>
      </c>
      <c r="T98" s="111" t="str">
        <f aca="false">IFERROR(INDEX('Historical Data'!$AC$2:$AC$9,MATCH($A98,'Historical Data'!$BE$2:$BE$9,0)),"")</f>
        <v/>
      </c>
      <c r="U98" s="111" t="str">
        <f aca="false">IFERROR(INDEX('Historical Data'!$AE$2:$AE$9,MATCH($A98,'Historical Data'!$BE$2:$BE$9,0)),"")</f>
        <v/>
      </c>
      <c r="V98" s="111" t="str">
        <f aca="false">IFERROR(INDEX('Historical Data'!$AH$2:$AH$9,MATCH($A98,'Historical Data'!$BE$2:$BE$9,0)),"")</f>
        <v/>
      </c>
      <c r="W98" s="111" t="str">
        <f aca="false">IFERROR(INDEX('Historical Data'!$BC$2:$BC$9,MATCH($A98,'Historical Data'!$BE$2:$BE$9,0)),"")</f>
        <v/>
      </c>
      <c r="X98" s="110" t="str">
        <f aca="false">IF(B98="","",IF(W98=1,"NR + industry + position",IF(W98=2,"NR + ISO + position",IF(W98=3,"NR + industry",IF(W98=4,"NR + ISO",IF(W98=5,"NR + position",IF(W98=6,"NR only","book baseline"))))))&amp;"  ["&amp;IF(T98=1,"seasoned","unseasoned")&amp;IF(U98=1,", defaulted","")&amp;IF(V98=1,", open","")&amp;"]")</f>
        <v/>
      </c>
    </row>
    <row r="99" customFormat="false" ht="15" hidden="false" customHeight="false" outlineLevel="0" collapsed="false">
      <c r="A99" s="110" t="n">
        <v>95</v>
      </c>
      <c r="B99" s="111" t="str">
        <f aca="false">IFERROR(INDEX('Historical Data'!$A$2:$A$9,MATCH($A99,'Historical Data'!$BE$2:$BE$9,0)),"")</f>
        <v/>
      </c>
      <c r="C99" s="111" t="str">
        <f aca="false">IFERROR(INDEX('Historical Data'!$B$2:$B$9,MATCH($A99,'Historical Data'!$BE$2:$BE$9,0)),"")</f>
        <v/>
      </c>
      <c r="D99" s="111" t="str">
        <f aca="false">IFERROR(INDEX('Historical Data'!$D$2:$D$9,MATCH($A99,'Historical Data'!$BE$2:$BE$9,0)),"")</f>
        <v/>
      </c>
      <c r="E99" s="112" t="str">
        <f aca="false">IFERROR(INDEX('Historical Data'!$E$2:$E$9,MATCH($A99,'Historical Data'!$BE$2:$BE$9,0)),"")</f>
        <v/>
      </c>
      <c r="F99" s="111" t="str">
        <f aca="false">IFERROR(INDEX('Historical Data'!$G$2:$G$9,MATCH($A99,'Historical Data'!$BE$2:$BE$9,0)),"")</f>
        <v/>
      </c>
      <c r="G99" s="111" t="str">
        <f aca="false">IFERROR(INDEX('Historical Data'!$Y$2:$Y$9,MATCH($A99,'Historical Data'!$BE$2:$BE$9,0)),"")</f>
        <v/>
      </c>
      <c r="H99" s="111" t="str">
        <f aca="false">IFERROR(INDEX('Historical Data'!$K$2:$K$9,MATCH($A99,'Historical Data'!$BE$2:$BE$9,0)),"")</f>
        <v/>
      </c>
      <c r="I99" s="111" t="str">
        <f aca="false">IFERROR(INDEX('Historical Data'!$J$2:$J$9,MATCH($A99,'Historical Data'!$BE$2:$BE$9,0)),"")</f>
        <v/>
      </c>
      <c r="J99" s="111" t="str">
        <f aca="false">IFERROR(INDEX('Historical Data'!$L$2:$L$9,MATCH($A99,'Historical Data'!$BE$2:$BE$9,0)),"")</f>
        <v/>
      </c>
      <c r="K99" s="113" t="str">
        <f aca="false">IFERROR(INDEX('Historical Data'!$M$2:$M$9,MATCH($A99,'Historical Data'!$BE$2:$BE$9,0)),"")</f>
        <v/>
      </c>
      <c r="L99" s="114" t="str">
        <f aca="false">IFERROR(INDEX('Historical Data'!$N$2:$N$9,MATCH($A99,'Historical Data'!$BE$2:$BE$9,0)),"")</f>
        <v/>
      </c>
      <c r="M99" s="114" t="str">
        <f aca="false">IFERROR(INDEX('Historical Data'!$Q$2:$Q$9,MATCH($A99,'Historical Data'!$BE$2:$BE$9,0)),"")</f>
        <v/>
      </c>
      <c r="N99" s="115" t="str">
        <f aca="false">IFERROR(INDEX('Historical Data'!$S$2:$S$9,MATCH($A99,'Historical Data'!$BE$2:$BE$9,0)),"")</f>
        <v/>
      </c>
      <c r="O99" s="114" t="str">
        <f aca="false">IFERROR(INDEX('Historical Data'!$AJ$2:$AJ$9,MATCH($A99,'Historical Data'!$BE$2:$BE$9,0)),"")</f>
        <v/>
      </c>
      <c r="P99" s="114" t="str">
        <f aca="false">IFERROR(INDEX('Historical Data'!$AK$2:$AK$9,MATCH($A99,'Historical Data'!$BE$2:$BE$9,0)),"")</f>
        <v/>
      </c>
      <c r="Q99" s="111" t="str">
        <f aca="false">IFERROR(INDEX('Historical Data'!$AA$2:$AA$9,MATCH($A99,'Historical Data'!$BE$2:$BE$9,0)),"")</f>
        <v/>
      </c>
      <c r="R99" s="111" t="str">
        <f aca="false">IFERROR(INDEX('Historical Data'!$AB$2:$AB$9,MATCH($A99,'Historical Data'!$BE$2:$BE$9,0)),"")</f>
        <v/>
      </c>
      <c r="S99" s="111" t="str">
        <f aca="false">IFERROR(INDEX('Historical Data'!$AN$2:$AN$9,MATCH($A99,'Historical Data'!$BE$2:$BE$9,0)),"")</f>
        <v/>
      </c>
      <c r="T99" s="111" t="str">
        <f aca="false">IFERROR(INDEX('Historical Data'!$AC$2:$AC$9,MATCH($A99,'Historical Data'!$BE$2:$BE$9,0)),"")</f>
        <v/>
      </c>
      <c r="U99" s="111" t="str">
        <f aca="false">IFERROR(INDEX('Historical Data'!$AE$2:$AE$9,MATCH($A99,'Historical Data'!$BE$2:$BE$9,0)),"")</f>
        <v/>
      </c>
      <c r="V99" s="111" t="str">
        <f aca="false">IFERROR(INDEX('Historical Data'!$AH$2:$AH$9,MATCH($A99,'Historical Data'!$BE$2:$BE$9,0)),"")</f>
        <v/>
      </c>
      <c r="W99" s="111" t="str">
        <f aca="false">IFERROR(INDEX('Historical Data'!$BC$2:$BC$9,MATCH($A99,'Historical Data'!$BE$2:$BE$9,0)),"")</f>
        <v/>
      </c>
      <c r="X99" s="110" t="str">
        <f aca="false">IF(B99="","",IF(W99=1,"NR + industry + position",IF(W99=2,"NR + ISO + position",IF(W99=3,"NR + industry",IF(W99=4,"NR + ISO",IF(W99=5,"NR + position",IF(W99=6,"NR only","book baseline"))))))&amp;"  ["&amp;IF(T99=1,"seasoned","unseasoned")&amp;IF(U99=1,", defaulted","")&amp;IF(V99=1,", open","")&amp;"]")</f>
        <v/>
      </c>
    </row>
    <row r="100" customFormat="false" ht="15" hidden="false" customHeight="false" outlineLevel="0" collapsed="false">
      <c r="A100" s="110" t="n">
        <v>96</v>
      </c>
      <c r="B100" s="111" t="str">
        <f aca="false">IFERROR(INDEX('Historical Data'!$A$2:$A$9,MATCH($A100,'Historical Data'!$BE$2:$BE$9,0)),"")</f>
        <v/>
      </c>
      <c r="C100" s="111" t="str">
        <f aca="false">IFERROR(INDEX('Historical Data'!$B$2:$B$9,MATCH($A100,'Historical Data'!$BE$2:$BE$9,0)),"")</f>
        <v/>
      </c>
      <c r="D100" s="111" t="str">
        <f aca="false">IFERROR(INDEX('Historical Data'!$D$2:$D$9,MATCH($A100,'Historical Data'!$BE$2:$BE$9,0)),"")</f>
        <v/>
      </c>
      <c r="E100" s="112" t="str">
        <f aca="false">IFERROR(INDEX('Historical Data'!$E$2:$E$9,MATCH($A100,'Historical Data'!$BE$2:$BE$9,0)),"")</f>
        <v/>
      </c>
      <c r="F100" s="111" t="str">
        <f aca="false">IFERROR(INDEX('Historical Data'!$G$2:$G$9,MATCH($A100,'Historical Data'!$BE$2:$BE$9,0)),"")</f>
        <v/>
      </c>
      <c r="G100" s="111" t="str">
        <f aca="false">IFERROR(INDEX('Historical Data'!$Y$2:$Y$9,MATCH($A100,'Historical Data'!$BE$2:$BE$9,0)),"")</f>
        <v/>
      </c>
      <c r="H100" s="111" t="str">
        <f aca="false">IFERROR(INDEX('Historical Data'!$K$2:$K$9,MATCH($A100,'Historical Data'!$BE$2:$BE$9,0)),"")</f>
        <v/>
      </c>
      <c r="I100" s="111" t="str">
        <f aca="false">IFERROR(INDEX('Historical Data'!$J$2:$J$9,MATCH($A100,'Historical Data'!$BE$2:$BE$9,0)),"")</f>
        <v/>
      </c>
      <c r="J100" s="111" t="str">
        <f aca="false">IFERROR(INDEX('Historical Data'!$L$2:$L$9,MATCH($A100,'Historical Data'!$BE$2:$BE$9,0)),"")</f>
        <v/>
      </c>
      <c r="K100" s="113" t="str">
        <f aca="false">IFERROR(INDEX('Historical Data'!$M$2:$M$9,MATCH($A100,'Historical Data'!$BE$2:$BE$9,0)),"")</f>
        <v/>
      </c>
      <c r="L100" s="114" t="str">
        <f aca="false">IFERROR(INDEX('Historical Data'!$N$2:$N$9,MATCH($A100,'Historical Data'!$BE$2:$BE$9,0)),"")</f>
        <v/>
      </c>
      <c r="M100" s="114" t="str">
        <f aca="false">IFERROR(INDEX('Historical Data'!$Q$2:$Q$9,MATCH($A100,'Historical Data'!$BE$2:$BE$9,0)),"")</f>
        <v/>
      </c>
      <c r="N100" s="115" t="str">
        <f aca="false">IFERROR(INDEX('Historical Data'!$S$2:$S$9,MATCH($A100,'Historical Data'!$BE$2:$BE$9,0)),"")</f>
        <v/>
      </c>
      <c r="O100" s="114" t="str">
        <f aca="false">IFERROR(INDEX('Historical Data'!$AJ$2:$AJ$9,MATCH($A100,'Historical Data'!$BE$2:$BE$9,0)),"")</f>
        <v/>
      </c>
      <c r="P100" s="114" t="str">
        <f aca="false">IFERROR(INDEX('Historical Data'!$AK$2:$AK$9,MATCH($A100,'Historical Data'!$BE$2:$BE$9,0)),"")</f>
        <v/>
      </c>
      <c r="Q100" s="111" t="str">
        <f aca="false">IFERROR(INDEX('Historical Data'!$AA$2:$AA$9,MATCH($A100,'Historical Data'!$BE$2:$BE$9,0)),"")</f>
        <v/>
      </c>
      <c r="R100" s="111" t="str">
        <f aca="false">IFERROR(INDEX('Historical Data'!$AB$2:$AB$9,MATCH($A100,'Historical Data'!$BE$2:$BE$9,0)),"")</f>
        <v/>
      </c>
      <c r="S100" s="111" t="str">
        <f aca="false">IFERROR(INDEX('Historical Data'!$AN$2:$AN$9,MATCH($A100,'Historical Data'!$BE$2:$BE$9,0)),"")</f>
        <v/>
      </c>
      <c r="T100" s="111" t="str">
        <f aca="false">IFERROR(INDEX('Historical Data'!$AC$2:$AC$9,MATCH($A100,'Historical Data'!$BE$2:$BE$9,0)),"")</f>
        <v/>
      </c>
      <c r="U100" s="111" t="str">
        <f aca="false">IFERROR(INDEX('Historical Data'!$AE$2:$AE$9,MATCH($A100,'Historical Data'!$BE$2:$BE$9,0)),"")</f>
        <v/>
      </c>
      <c r="V100" s="111" t="str">
        <f aca="false">IFERROR(INDEX('Historical Data'!$AH$2:$AH$9,MATCH($A100,'Historical Data'!$BE$2:$BE$9,0)),"")</f>
        <v/>
      </c>
      <c r="W100" s="111" t="str">
        <f aca="false">IFERROR(INDEX('Historical Data'!$BC$2:$BC$9,MATCH($A100,'Historical Data'!$BE$2:$BE$9,0)),"")</f>
        <v/>
      </c>
      <c r="X100" s="110" t="str">
        <f aca="false">IF(B100="","",IF(W100=1,"NR + industry + position",IF(W100=2,"NR + ISO + position",IF(W100=3,"NR + industry",IF(W100=4,"NR + ISO",IF(W100=5,"NR + position",IF(W100=6,"NR only","book baseline"))))))&amp;"  ["&amp;IF(T100=1,"seasoned","unseasoned")&amp;IF(U100=1,", defaulted","")&amp;IF(V100=1,", open","")&amp;"]")</f>
        <v/>
      </c>
    </row>
    <row r="101" customFormat="false" ht="15" hidden="false" customHeight="false" outlineLevel="0" collapsed="false">
      <c r="A101" s="110" t="n">
        <v>97</v>
      </c>
      <c r="B101" s="111" t="str">
        <f aca="false">IFERROR(INDEX('Historical Data'!$A$2:$A$9,MATCH($A101,'Historical Data'!$BE$2:$BE$9,0)),"")</f>
        <v/>
      </c>
      <c r="C101" s="111" t="str">
        <f aca="false">IFERROR(INDEX('Historical Data'!$B$2:$B$9,MATCH($A101,'Historical Data'!$BE$2:$BE$9,0)),"")</f>
        <v/>
      </c>
      <c r="D101" s="111" t="str">
        <f aca="false">IFERROR(INDEX('Historical Data'!$D$2:$D$9,MATCH($A101,'Historical Data'!$BE$2:$BE$9,0)),"")</f>
        <v/>
      </c>
      <c r="E101" s="112" t="str">
        <f aca="false">IFERROR(INDEX('Historical Data'!$E$2:$E$9,MATCH($A101,'Historical Data'!$BE$2:$BE$9,0)),"")</f>
        <v/>
      </c>
      <c r="F101" s="111" t="str">
        <f aca="false">IFERROR(INDEX('Historical Data'!$G$2:$G$9,MATCH($A101,'Historical Data'!$BE$2:$BE$9,0)),"")</f>
        <v/>
      </c>
      <c r="G101" s="111" t="str">
        <f aca="false">IFERROR(INDEX('Historical Data'!$Y$2:$Y$9,MATCH($A101,'Historical Data'!$BE$2:$BE$9,0)),"")</f>
        <v/>
      </c>
      <c r="H101" s="111" t="str">
        <f aca="false">IFERROR(INDEX('Historical Data'!$K$2:$K$9,MATCH($A101,'Historical Data'!$BE$2:$BE$9,0)),"")</f>
        <v/>
      </c>
      <c r="I101" s="111" t="str">
        <f aca="false">IFERROR(INDEX('Historical Data'!$J$2:$J$9,MATCH($A101,'Historical Data'!$BE$2:$BE$9,0)),"")</f>
        <v/>
      </c>
      <c r="J101" s="111" t="str">
        <f aca="false">IFERROR(INDEX('Historical Data'!$L$2:$L$9,MATCH($A101,'Historical Data'!$BE$2:$BE$9,0)),"")</f>
        <v/>
      </c>
      <c r="K101" s="113" t="str">
        <f aca="false">IFERROR(INDEX('Historical Data'!$M$2:$M$9,MATCH($A101,'Historical Data'!$BE$2:$BE$9,0)),"")</f>
        <v/>
      </c>
      <c r="L101" s="114" t="str">
        <f aca="false">IFERROR(INDEX('Historical Data'!$N$2:$N$9,MATCH($A101,'Historical Data'!$BE$2:$BE$9,0)),"")</f>
        <v/>
      </c>
      <c r="M101" s="114" t="str">
        <f aca="false">IFERROR(INDEX('Historical Data'!$Q$2:$Q$9,MATCH($A101,'Historical Data'!$BE$2:$BE$9,0)),"")</f>
        <v/>
      </c>
      <c r="N101" s="115" t="str">
        <f aca="false">IFERROR(INDEX('Historical Data'!$S$2:$S$9,MATCH($A101,'Historical Data'!$BE$2:$BE$9,0)),"")</f>
        <v/>
      </c>
      <c r="O101" s="114" t="str">
        <f aca="false">IFERROR(INDEX('Historical Data'!$AJ$2:$AJ$9,MATCH($A101,'Historical Data'!$BE$2:$BE$9,0)),"")</f>
        <v/>
      </c>
      <c r="P101" s="114" t="str">
        <f aca="false">IFERROR(INDEX('Historical Data'!$AK$2:$AK$9,MATCH($A101,'Historical Data'!$BE$2:$BE$9,0)),"")</f>
        <v/>
      </c>
      <c r="Q101" s="111" t="str">
        <f aca="false">IFERROR(INDEX('Historical Data'!$AA$2:$AA$9,MATCH($A101,'Historical Data'!$BE$2:$BE$9,0)),"")</f>
        <v/>
      </c>
      <c r="R101" s="111" t="str">
        <f aca="false">IFERROR(INDEX('Historical Data'!$AB$2:$AB$9,MATCH($A101,'Historical Data'!$BE$2:$BE$9,0)),"")</f>
        <v/>
      </c>
      <c r="S101" s="111" t="str">
        <f aca="false">IFERROR(INDEX('Historical Data'!$AN$2:$AN$9,MATCH($A101,'Historical Data'!$BE$2:$BE$9,0)),"")</f>
        <v/>
      </c>
      <c r="T101" s="111" t="str">
        <f aca="false">IFERROR(INDEX('Historical Data'!$AC$2:$AC$9,MATCH($A101,'Historical Data'!$BE$2:$BE$9,0)),"")</f>
        <v/>
      </c>
      <c r="U101" s="111" t="str">
        <f aca="false">IFERROR(INDEX('Historical Data'!$AE$2:$AE$9,MATCH($A101,'Historical Data'!$BE$2:$BE$9,0)),"")</f>
        <v/>
      </c>
      <c r="V101" s="111" t="str">
        <f aca="false">IFERROR(INDEX('Historical Data'!$AH$2:$AH$9,MATCH($A101,'Historical Data'!$BE$2:$BE$9,0)),"")</f>
        <v/>
      </c>
      <c r="W101" s="111" t="str">
        <f aca="false">IFERROR(INDEX('Historical Data'!$BC$2:$BC$9,MATCH($A101,'Historical Data'!$BE$2:$BE$9,0)),"")</f>
        <v/>
      </c>
      <c r="X101" s="110" t="str">
        <f aca="false">IF(B101="","",IF(W101=1,"NR + industry + position",IF(W101=2,"NR + ISO + position",IF(W101=3,"NR + industry",IF(W101=4,"NR + ISO",IF(W101=5,"NR + position",IF(W101=6,"NR only","book baseline"))))))&amp;"  ["&amp;IF(T101=1,"seasoned","unseasoned")&amp;IF(U101=1,", defaulted","")&amp;IF(V101=1,", open","")&amp;"]")</f>
        <v/>
      </c>
    </row>
    <row r="102" customFormat="false" ht="15" hidden="false" customHeight="false" outlineLevel="0" collapsed="false">
      <c r="A102" s="110" t="n">
        <v>98</v>
      </c>
      <c r="B102" s="111" t="str">
        <f aca="false">IFERROR(INDEX('Historical Data'!$A$2:$A$9,MATCH($A102,'Historical Data'!$BE$2:$BE$9,0)),"")</f>
        <v/>
      </c>
      <c r="C102" s="111" t="str">
        <f aca="false">IFERROR(INDEX('Historical Data'!$B$2:$B$9,MATCH($A102,'Historical Data'!$BE$2:$BE$9,0)),"")</f>
        <v/>
      </c>
      <c r="D102" s="111" t="str">
        <f aca="false">IFERROR(INDEX('Historical Data'!$D$2:$D$9,MATCH($A102,'Historical Data'!$BE$2:$BE$9,0)),"")</f>
        <v/>
      </c>
      <c r="E102" s="112" t="str">
        <f aca="false">IFERROR(INDEX('Historical Data'!$E$2:$E$9,MATCH($A102,'Historical Data'!$BE$2:$BE$9,0)),"")</f>
        <v/>
      </c>
      <c r="F102" s="111" t="str">
        <f aca="false">IFERROR(INDEX('Historical Data'!$G$2:$G$9,MATCH($A102,'Historical Data'!$BE$2:$BE$9,0)),"")</f>
        <v/>
      </c>
      <c r="G102" s="111" t="str">
        <f aca="false">IFERROR(INDEX('Historical Data'!$Y$2:$Y$9,MATCH($A102,'Historical Data'!$BE$2:$BE$9,0)),"")</f>
        <v/>
      </c>
      <c r="H102" s="111" t="str">
        <f aca="false">IFERROR(INDEX('Historical Data'!$K$2:$K$9,MATCH($A102,'Historical Data'!$BE$2:$BE$9,0)),"")</f>
        <v/>
      </c>
      <c r="I102" s="111" t="str">
        <f aca="false">IFERROR(INDEX('Historical Data'!$J$2:$J$9,MATCH($A102,'Historical Data'!$BE$2:$BE$9,0)),"")</f>
        <v/>
      </c>
      <c r="J102" s="111" t="str">
        <f aca="false">IFERROR(INDEX('Historical Data'!$L$2:$L$9,MATCH($A102,'Historical Data'!$BE$2:$BE$9,0)),"")</f>
        <v/>
      </c>
      <c r="K102" s="113" t="str">
        <f aca="false">IFERROR(INDEX('Historical Data'!$M$2:$M$9,MATCH($A102,'Historical Data'!$BE$2:$BE$9,0)),"")</f>
        <v/>
      </c>
      <c r="L102" s="114" t="str">
        <f aca="false">IFERROR(INDEX('Historical Data'!$N$2:$N$9,MATCH($A102,'Historical Data'!$BE$2:$BE$9,0)),"")</f>
        <v/>
      </c>
      <c r="M102" s="114" t="str">
        <f aca="false">IFERROR(INDEX('Historical Data'!$Q$2:$Q$9,MATCH($A102,'Historical Data'!$BE$2:$BE$9,0)),"")</f>
        <v/>
      </c>
      <c r="N102" s="115" t="str">
        <f aca="false">IFERROR(INDEX('Historical Data'!$S$2:$S$9,MATCH($A102,'Historical Data'!$BE$2:$BE$9,0)),"")</f>
        <v/>
      </c>
      <c r="O102" s="114" t="str">
        <f aca="false">IFERROR(INDEX('Historical Data'!$AJ$2:$AJ$9,MATCH($A102,'Historical Data'!$BE$2:$BE$9,0)),"")</f>
        <v/>
      </c>
      <c r="P102" s="114" t="str">
        <f aca="false">IFERROR(INDEX('Historical Data'!$AK$2:$AK$9,MATCH($A102,'Historical Data'!$BE$2:$BE$9,0)),"")</f>
        <v/>
      </c>
      <c r="Q102" s="111" t="str">
        <f aca="false">IFERROR(INDEX('Historical Data'!$AA$2:$AA$9,MATCH($A102,'Historical Data'!$BE$2:$BE$9,0)),"")</f>
        <v/>
      </c>
      <c r="R102" s="111" t="str">
        <f aca="false">IFERROR(INDEX('Historical Data'!$AB$2:$AB$9,MATCH($A102,'Historical Data'!$BE$2:$BE$9,0)),"")</f>
        <v/>
      </c>
      <c r="S102" s="111" t="str">
        <f aca="false">IFERROR(INDEX('Historical Data'!$AN$2:$AN$9,MATCH($A102,'Historical Data'!$BE$2:$BE$9,0)),"")</f>
        <v/>
      </c>
      <c r="T102" s="111" t="str">
        <f aca="false">IFERROR(INDEX('Historical Data'!$AC$2:$AC$9,MATCH($A102,'Historical Data'!$BE$2:$BE$9,0)),"")</f>
        <v/>
      </c>
      <c r="U102" s="111" t="str">
        <f aca="false">IFERROR(INDEX('Historical Data'!$AE$2:$AE$9,MATCH($A102,'Historical Data'!$BE$2:$BE$9,0)),"")</f>
        <v/>
      </c>
      <c r="V102" s="111" t="str">
        <f aca="false">IFERROR(INDEX('Historical Data'!$AH$2:$AH$9,MATCH($A102,'Historical Data'!$BE$2:$BE$9,0)),"")</f>
        <v/>
      </c>
      <c r="W102" s="111" t="str">
        <f aca="false">IFERROR(INDEX('Historical Data'!$BC$2:$BC$9,MATCH($A102,'Historical Data'!$BE$2:$BE$9,0)),"")</f>
        <v/>
      </c>
      <c r="X102" s="110" t="str">
        <f aca="false">IF(B102="","",IF(W102=1,"NR + industry + position",IF(W102=2,"NR + ISO + position",IF(W102=3,"NR + industry",IF(W102=4,"NR + ISO",IF(W102=5,"NR + position",IF(W102=6,"NR only","book baseline"))))))&amp;"  ["&amp;IF(T102=1,"seasoned","unseasoned")&amp;IF(U102=1,", defaulted","")&amp;IF(V102=1,", open","")&amp;"]")</f>
        <v/>
      </c>
    </row>
    <row r="103" customFormat="false" ht="15" hidden="false" customHeight="false" outlineLevel="0" collapsed="false">
      <c r="A103" s="110" t="n">
        <v>99</v>
      </c>
      <c r="B103" s="111" t="str">
        <f aca="false">IFERROR(INDEX('Historical Data'!$A$2:$A$9,MATCH($A103,'Historical Data'!$BE$2:$BE$9,0)),"")</f>
        <v/>
      </c>
      <c r="C103" s="111" t="str">
        <f aca="false">IFERROR(INDEX('Historical Data'!$B$2:$B$9,MATCH($A103,'Historical Data'!$BE$2:$BE$9,0)),"")</f>
        <v/>
      </c>
      <c r="D103" s="111" t="str">
        <f aca="false">IFERROR(INDEX('Historical Data'!$D$2:$D$9,MATCH($A103,'Historical Data'!$BE$2:$BE$9,0)),"")</f>
        <v/>
      </c>
      <c r="E103" s="112" t="str">
        <f aca="false">IFERROR(INDEX('Historical Data'!$E$2:$E$9,MATCH($A103,'Historical Data'!$BE$2:$BE$9,0)),"")</f>
        <v/>
      </c>
      <c r="F103" s="111" t="str">
        <f aca="false">IFERROR(INDEX('Historical Data'!$G$2:$G$9,MATCH($A103,'Historical Data'!$BE$2:$BE$9,0)),"")</f>
        <v/>
      </c>
      <c r="G103" s="111" t="str">
        <f aca="false">IFERROR(INDEX('Historical Data'!$Y$2:$Y$9,MATCH($A103,'Historical Data'!$BE$2:$BE$9,0)),"")</f>
        <v/>
      </c>
      <c r="H103" s="111" t="str">
        <f aca="false">IFERROR(INDEX('Historical Data'!$K$2:$K$9,MATCH($A103,'Historical Data'!$BE$2:$BE$9,0)),"")</f>
        <v/>
      </c>
      <c r="I103" s="111" t="str">
        <f aca="false">IFERROR(INDEX('Historical Data'!$J$2:$J$9,MATCH($A103,'Historical Data'!$BE$2:$BE$9,0)),"")</f>
        <v/>
      </c>
      <c r="J103" s="111" t="str">
        <f aca="false">IFERROR(INDEX('Historical Data'!$L$2:$L$9,MATCH($A103,'Historical Data'!$BE$2:$BE$9,0)),"")</f>
        <v/>
      </c>
      <c r="K103" s="113" t="str">
        <f aca="false">IFERROR(INDEX('Historical Data'!$M$2:$M$9,MATCH($A103,'Historical Data'!$BE$2:$BE$9,0)),"")</f>
        <v/>
      </c>
      <c r="L103" s="114" t="str">
        <f aca="false">IFERROR(INDEX('Historical Data'!$N$2:$N$9,MATCH($A103,'Historical Data'!$BE$2:$BE$9,0)),"")</f>
        <v/>
      </c>
      <c r="M103" s="114" t="str">
        <f aca="false">IFERROR(INDEX('Historical Data'!$Q$2:$Q$9,MATCH($A103,'Historical Data'!$BE$2:$BE$9,0)),"")</f>
        <v/>
      </c>
      <c r="N103" s="115" t="str">
        <f aca="false">IFERROR(INDEX('Historical Data'!$S$2:$S$9,MATCH($A103,'Historical Data'!$BE$2:$BE$9,0)),"")</f>
        <v/>
      </c>
      <c r="O103" s="114" t="str">
        <f aca="false">IFERROR(INDEX('Historical Data'!$AJ$2:$AJ$9,MATCH($A103,'Historical Data'!$BE$2:$BE$9,0)),"")</f>
        <v/>
      </c>
      <c r="P103" s="114" t="str">
        <f aca="false">IFERROR(INDEX('Historical Data'!$AK$2:$AK$9,MATCH($A103,'Historical Data'!$BE$2:$BE$9,0)),"")</f>
        <v/>
      </c>
      <c r="Q103" s="111" t="str">
        <f aca="false">IFERROR(INDEX('Historical Data'!$AA$2:$AA$9,MATCH($A103,'Historical Data'!$BE$2:$BE$9,0)),"")</f>
        <v/>
      </c>
      <c r="R103" s="111" t="str">
        <f aca="false">IFERROR(INDEX('Historical Data'!$AB$2:$AB$9,MATCH($A103,'Historical Data'!$BE$2:$BE$9,0)),"")</f>
        <v/>
      </c>
      <c r="S103" s="111" t="str">
        <f aca="false">IFERROR(INDEX('Historical Data'!$AN$2:$AN$9,MATCH($A103,'Historical Data'!$BE$2:$BE$9,0)),"")</f>
        <v/>
      </c>
      <c r="T103" s="111" t="str">
        <f aca="false">IFERROR(INDEX('Historical Data'!$AC$2:$AC$9,MATCH($A103,'Historical Data'!$BE$2:$BE$9,0)),"")</f>
        <v/>
      </c>
      <c r="U103" s="111" t="str">
        <f aca="false">IFERROR(INDEX('Historical Data'!$AE$2:$AE$9,MATCH($A103,'Historical Data'!$BE$2:$BE$9,0)),"")</f>
        <v/>
      </c>
      <c r="V103" s="111" t="str">
        <f aca="false">IFERROR(INDEX('Historical Data'!$AH$2:$AH$9,MATCH($A103,'Historical Data'!$BE$2:$BE$9,0)),"")</f>
        <v/>
      </c>
      <c r="W103" s="111" t="str">
        <f aca="false">IFERROR(INDEX('Historical Data'!$BC$2:$BC$9,MATCH($A103,'Historical Data'!$BE$2:$BE$9,0)),"")</f>
        <v/>
      </c>
      <c r="X103" s="110" t="str">
        <f aca="false">IF(B103="","",IF(W103=1,"NR + industry + position",IF(W103=2,"NR + ISO + position",IF(W103=3,"NR + industry",IF(W103=4,"NR + ISO",IF(W103=5,"NR + position",IF(W103=6,"NR only","book baseline"))))))&amp;"  ["&amp;IF(T103=1,"seasoned","unseasoned")&amp;IF(U103=1,", defaulted","")&amp;IF(V103=1,", open","")&amp;"]")</f>
        <v/>
      </c>
    </row>
    <row r="104" customFormat="false" ht="15" hidden="false" customHeight="false" outlineLevel="0" collapsed="false">
      <c r="A104" s="110" t="n">
        <v>100</v>
      </c>
      <c r="B104" s="111" t="str">
        <f aca="false">IFERROR(INDEX('Historical Data'!$A$2:$A$9,MATCH($A104,'Historical Data'!$BE$2:$BE$9,0)),"")</f>
        <v/>
      </c>
      <c r="C104" s="111" t="str">
        <f aca="false">IFERROR(INDEX('Historical Data'!$B$2:$B$9,MATCH($A104,'Historical Data'!$BE$2:$BE$9,0)),"")</f>
        <v/>
      </c>
      <c r="D104" s="111" t="str">
        <f aca="false">IFERROR(INDEX('Historical Data'!$D$2:$D$9,MATCH($A104,'Historical Data'!$BE$2:$BE$9,0)),"")</f>
        <v/>
      </c>
      <c r="E104" s="112" t="str">
        <f aca="false">IFERROR(INDEX('Historical Data'!$E$2:$E$9,MATCH($A104,'Historical Data'!$BE$2:$BE$9,0)),"")</f>
        <v/>
      </c>
      <c r="F104" s="111" t="str">
        <f aca="false">IFERROR(INDEX('Historical Data'!$G$2:$G$9,MATCH($A104,'Historical Data'!$BE$2:$BE$9,0)),"")</f>
        <v/>
      </c>
      <c r="G104" s="111" t="str">
        <f aca="false">IFERROR(INDEX('Historical Data'!$Y$2:$Y$9,MATCH($A104,'Historical Data'!$BE$2:$BE$9,0)),"")</f>
        <v/>
      </c>
      <c r="H104" s="111" t="str">
        <f aca="false">IFERROR(INDEX('Historical Data'!$K$2:$K$9,MATCH($A104,'Historical Data'!$BE$2:$BE$9,0)),"")</f>
        <v/>
      </c>
      <c r="I104" s="111" t="str">
        <f aca="false">IFERROR(INDEX('Historical Data'!$J$2:$J$9,MATCH($A104,'Historical Data'!$BE$2:$BE$9,0)),"")</f>
        <v/>
      </c>
      <c r="J104" s="111" t="str">
        <f aca="false">IFERROR(INDEX('Historical Data'!$L$2:$L$9,MATCH($A104,'Historical Data'!$BE$2:$BE$9,0)),"")</f>
        <v/>
      </c>
      <c r="K104" s="113" t="str">
        <f aca="false">IFERROR(INDEX('Historical Data'!$M$2:$M$9,MATCH($A104,'Historical Data'!$BE$2:$BE$9,0)),"")</f>
        <v/>
      </c>
      <c r="L104" s="114" t="str">
        <f aca="false">IFERROR(INDEX('Historical Data'!$N$2:$N$9,MATCH($A104,'Historical Data'!$BE$2:$BE$9,0)),"")</f>
        <v/>
      </c>
      <c r="M104" s="114" t="str">
        <f aca="false">IFERROR(INDEX('Historical Data'!$Q$2:$Q$9,MATCH($A104,'Historical Data'!$BE$2:$BE$9,0)),"")</f>
        <v/>
      </c>
      <c r="N104" s="115" t="str">
        <f aca="false">IFERROR(INDEX('Historical Data'!$S$2:$S$9,MATCH($A104,'Historical Data'!$BE$2:$BE$9,0)),"")</f>
        <v/>
      </c>
      <c r="O104" s="114" t="str">
        <f aca="false">IFERROR(INDEX('Historical Data'!$AJ$2:$AJ$9,MATCH($A104,'Historical Data'!$BE$2:$BE$9,0)),"")</f>
        <v/>
      </c>
      <c r="P104" s="114" t="str">
        <f aca="false">IFERROR(INDEX('Historical Data'!$AK$2:$AK$9,MATCH($A104,'Historical Data'!$BE$2:$BE$9,0)),"")</f>
        <v/>
      </c>
      <c r="Q104" s="111" t="str">
        <f aca="false">IFERROR(INDEX('Historical Data'!$AA$2:$AA$9,MATCH($A104,'Historical Data'!$BE$2:$BE$9,0)),"")</f>
        <v/>
      </c>
      <c r="R104" s="111" t="str">
        <f aca="false">IFERROR(INDEX('Historical Data'!$AB$2:$AB$9,MATCH($A104,'Historical Data'!$BE$2:$BE$9,0)),"")</f>
        <v/>
      </c>
      <c r="S104" s="111" t="str">
        <f aca="false">IFERROR(INDEX('Historical Data'!$AN$2:$AN$9,MATCH($A104,'Historical Data'!$BE$2:$BE$9,0)),"")</f>
        <v/>
      </c>
      <c r="T104" s="111" t="str">
        <f aca="false">IFERROR(INDEX('Historical Data'!$AC$2:$AC$9,MATCH($A104,'Historical Data'!$BE$2:$BE$9,0)),"")</f>
        <v/>
      </c>
      <c r="U104" s="111" t="str">
        <f aca="false">IFERROR(INDEX('Historical Data'!$AE$2:$AE$9,MATCH($A104,'Historical Data'!$BE$2:$BE$9,0)),"")</f>
        <v/>
      </c>
      <c r="V104" s="111" t="str">
        <f aca="false">IFERROR(INDEX('Historical Data'!$AH$2:$AH$9,MATCH($A104,'Historical Data'!$BE$2:$BE$9,0)),"")</f>
        <v/>
      </c>
      <c r="W104" s="111" t="str">
        <f aca="false">IFERROR(INDEX('Historical Data'!$BC$2:$BC$9,MATCH($A104,'Historical Data'!$BE$2:$BE$9,0)),"")</f>
        <v/>
      </c>
      <c r="X104" s="110" t="str">
        <f aca="false">IF(B104="","",IF(W104=1,"NR + industry + position",IF(W104=2,"NR + ISO + position",IF(W104=3,"NR + industry",IF(W104=4,"NR + ISO",IF(W104=5,"NR + position",IF(W104=6,"NR only","book baseline"))))))&amp;"  ["&amp;IF(T104=1,"seasoned","unseasoned")&amp;IF(U104=1,", defaulted","")&amp;IF(V104=1,", open","")&amp;"]")</f>
        <v/>
      </c>
    </row>
    <row r="105" customFormat="false" ht="15" hidden="false" customHeight="false" outlineLevel="0" collapsed="false">
      <c r="A105" s="110" t="n">
        <v>101</v>
      </c>
      <c r="B105" s="111" t="str">
        <f aca="false">IFERROR(INDEX('Historical Data'!$A$2:$A$9,MATCH($A105,'Historical Data'!$BE$2:$BE$9,0)),"")</f>
        <v/>
      </c>
      <c r="C105" s="111" t="str">
        <f aca="false">IFERROR(INDEX('Historical Data'!$B$2:$B$9,MATCH($A105,'Historical Data'!$BE$2:$BE$9,0)),"")</f>
        <v/>
      </c>
      <c r="D105" s="111" t="str">
        <f aca="false">IFERROR(INDEX('Historical Data'!$D$2:$D$9,MATCH($A105,'Historical Data'!$BE$2:$BE$9,0)),"")</f>
        <v/>
      </c>
      <c r="E105" s="112" t="str">
        <f aca="false">IFERROR(INDEX('Historical Data'!$E$2:$E$9,MATCH($A105,'Historical Data'!$BE$2:$BE$9,0)),"")</f>
        <v/>
      </c>
      <c r="F105" s="111" t="str">
        <f aca="false">IFERROR(INDEX('Historical Data'!$G$2:$G$9,MATCH($A105,'Historical Data'!$BE$2:$BE$9,0)),"")</f>
        <v/>
      </c>
      <c r="G105" s="111" t="str">
        <f aca="false">IFERROR(INDEX('Historical Data'!$Y$2:$Y$9,MATCH($A105,'Historical Data'!$BE$2:$BE$9,0)),"")</f>
        <v/>
      </c>
      <c r="H105" s="111" t="str">
        <f aca="false">IFERROR(INDEX('Historical Data'!$K$2:$K$9,MATCH($A105,'Historical Data'!$BE$2:$BE$9,0)),"")</f>
        <v/>
      </c>
      <c r="I105" s="111" t="str">
        <f aca="false">IFERROR(INDEX('Historical Data'!$J$2:$J$9,MATCH($A105,'Historical Data'!$BE$2:$BE$9,0)),"")</f>
        <v/>
      </c>
      <c r="J105" s="111" t="str">
        <f aca="false">IFERROR(INDEX('Historical Data'!$L$2:$L$9,MATCH($A105,'Historical Data'!$BE$2:$BE$9,0)),"")</f>
        <v/>
      </c>
      <c r="K105" s="113" t="str">
        <f aca="false">IFERROR(INDEX('Historical Data'!$M$2:$M$9,MATCH($A105,'Historical Data'!$BE$2:$BE$9,0)),"")</f>
        <v/>
      </c>
      <c r="L105" s="114" t="str">
        <f aca="false">IFERROR(INDEX('Historical Data'!$N$2:$N$9,MATCH($A105,'Historical Data'!$BE$2:$BE$9,0)),"")</f>
        <v/>
      </c>
      <c r="M105" s="114" t="str">
        <f aca="false">IFERROR(INDEX('Historical Data'!$Q$2:$Q$9,MATCH($A105,'Historical Data'!$BE$2:$BE$9,0)),"")</f>
        <v/>
      </c>
      <c r="N105" s="115" t="str">
        <f aca="false">IFERROR(INDEX('Historical Data'!$S$2:$S$9,MATCH($A105,'Historical Data'!$BE$2:$BE$9,0)),"")</f>
        <v/>
      </c>
      <c r="O105" s="114" t="str">
        <f aca="false">IFERROR(INDEX('Historical Data'!$AJ$2:$AJ$9,MATCH($A105,'Historical Data'!$BE$2:$BE$9,0)),"")</f>
        <v/>
      </c>
      <c r="P105" s="114" t="str">
        <f aca="false">IFERROR(INDEX('Historical Data'!$AK$2:$AK$9,MATCH($A105,'Historical Data'!$BE$2:$BE$9,0)),"")</f>
        <v/>
      </c>
      <c r="Q105" s="111" t="str">
        <f aca="false">IFERROR(INDEX('Historical Data'!$AA$2:$AA$9,MATCH($A105,'Historical Data'!$BE$2:$BE$9,0)),"")</f>
        <v/>
      </c>
      <c r="R105" s="111" t="str">
        <f aca="false">IFERROR(INDEX('Historical Data'!$AB$2:$AB$9,MATCH($A105,'Historical Data'!$BE$2:$BE$9,0)),"")</f>
        <v/>
      </c>
      <c r="S105" s="111" t="str">
        <f aca="false">IFERROR(INDEX('Historical Data'!$AN$2:$AN$9,MATCH($A105,'Historical Data'!$BE$2:$BE$9,0)),"")</f>
        <v/>
      </c>
      <c r="T105" s="111" t="str">
        <f aca="false">IFERROR(INDEX('Historical Data'!$AC$2:$AC$9,MATCH($A105,'Historical Data'!$BE$2:$BE$9,0)),"")</f>
        <v/>
      </c>
      <c r="U105" s="111" t="str">
        <f aca="false">IFERROR(INDEX('Historical Data'!$AE$2:$AE$9,MATCH($A105,'Historical Data'!$BE$2:$BE$9,0)),"")</f>
        <v/>
      </c>
      <c r="V105" s="111" t="str">
        <f aca="false">IFERROR(INDEX('Historical Data'!$AH$2:$AH$9,MATCH($A105,'Historical Data'!$BE$2:$BE$9,0)),"")</f>
        <v/>
      </c>
      <c r="W105" s="111" t="str">
        <f aca="false">IFERROR(INDEX('Historical Data'!$BC$2:$BC$9,MATCH($A105,'Historical Data'!$BE$2:$BE$9,0)),"")</f>
        <v/>
      </c>
      <c r="X105" s="110" t="str">
        <f aca="false">IF(B105="","",IF(W105=1,"NR + industry + position",IF(W105=2,"NR + ISO + position",IF(W105=3,"NR + industry",IF(W105=4,"NR + ISO",IF(W105=5,"NR + position",IF(W105=6,"NR only","book baseline"))))))&amp;"  ["&amp;IF(T105=1,"seasoned","unseasoned")&amp;IF(U105=1,", defaulted","")&amp;IF(V105=1,", open","")&amp;"]")</f>
        <v/>
      </c>
    </row>
    <row r="106" customFormat="false" ht="15" hidden="false" customHeight="false" outlineLevel="0" collapsed="false">
      <c r="A106" s="110" t="n">
        <v>102</v>
      </c>
      <c r="B106" s="111" t="str">
        <f aca="false">IFERROR(INDEX('Historical Data'!$A$2:$A$9,MATCH($A106,'Historical Data'!$BE$2:$BE$9,0)),"")</f>
        <v/>
      </c>
      <c r="C106" s="111" t="str">
        <f aca="false">IFERROR(INDEX('Historical Data'!$B$2:$B$9,MATCH($A106,'Historical Data'!$BE$2:$BE$9,0)),"")</f>
        <v/>
      </c>
      <c r="D106" s="111" t="str">
        <f aca="false">IFERROR(INDEX('Historical Data'!$D$2:$D$9,MATCH($A106,'Historical Data'!$BE$2:$BE$9,0)),"")</f>
        <v/>
      </c>
      <c r="E106" s="112" t="str">
        <f aca="false">IFERROR(INDEX('Historical Data'!$E$2:$E$9,MATCH($A106,'Historical Data'!$BE$2:$BE$9,0)),"")</f>
        <v/>
      </c>
      <c r="F106" s="111" t="str">
        <f aca="false">IFERROR(INDEX('Historical Data'!$G$2:$G$9,MATCH($A106,'Historical Data'!$BE$2:$BE$9,0)),"")</f>
        <v/>
      </c>
      <c r="G106" s="111" t="str">
        <f aca="false">IFERROR(INDEX('Historical Data'!$Y$2:$Y$9,MATCH($A106,'Historical Data'!$BE$2:$BE$9,0)),"")</f>
        <v/>
      </c>
      <c r="H106" s="111" t="str">
        <f aca="false">IFERROR(INDEX('Historical Data'!$K$2:$K$9,MATCH($A106,'Historical Data'!$BE$2:$BE$9,0)),"")</f>
        <v/>
      </c>
      <c r="I106" s="111" t="str">
        <f aca="false">IFERROR(INDEX('Historical Data'!$J$2:$J$9,MATCH($A106,'Historical Data'!$BE$2:$BE$9,0)),"")</f>
        <v/>
      </c>
      <c r="J106" s="111" t="str">
        <f aca="false">IFERROR(INDEX('Historical Data'!$L$2:$L$9,MATCH($A106,'Historical Data'!$BE$2:$BE$9,0)),"")</f>
        <v/>
      </c>
      <c r="K106" s="113" t="str">
        <f aca="false">IFERROR(INDEX('Historical Data'!$M$2:$M$9,MATCH($A106,'Historical Data'!$BE$2:$BE$9,0)),"")</f>
        <v/>
      </c>
      <c r="L106" s="114" t="str">
        <f aca="false">IFERROR(INDEX('Historical Data'!$N$2:$N$9,MATCH($A106,'Historical Data'!$BE$2:$BE$9,0)),"")</f>
        <v/>
      </c>
      <c r="M106" s="114" t="str">
        <f aca="false">IFERROR(INDEX('Historical Data'!$Q$2:$Q$9,MATCH($A106,'Historical Data'!$BE$2:$BE$9,0)),"")</f>
        <v/>
      </c>
      <c r="N106" s="115" t="str">
        <f aca="false">IFERROR(INDEX('Historical Data'!$S$2:$S$9,MATCH($A106,'Historical Data'!$BE$2:$BE$9,0)),"")</f>
        <v/>
      </c>
      <c r="O106" s="114" t="str">
        <f aca="false">IFERROR(INDEX('Historical Data'!$AJ$2:$AJ$9,MATCH($A106,'Historical Data'!$BE$2:$BE$9,0)),"")</f>
        <v/>
      </c>
      <c r="P106" s="114" t="str">
        <f aca="false">IFERROR(INDEX('Historical Data'!$AK$2:$AK$9,MATCH($A106,'Historical Data'!$BE$2:$BE$9,0)),"")</f>
        <v/>
      </c>
      <c r="Q106" s="111" t="str">
        <f aca="false">IFERROR(INDEX('Historical Data'!$AA$2:$AA$9,MATCH($A106,'Historical Data'!$BE$2:$BE$9,0)),"")</f>
        <v/>
      </c>
      <c r="R106" s="111" t="str">
        <f aca="false">IFERROR(INDEX('Historical Data'!$AB$2:$AB$9,MATCH($A106,'Historical Data'!$BE$2:$BE$9,0)),"")</f>
        <v/>
      </c>
      <c r="S106" s="111" t="str">
        <f aca="false">IFERROR(INDEX('Historical Data'!$AN$2:$AN$9,MATCH($A106,'Historical Data'!$BE$2:$BE$9,0)),"")</f>
        <v/>
      </c>
      <c r="T106" s="111" t="str">
        <f aca="false">IFERROR(INDEX('Historical Data'!$AC$2:$AC$9,MATCH($A106,'Historical Data'!$BE$2:$BE$9,0)),"")</f>
        <v/>
      </c>
      <c r="U106" s="111" t="str">
        <f aca="false">IFERROR(INDEX('Historical Data'!$AE$2:$AE$9,MATCH($A106,'Historical Data'!$BE$2:$BE$9,0)),"")</f>
        <v/>
      </c>
      <c r="V106" s="111" t="str">
        <f aca="false">IFERROR(INDEX('Historical Data'!$AH$2:$AH$9,MATCH($A106,'Historical Data'!$BE$2:$BE$9,0)),"")</f>
        <v/>
      </c>
      <c r="W106" s="111" t="str">
        <f aca="false">IFERROR(INDEX('Historical Data'!$BC$2:$BC$9,MATCH($A106,'Historical Data'!$BE$2:$BE$9,0)),"")</f>
        <v/>
      </c>
      <c r="X106" s="110" t="str">
        <f aca="false">IF(B106="","",IF(W106=1,"NR + industry + position",IF(W106=2,"NR + ISO + position",IF(W106=3,"NR + industry",IF(W106=4,"NR + ISO",IF(W106=5,"NR + position",IF(W106=6,"NR only","book baseline"))))))&amp;"  ["&amp;IF(T106=1,"seasoned","unseasoned")&amp;IF(U106=1,", defaulted","")&amp;IF(V106=1,", open","")&amp;"]")</f>
        <v/>
      </c>
    </row>
    <row r="107" customFormat="false" ht="15" hidden="false" customHeight="false" outlineLevel="0" collapsed="false">
      <c r="A107" s="110" t="n">
        <v>103</v>
      </c>
      <c r="B107" s="111" t="str">
        <f aca="false">IFERROR(INDEX('Historical Data'!$A$2:$A$9,MATCH($A107,'Historical Data'!$BE$2:$BE$9,0)),"")</f>
        <v/>
      </c>
      <c r="C107" s="111" t="str">
        <f aca="false">IFERROR(INDEX('Historical Data'!$B$2:$B$9,MATCH($A107,'Historical Data'!$BE$2:$BE$9,0)),"")</f>
        <v/>
      </c>
      <c r="D107" s="111" t="str">
        <f aca="false">IFERROR(INDEX('Historical Data'!$D$2:$D$9,MATCH($A107,'Historical Data'!$BE$2:$BE$9,0)),"")</f>
        <v/>
      </c>
      <c r="E107" s="112" t="str">
        <f aca="false">IFERROR(INDEX('Historical Data'!$E$2:$E$9,MATCH($A107,'Historical Data'!$BE$2:$BE$9,0)),"")</f>
        <v/>
      </c>
      <c r="F107" s="111" t="str">
        <f aca="false">IFERROR(INDEX('Historical Data'!$G$2:$G$9,MATCH($A107,'Historical Data'!$BE$2:$BE$9,0)),"")</f>
        <v/>
      </c>
      <c r="G107" s="111" t="str">
        <f aca="false">IFERROR(INDEX('Historical Data'!$Y$2:$Y$9,MATCH($A107,'Historical Data'!$BE$2:$BE$9,0)),"")</f>
        <v/>
      </c>
      <c r="H107" s="111" t="str">
        <f aca="false">IFERROR(INDEX('Historical Data'!$K$2:$K$9,MATCH($A107,'Historical Data'!$BE$2:$BE$9,0)),"")</f>
        <v/>
      </c>
      <c r="I107" s="111" t="str">
        <f aca="false">IFERROR(INDEX('Historical Data'!$J$2:$J$9,MATCH($A107,'Historical Data'!$BE$2:$BE$9,0)),"")</f>
        <v/>
      </c>
      <c r="J107" s="111" t="str">
        <f aca="false">IFERROR(INDEX('Historical Data'!$L$2:$L$9,MATCH($A107,'Historical Data'!$BE$2:$BE$9,0)),"")</f>
        <v/>
      </c>
      <c r="K107" s="113" t="str">
        <f aca="false">IFERROR(INDEX('Historical Data'!$M$2:$M$9,MATCH($A107,'Historical Data'!$BE$2:$BE$9,0)),"")</f>
        <v/>
      </c>
      <c r="L107" s="114" t="str">
        <f aca="false">IFERROR(INDEX('Historical Data'!$N$2:$N$9,MATCH($A107,'Historical Data'!$BE$2:$BE$9,0)),"")</f>
        <v/>
      </c>
      <c r="M107" s="114" t="str">
        <f aca="false">IFERROR(INDEX('Historical Data'!$Q$2:$Q$9,MATCH($A107,'Historical Data'!$BE$2:$BE$9,0)),"")</f>
        <v/>
      </c>
      <c r="N107" s="115" t="str">
        <f aca="false">IFERROR(INDEX('Historical Data'!$S$2:$S$9,MATCH($A107,'Historical Data'!$BE$2:$BE$9,0)),"")</f>
        <v/>
      </c>
      <c r="O107" s="114" t="str">
        <f aca="false">IFERROR(INDEX('Historical Data'!$AJ$2:$AJ$9,MATCH($A107,'Historical Data'!$BE$2:$BE$9,0)),"")</f>
        <v/>
      </c>
      <c r="P107" s="114" t="str">
        <f aca="false">IFERROR(INDEX('Historical Data'!$AK$2:$AK$9,MATCH($A107,'Historical Data'!$BE$2:$BE$9,0)),"")</f>
        <v/>
      </c>
      <c r="Q107" s="111" t="str">
        <f aca="false">IFERROR(INDEX('Historical Data'!$AA$2:$AA$9,MATCH($A107,'Historical Data'!$BE$2:$BE$9,0)),"")</f>
        <v/>
      </c>
      <c r="R107" s="111" t="str">
        <f aca="false">IFERROR(INDEX('Historical Data'!$AB$2:$AB$9,MATCH($A107,'Historical Data'!$BE$2:$BE$9,0)),"")</f>
        <v/>
      </c>
      <c r="S107" s="111" t="str">
        <f aca="false">IFERROR(INDEX('Historical Data'!$AN$2:$AN$9,MATCH($A107,'Historical Data'!$BE$2:$BE$9,0)),"")</f>
        <v/>
      </c>
      <c r="T107" s="111" t="str">
        <f aca="false">IFERROR(INDEX('Historical Data'!$AC$2:$AC$9,MATCH($A107,'Historical Data'!$BE$2:$BE$9,0)),"")</f>
        <v/>
      </c>
      <c r="U107" s="111" t="str">
        <f aca="false">IFERROR(INDEX('Historical Data'!$AE$2:$AE$9,MATCH($A107,'Historical Data'!$BE$2:$BE$9,0)),"")</f>
        <v/>
      </c>
      <c r="V107" s="111" t="str">
        <f aca="false">IFERROR(INDEX('Historical Data'!$AH$2:$AH$9,MATCH($A107,'Historical Data'!$BE$2:$BE$9,0)),"")</f>
        <v/>
      </c>
      <c r="W107" s="111" t="str">
        <f aca="false">IFERROR(INDEX('Historical Data'!$BC$2:$BC$9,MATCH($A107,'Historical Data'!$BE$2:$BE$9,0)),"")</f>
        <v/>
      </c>
      <c r="X107" s="110" t="str">
        <f aca="false">IF(B107="","",IF(W107=1,"NR + industry + position",IF(W107=2,"NR + ISO + position",IF(W107=3,"NR + industry",IF(W107=4,"NR + ISO",IF(W107=5,"NR + position",IF(W107=6,"NR only","book baseline"))))))&amp;"  ["&amp;IF(T107=1,"seasoned","unseasoned")&amp;IF(U107=1,", defaulted","")&amp;IF(V107=1,", open","")&amp;"]")</f>
        <v/>
      </c>
    </row>
    <row r="108" customFormat="false" ht="15" hidden="false" customHeight="false" outlineLevel="0" collapsed="false">
      <c r="A108" s="110" t="n">
        <v>104</v>
      </c>
      <c r="B108" s="111" t="str">
        <f aca="false">IFERROR(INDEX('Historical Data'!$A$2:$A$9,MATCH($A108,'Historical Data'!$BE$2:$BE$9,0)),"")</f>
        <v/>
      </c>
      <c r="C108" s="111" t="str">
        <f aca="false">IFERROR(INDEX('Historical Data'!$B$2:$B$9,MATCH($A108,'Historical Data'!$BE$2:$BE$9,0)),"")</f>
        <v/>
      </c>
      <c r="D108" s="111" t="str">
        <f aca="false">IFERROR(INDEX('Historical Data'!$D$2:$D$9,MATCH($A108,'Historical Data'!$BE$2:$BE$9,0)),"")</f>
        <v/>
      </c>
      <c r="E108" s="112" t="str">
        <f aca="false">IFERROR(INDEX('Historical Data'!$E$2:$E$9,MATCH($A108,'Historical Data'!$BE$2:$BE$9,0)),"")</f>
        <v/>
      </c>
      <c r="F108" s="111" t="str">
        <f aca="false">IFERROR(INDEX('Historical Data'!$G$2:$G$9,MATCH($A108,'Historical Data'!$BE$2:$BE$9,0)),"")</f>
        <v/>
      </c>
      <c r="G108" s="111" t="str">
        <f aca="false">IFERROR(INDEX('Historical Data'!$Y$2:$Y$9,MATCH($A108,'Historical Data'!$BE$2:$BE$9,0)),"")</f>
        <v/>
      </c>
      <c r="H108" s="111" t="str">
        <f aca="false">IFERROR(INDEX('Historical Data'!$K$2:$K$9,MATCH($A108,'Historical Data'!$BE$2:$BE$9,0)),"")</f>
        <v/>
      </c>
      <c r="I108" s="111" t="str">
        <f aca="false">IFERROR(INDEX('Historical Data'!$J$2:$J$9,MATCH($A108,'Historical Data'!$BE$2:$BE$9,0)),"")</f>
        <v/>
      </c>
      <c r="J108" s="111" t="str">
        <f aca="false">IFERROR(INDEX('Historical Data'!$L$2:$L$9,MATCH($A108,'Historical Data'!$BE$2:$BE$9,0)),"")</f>
        <v/>
      </c>
      <c r="K108" s="113" t="str">
        <f aca="false">IFERROR(INDEX('Historical Data'!$M$2:$M$9,MATCH($A108,'Historical Data'!$BE$2:$BE$9,0)),"")</f>
        <v/>
      </c>
      <c r="L108" s="114" t="str">
        <f aca="false">IFERROR(INDEX('Historical Data'!$N$2:$N$9,MATCH($A108,'Historical Data'!$BE$2:$BE$9,0)),"")</f>
        <v/>
      </c>
      <c r="M108" s="114" t="str">
        <f aca="false">IFERROR(INDEX('Historical Data'!$Q$2:$Q$9,MATCH($A108,'Historical Data'!$BE$2:$BE$9,0)),"")</f>
        <v/>
      </c>
      <c r="N108" s="115" t="str">
        <f aca="false">IFERROR(INDEX('Historical Data'!$S$2:$S$9,MATCH($A108,'Historical Data'!$BE$2:$BE$9,0)),"")</f>
        <v/>
      </c>
      <c r="O108" s="114" t="str">
        <f aca="false">IFERROR(INDEX('Historical Data'!$AJ$2:$AJ$9,MATCH($A108,'Historical Data'!$BE$2:$BE$9,0)),"")</f>
        <v/>
      </c>
      <c r="P108" s="114" t="str">
        <f aca="false">IFERROR(INDEX('Historical Data'!$AK$2:$AK$9,MATCH($A108,'Historical Data'!$BE$2:$BE$9,0)),"")</f>
        <v/>
      </c>
      <c r="Q108" s="111" t="str">
        <f aca="false">IFERROR(INDEX('Historical Data'!$AA$2:$AA$9,MATCH($A108,'Historical Data'!$BE$2:$BE$9,0)),"")</f>
        <v/>
      </c>
      <c r="R108" s="111" t="str">
        <f aca="false">IFERROR(INDEX('Historical Data'!$AB$2:$AB$9,MATCH($A108,'Historical Data'!$BE$2:$BE$9,0)),"")</f>
        <v/>
      </c>
      <c r="S108" s="111" t="str">
        <f aca="false">IFERROR(INDEX('Historical Data'!$AN$2:$AN$9,MATCH($A108,'Historical Data'!$BE$2:$BE$9,0)),"")</f>
        <v/>
      </c>
      <c r="T108" s="111" t="str">
        <f aca="false">IFERROR(INDEX('Historical Data'!$AC$2:$AC$9,MATCH($A108,'Historical Data'!$BE$2:$BE$9,0)),"")</f>
        <v/>
      </c>
      <c r="U108" s="111" t="str">
        <f aca="false">IFERROR(INDEX('Historical Data'!$AE$2:$AE$9,MATCH($A108,'Historical Data'!$BE$2:$BE$9,0)),"")</f>
        <v/>
      </c>
      <c r="V108" s="111" t="str">
        <f aca="false">IFERROR(INDEX('Historical Data'!$AH$2:$AH$9,MATCH($A108,'Historical Data'!$BE$2:$BE$9,0)),"")</f>
        <v/>
      </c>
      <c r="W108" s="111" t="str">
        <f aca="false">IFERROR(INDEX('Historical Data'!$BC$2:$BC$9,MATCH($A108,'Historical Data'!$BE$2:$BE$9,0)),"")</f>
        <v/>
      </c>
      <c r="X108" s="110" t="str">
        <f aca="false">IF(B108="","",IF(W108=1,"NR + industry + position",IF(W108=2,"NR + ISO + position",IF(W108=3,"NR + industry",IF(W108=4,"NR + ISO",IF(W108=5,"NR + position",IF(W108=6,"NR only","book baseline"))))))&amp;"  ["&amp;IF(T108=1,"seasoned","unseasoned")&amp;IF(U108=1,", defaulted","")&amp;IF(V108=1,", open","")&amp;"]")</f>
        <v/>
      </c>
    </row>
    <row r="109" customFormat="false" ht="15" hidden="false" customHeight="false" outlineLevel="0" collapsed="false">
      <c r="A109" s="110" t="n">
        <v>105</v>
      </c>
      <c r="B109" s="111" t="str">
        <f aca="false">IFERROR(INDEX('Historical Data'!$A$2:$A$9,MATCH($A109,'Historical Data'!$BE$2:$BE$9,0)),"")</f>
        <v/>
      </c>
      <c r="C109" s="111" t="str">
        <f aca="false">IFERROR(INDEX('Historical Data'!$B$2:$B$9,MATCH($A109,'Historical Data'!$BE$2:$BE$9,0)),"")</f>
        <v/>
      </c>
      <c r="D109" s="111" t="str">
        <f aca="false">IFERROR(INDEX('Historical Data'!$D$2:$D$9,MATCH($A109,'Historical Data'!$BE$2:$BE$9,0)),"")</f>
        <v/>
      </c>
      <c r="E109" s="112" t="str">
        <f aca="false">IFERROR(INDEX('Historical Data'!$E$2:$E$9,MATCH($A109,'Historical Data'!$BE$2:$BE$9,0)),"")</f>
        <v/>
      </c>
      <c r="F109" s="111" t="str">
        <f aca="false">IFERROR(INDEX('Historical Data'!$G$2:$G$9,MATCH($A109,'Historical Data'!$BE$2:$BE$9,0)),"")</f>
        <v/>
      </c>
      <c r="G109" s="111" t="str">
        <f aca="false">IFERROR(INDEX('Historical Data'!$Y$2:$Y$9,MATCH($A109,'Historical Data'!$BE$2:$BE$9,0)),"")</f>
        <v/>
      </c>
      <c r="H109" s="111" t="str">
        <f aca="false">IFERROR(INDEX('Historical Data'!$K$2:$K$9,MATCH($A109,'Historical Data'!$BE$2:$BE$9,0)),"")</f>
        <v/>
      </c>
      <c r="I109" s="111" t="str">
        <f aca="false">IFERROR(INDEX('Historical Data'!$J$2:$J$9,MATCH($A109,'Historical Data'!$BE$2:$BE$9,0)),"")</f>
        <v/>
      </c>
      <c r="J109" s="111" t="str">
        <f aca="false">IFERROR(INDEX('Historical Data'!$L$2:$L$9,MATCH($A109,'Historical Data'!$BE$2:$BE$9,0)),"")</f>
        <v/>
      </c>
      <c r="K109" s="113" t="str">
        <f aca="false">IFERROR(INDEX('Historical Data'!$M$2:$M$9,MATCH($A109,'Historical Data'!$BE$2:$BE$9,0)),"")</f>
        <v/>
      </c>
      <c r="L109" s="114" t="str">
        <f aca="false">IFERROR(INDEX('Historical Data'!$N$2:$N$9,MATCH($A109,'Historical Data'!$BE$2:$BE$9,0)),"")</f>
        <v/>
      </c>
      <c r="M109" s="114" t="str">
        <f aca="false">IFERROR(INDEX('Historical Data'!$Q$2:$Q$9,MATCH($A109,'Historical Data'!$BE$2:$BE$9,0)),"")</f>
        <v/>
      </c>
      <c r="N109" s="115" t="str">
        <f aca="false">IFERROR(INDEX('Historical Data'!$S$2:$S$9,MATCH($A109,'Historical Data'!$BE$2:$BE$9,0)),"")</f>
        <v/>
      </c>
      <c r="O109" s="114" t="str">
        <f aca="false">IFERROR(INDEX('Historical Data'!$AJ$2:$AJ$9,MATCH($A109,'Historical Data'!$BE$2:$BE$9,0)),"")</f>
        <v/>
      </c>
      <c r="P109" s="114" t="str">
        <f aca="false">IFERROR(INDEX('Historical Data'!$AK$2:$AK$9,MATCH($A109,'Historical Data'!$BE$2:$BE$9,0)),"")</f>
        <v/>
      </c>
      <c r="Q109" s="111" t="str">
        <f aca="false">IFERROR(INDEX('Historical Data'!$AA$2:$AA$9,MATCH($A109,'Historical Data'!$BE$2:$BE$9,0)),"")</f>
        <v/>
      </c>
      <c r="R109" s="111" t="str">
        <f aca="false">IFERROR(INDEX('Historical Data'!$AB$2:$AB$9,MATCH($A109,'Historical Data'!$BE$2:$BE$9,0)),"")</f>
        <v/>
      </c>
      <c r="S109" s="111" t="str">
        <f aca="false">IFERROR(INDEX('Historical Data'!$AN$2:$AN$9,MATCH($A109,'Historical Data'!$BE$2:$BE$9,0)),"")</f>
        <v/>
      </c>
      <c r="T109" s="111" t="str">
        <f aca="false">IFERROR(INDEX('Historical Data'!$AC$2:$AC$9,MATCH($A109,'Historical Data'!$BE$2:$BE$9,0)),"")</f>
        <v/>
      </c>
      <c r="U109" s="111" t="str">
        <f aca="false">IFERROR(INDEX('Historical Data'!$AE$2:$AE$9,MATCH($A109,'Historical Data'!$BE$2:$BE$9,0)),"")</f>
        <v/>
      </c>
      <c r="V109" s="111" t="str">
        <f aca="false">IFERROR(INDEX('Historical Data'!$AH$2:$AH$9,MATCH($A109,'Historical Data'!$BE$2:$BE$9,0)),"")</f>
        <v/>
      </c>
      <c r="W109" s="111" t="str">
        <f aca="false">IFERROR(INDEX('Historical Data'!$BC$2:$BC$9,MATCH($A109,'Historical Data'!$BE$2:$BE$9,0)),"")</f>
        <v/>
      </c>
      <c r="X109" s="110" t="str">
        <f aca="false">IF(B109="","",IF(W109=1,"NR + industry + position",IF(W109=2,"NR + ISO + position",IF(W109=3,"NR + industry",IF(W109=4,"NR + ISO",IF(W109=5,"NR + position",IF(W109=6,"NR only","book baseline"))))))&amp;"  ["&amp;IF(T109=1,"seasoned","unseasoned")&amp;IF(U109=1,", defaulted","")&amp;IF(V109=1,", open","")&amp;"]")</f>
        <v/>
      </c>
    </row>
    <row r="110" customFormat="false" ht="15" hidden="false" customHeight="false" outlineLevel="0" collapsed="false">
      <c r="A110" s="110" t="n">
        <v>106</v>
      </c>
      <c r="B110" s="111" t="str">
        <f aca="false">IFERROR(INDEX('Historical Data'!$A$2:$A$9,MATCH($A110,'Historical Data'!$BE$2:$BE$9,0)),"")</f>
        <v/>
      </c>
      <c r="C110" s="111" t="str">
        <f aca="false">IFERROR(INDEX('Historical Data'!$B$2:$B$9,MATCH($A110,'Historical Data'!$BE$2:$BE$9,0)),"")</f>
        <v/>
      </c>
      <c r="D110" s="111" t="str">
        <f aca="false">IFERROR(INDEX('Historical Data'!$D$2:$D$9,MATCH($A110,'Historical Data'!$BE$2:$BE$9,0)),"")</f>
        <v/>
      </c>
      <c r="E110" s="112" t="str">
        <f aca="false">IFERROR(INDEX('Historical Data'!$E$2:$E$9,MATCH($A110,'Historical Data'!$BE$2:$BE$9,0)),"")</f>
        <v/>
      </c>
      <c r="F110" s="111" t="str">
        <f aca="false">IFERROR(INDEX('Historical Data'!$G$2:$G$9,MATCH($A110,'Historical Data'!$BE$2:$BE$9,0)),"")</f>
        <v/>
      </c>
      <c r="G110" s="111" t="str">
        <f aca="false">IFERROR(INDEX('Historical Data'!$Y$2:$Y$9,MATCH($A110,'Historical Data'!$BE$2:$BE$9,0)),"")</f>
        <v/>
      </c>
      <c r="H110" s="111" t="str">
        <f aca="false">IFERROR(INDEX('Historical Data'!$K$2:$K$9,MATCH($A110,'Historical Data'!$BE$2:$BE$9,0)),"")</f>
        <v/>
      </c>
      <c r="I110" s="111" t="str">
        <f aca="false">IFERROR(INDEX('Historical Data'!$J$2:$J$9,MATCH($A110,'Historical Data'!$BE$2:$BE$9,0)),"")</f>
        <v/>
      </c>
      <c r="J110" s="111" t="str">
        <f aca="false">IFERROR(INDEX('Historical Data'!$L$2:$L$9,MATCH($A110,'Historical Data'!$BE$2:$BE$9,0)),"")</f>
        <v/>
      </c>
      <c r="K110" s="113" t="str">
        <f aca="false">IFERROR(INDEX('Historical Data'!$M$2:$M$9,MATCH($A110,'Historical Data'!$BE$2:$BE$9,0)),"")</f>
        <v/>
      </c>
      <c r="L110" s="114" t="str">
        <f aca="false">IFERROR(INDEX('Historical Data'!$N$2:$N$9,MATCH($A110,'Historical Data'!$BE$2:$BE$9,0)),"")</f>
        <v/>
      </c>
      <c r="M110" s="114" t="str">
        <f aca="false">IFERROR(INDEX('Historical Data'!$Q$2:$Q$9,MATCH($A110,'Historical Data'!$BE$2:$BE$9,0)),"")</f>
        <v/>
      </c>
      <c r="N110" s="115" t="str">
        <f aca="false">IFERROR(INDEX('Historical Data'!$S$2:$S$9,MATCH($A110,'Historical Data'!$BE$2:$BE$9,0)),"")</f>
        <v/>
      </c>
      <c r="O110" s="114" t="str">
        <f aca="false">IFERROR(INDEX('Historical Data'!$AJ$2:$AJ$9,MATCH($A110,'Historical Data'!$BE$2:$BE$9,0)),"")</f>
        <v/>
      </c>
      <c r="P110" s="114" t="str">
        <f aca="false">IFERROR(INDEX('Historical Data'!$AK$2:$AK$9,MATCH($A110,'Historical Data'!$BE$2:$BE$9,0)),"")</f>
        <v/>
      </c>
      <c r="Q110" s="111" t="str">
        <f aca="false">IFERROR(INDEX('Historical Data'!$AA$2:$AA$9,MATCH($A110,'Historical Data'!$BE$2:$BE$9,0)),"")</f>
        <v/>
      </c>
      <c r="R110" s="111" t="str">
        <f aca="false">IFERROR(INDEX('Historical Data'!$AB$2:$AB$9,MATCH($A110,'Historical Data'!$BE$2:$BE$9,0)),"")</f>
        <v/>
      </c>
      <c r="S110" s="111" t="str">
        <f aca="false">IFERROR(INDEX('Historical Data'!$AN$2:$AN$9,MATCH($A110,'Historical Data'!$BE$2:$BE$9,0)),"")</f>
        <v/>
      </c>
      <c r="T110" s="111" t="str">
        <f aca="false">IFERROR(INDEX('Historical Data'!$AC$2:$AC$9,MATCH($A110,'Historical Data'!$BE$2:$BE$9,0)),"")</f>
        <v/>
      </c>
      <c r="U110" s="111" t="str">
        <f aca="false">IFERROR(INDEX('Historical Data'!$AE$2:$AE$9,MATCH($A110,'Historical Data'!$BE$2:$BE$9,0)),"")</f>
        <v/>
      </c>
      <c r="V110" s="111" t="str">
        <f aca="false">IFERROR(INDEX('Historical Data'!$AH$2:$AH$9,MATCH($A110,'Historical Data'!$BE$2:$BE$9,0)),"")</f>
        <v/>
      </c>
      <c r="W110" s="111" t="str">
        <f aca="false">IFERROR(INDEX('Historical Data'!$BC$2:$BC$9,MATCH($A110,'Historical Data'!$BE$2:$BE$9,0)),"")</f>
        <v/>
      </c>
      <c r="X110" s="110" t="str">
        <f aca="false">IF(B110="","",IF(W110=1,"NR + industry + position",IF(W110=2,"NR + ISO + position",IF(W110=3,"NR + industry",IF(W110=4,"NR + ISO",IF(W110=5,"NR + position",IF(W110=6,"NR only","book baseline"))))))&amp;"  ["&amp;IF(T110=1,"seasoned","unseasoned")&amp;IF(U110=1,", defaulted","")&amp;IF(V110=1,", open","")&amp;"]")</f>
        <v/>
      </c>
    </row>
    <row r="111" customFormat="false" ht="15" hidden="false" customHeight="false" outlineLevel="0" collapsed="false">
      <c r="A111" s="110" t="n">
        <v>107</v>
      </c>
      <c r="B111" s="111" t="str">
        <f aca="false">IFERROR(INDEX('Historical Data'!$A$2:$A$9,MATCH($A111,'Historical Data'!$BE$2:$BE$9,0)),"")</f>
        <v/>
      </c>
      <c r="C111" s="111" t="str">
        <f aca="false">IFERROR(INDEX('Historical Data'!$B$2:$B$9,MATCH($A111,'Historical Data'!$BE$2:$BE$9,0)),"")</f>
        <v/>
      </c>
      <c r="D111" s="111" t="str">
        <f aca="false">IFERROR(INDEX('Historical Data'!$D$2:$D$9,MATCH($A111,'Historical Data'!$BE$2:$BE$9,0)),"")</f>
        <v/>
      </c>
      <c r="E111" s="112" t="str">
        <f aca="false">IFERROR(INDEX('Historical Data'!$E$2:$E$9,MATCH($A111,'Historical Data'!$BE$2:$BE$9,0)),"")</f>
        <v/>
      </c>
      <c r="F111" s="111" t="str">
        <f aca="false">IFERROR(INDEX('Historical Data'!$G$2:$G$9,MATCH($A111,'Historical Data'!$BE$2:$BE$9,0)),"")</f>
        <v/>
      </c>
      <c r="G111" s="111" t="str">
        <f aca="false">IFERROR(INDEX('Historical Data'!$Y$2:$Y$9,MATCH($A111,'Historical Data'!$BE$2:$BE$9,0)),"")</f>
        <v/>
      </c>
      <c r="H111" s="111" t="str">
        <f aca="false">IFERROR(INDEX('Historical Data'!$K$2:$K$9,MATCH($A111,'Historical Data'!$BE$2:$BE$9,0)),"")</f>
        <v/>
      </c>
      <c r="I111" s="111" t="str">
        <f aca="false">IFERROR(INDEX('Historical Data'!$J$2:$J$9,MATCH($A111,'Historical Data'!$BE$2:$BE$9,0)),"")</f>
        <v/>
      </c>
      <c r="J111" s="111" t="str">
        <f aca="false">IFERROR(INDEX('Historical Data'!$L$2:$L$9,MATCH($A111,'Historical Data'!$BE$2:$BE$9,0)),"")</f>
        <v/>
      </c>
      <c r="K111" s="113" t="str">
        <f aca="false">IFERROR(INDEX('Historical Data'!$M$2:$M$9,MATCH($A111,'Historical Data'!$BE$2:$BE$9,0)),"")</f>
        <v/>
      </c>
      <c r="L111" s="114" t="str">
        <f aca="false">IFERROR(INDEX('Historical Data'!$N$2:$N$9,MATCH($A111,'Historical Data'!$BE$2:$BE$9,0)),"")</f>
        <v/>
      </c>
      <c r="M111" s="114" t="str">
        <f aca="false">IFERROR(INDEX('Historical Data'!$Q$2:$Q$9,MATCH($A111,'Historical Data'!$BE$2:$BE$9,0)),"")</f>
        <v/>
      </c>
      <c r="N111" s="115" t="str">
        <f aca="false">IFERROR(INDEX('Historical Data'!$S$2:$S$9,MATCH($A111,'Historical Data'!$BE$2:$BE$9,0)),"")</f>
        <v/>
      </c>
      <c r="O111" s="114" t="str">
        <f aca="false">IFERROR(INDEX('Historical Data'!$AJ$2:$AJ$9,MATCH($A111,'Historical Data'!$BE$2:$BE$9,0)),"")</f>
        <v/>
      </c>
      <c r="P111" s="114" t="str">
        <f aca="false">IFERROR(INDEX('Historical Data'!$AK$2:$AK$9,MATCH($A111,'Historical Data'!$BE$2:$BE$9,0)),"")</f>
        <v/>
      </c>
      <c r="Q111" s="111" t="str">
        <f aca="false">IFERROR(INDEX('Historical Data'!$AA$2:$AA$9,MATCH($A111,'Historical Data'!$BE$2:$BE$9,0)),"")</f>
        <v/>
      </c>
      <c r="R111" s="111" t="str">
        <f aca="false">IFERROR(INDEX('Historical Data'!$AB$2:$AB$9,MATCH($A111,'Historical Data'!$BE$2:$BE$9,0)),"")</f>
        <v/>
      </c>
      <c r="S111" s="111" t="str">
        <f aca="false">IFERROR(INDEX('Historical Data'!$AN$2:$AN$9,MATCH($A111,'Historical Data'!$BE$2:$BE$9,0)),"")</f>
        <v/>
      </c>
      <c r="T111" s="111" t="str">
        <f aca="false">IFERROR(INDEX('Historical Data'!$AC$2:$AC$9,MATCH($A111,'Historical Data'!$BE$2:$BE$9,0)),"")</f>
        <v/>
      </c>
      <c r="U111" s="111" t="str">
        <f aca="false">IFERROR(INDEX('Historical Data'!$AE$2:$AE$9,MATCH($A111,'Historical Data'!$BE$2:$BE$9,0)),"")</f>
        <v/>
      </c>
      <c r="V111" s="111" t="str">
        <f aca="false">IFERROR(INDEX('Historical Data'!$AH$2:$AH$9,MATCH($A111,'Historical Data'!$BE$2:$BE$9,0)),"")</f>
        <v/>
      </c>
      <c r="W111" s="111" t="str">
        <f aca="false">IFERROR(INDEX('Historical Data'!$BC$2:$BC$9,MATCH($A111,'Historical Data'!$BE$2:$BE$9,0)),"")</f>
        <v/>
      </c>
      <c r="X111" s="110" t="str">
        <f aca="false">IF(B111="","",IF(W111=1,"NR + industry + position",IF(W111=2,"NR + ISO + position",IF(W111=3,"NR + industry",IF(W111=4,"NR + ISO",IF(W111=5,"NR + position",IF(W111=6,"NR only","book baseline"))))))&amp;"  ["&amp;IF(T111=1,"seasoned","unseasoned")&amp;IF(U111=1,", defaulted","")&amp;IF(V111=1,", open","")&amp;"]")</f>
        <v/>
      </c>
    </row>
    <row r="112" customFormat="false" ht="15" hidden="false" customHeight="false" outlineLevel="0" collapsed="false">
      <c r="A112" s="110" t="n">
        <v>108</v>
      </c>
      <c r="B112" s="111" t="str">
        <f aca="false">IFERROR(INDEX('Historical Data'!$A$2:$A$9,MATCH($A112,'Historical Data'!$BE$2:$BE$9,0)),"")</f>
        <v/>
      </c>
      <c r="C112" s="111" t="str">
        <f aca="false">IFERROR(INDEX('Historical Data'!$B$2:$B$9,MATCH($A112,'Historical Data'!$BE$2:$BE$9,0)),"")</f>
        <v/>
      </c>
      <c r="D112" s="111" t="str">
        <f aca="false">IFERROR(INDEX('Historical Data'!$D$2:$D$9,MATCH($A112,'Historical Data'!$BE$2:$BE$9,0)),"")</f>
        <v/>
      </c>
      <c r="E112" s="112" t="str">
        <f aca="false">IFERROR(INDEX('Historical Data'!$E$2:$E$9,MATCH($A112,'Historical Data'!$BE$2:$BE$9,0)),"")</f>
        <v/>
      </c>
      <c r="F112" s="111" t="str">
        <f aca="false">IFERROR(INDEX('Historical Data'!$G$2:$G$9,MATCH($A112,'Historical Data'!$BE$2:$BE$9,0)),"")</f>
        <v/>
      </c>
      <c r="G112" s="111" t="str">
        <f aca="false">IFERROR(INDEX('Historical Data'!$Y$2:$Y$9,MATCH($A112,'Historical Data'!$BE$2:$BE$9,0)),"")</f>
        <v/>
      </c>
      <c r="H112" s="111" t="str">
        <f aca="false">IFERROR(INDEX('Historical Data'!$K$2:$K$9,MATCH($A112,'Historical Data'!$BE$2:$BE$9,0)),"")</f>
        <v/>
      </c>
      <c r="I112" s="111" t="str">
        <f aca="false">IFERROR(INDEX('Historical Data'!$J$2:$J$9,MATCH($A112,'Historical Data'!$BE$2:$BE$9,0)),"")</f>
        <v/>
      </c>
      <c r="J112" s="111" t="str">
        <f aca="false">IFERROR(INDEX('Historical Data'!$L$2:$L$9,MATCH($A112,'Historical Data'!$BE$2:$BE$9,0)),"")</f>
        <v/>
      </c>
      <c r="K112" s="113" t="str">
        <f aca="false">IFERROR(INDEX('Historical Data'!$M$2:$M$9,MATCH($A112,'Historical Data'!$BE$2:$BE$9,0)),"")</f>
        <v/>
      </c>
      <c r="L112" s="114" t="str">
        <f aca="false">IFERROR(INDEX('Historical Data'!$N$2:$N$9,MATCH($A112,'Historical Data'!$BE$2:$BE$9,0)),"")</f>
        <v/>
      </c>
      <c r="M112" s="114" t="str">
        <f aca="false">IFERROR(INDEX('Historical Data'!$Q$2:$Q$9,MATCH($A112,'Historical Data'!$BE$2:$BE$9,0)),"")</f>
        <v/>
      </c>
      <c r="N112" s="115" t="str">
        <f aca="false">IFERROR(INDEX('Historical Data'!$S$2:$S$9,MATCH($A112,'Historical Data'!$BE$2:$BE$9,0)),"")</f>
        <v/>
      </c>
      <c r="O112" s="114" t="str">
        <f aca="false">IFERROR(INDEX('Historical Data'!$AJ$2:$AJ$9,MATCH($A112,'Historical Data'!$BE$2:$BE$9,0)),"")</f>
        <v/>
      </c>
      <c r="P112" s="114" t="str">
        <f aca="false">IFERROR(INDEX('Historical Data'!$AK$2:$AK$9,MATCH($A112,'Historical Data'!$BE$2:$BE$9,0)),"")</f>
        <v/>
      </c>
      <c r="Q112" s="111" t="str">
        <f aca="false">IFERROR(INDEX('Historical Data'!$AA$2:$AA$9,MATCH($A112,'Historical Data'!$BE$2:$BE$9,0)),"")</f>
        <v/>
      </c>
      <c r="R112" s="111" t="str">
        <f aca="false">IFERROR(INDEX('Historical Data'!$AB$2:$AB$9,MATCH($A112,'Historical Data'!$BE$2:$BE$9,0)),"")</f>
        <v/>
      </c>
      <c r="S112" s="111" t="str">
        <f aca="false">IFERROR(INDEX('Historical Data'!$AN$2:$AN$9,MATCH($A112,'Historical Data'!$BE$2:$BE$9,0)),"")</f>
        <v/>
      </c>
      <c r="T112" s="111" t="str">
        <f aca="false">IFERROR(INDEX('Historical Data'!$AC$2:$AC$9,MATCH($A112,'Historical Data'!$BE$2:$BE$9,0)),"")</f>
        <v/>
      </c>
      <c r="U112" s="111" t="str">
        <f aca="false">IFERROR(INDEX('Historical Data'!$AE$2:$AE$9,MATCH($A112,'Historical Data'!$BE$2:$BE$9,0)),"")</f>
        <v/>
      </c>
      <c r="V112" s="111" t="str">
        <f aca="false">IFERROR(INDEX('Historical Data'!$AH$2:$AH$9,MATCH($A112,'Historical Data'!$BE$2:$BE$9,0)),"")</f>
        <v/>
      </c>
      <c r="W112" s="111" t="str">
        <f aca="false">IFERROR(INDEX('Historical Data'!$BC$2:$BC$9,MATCH($A112,'Historical Data'!$BE$2:$BE$9,0)),"")</f>
        <v/>
      </c>
      <c r="X112" s="110" t="str">
        <f aca="false">IF(B112="","",IF(W112=1,"NR + industry + position",IF(W112=2,"NR + ISO + position",IF(W112=3,"NR + industry",IF(W112=4,"NR + ISO",IF(W112=5,"NR + position",IF(W112=6,"NR only","book baseline"))))))&amp;"  ["&amp;IF(T112=1,"seasoned","unseasoned")&amp;IF(U112=1,", defaulted","")&amp;IF(V112=1,", open","")&amp;"]")</f>
        <v/>
      </c>
    </row>
    <row r="113" customFormat="false" ht="15" hidden="false" customHeight="false" outlineLevel="0" collapsed="false">
      <c r="A113" s="110" t="n">
        <v>109</v>
      </c>
      <c r="B113" s="111" t="str">
        <f aca="false">IFERROR(INDEX('Historical Data'!$A$2:$A$9,MATCH($A113,'Historical Data'!$BE$2:$BE$9,0)),"")</f>
        <v/>
      </c>
      <c r="C113" s="111" t="str">
        <f aca="false">IFERROR(INDEX('Historical Data'!$B$2:$B$9,MATCH($A113,'Historical Data'!$BE$2:$BE$9,0)),"")</f>
        <v/>
      </c>
      <c r="D113" s="111" t="str">
        <f aca="false">IFERROR(INDEX('Historical Data'!$D$2:$D$9,MATCH($A113,'Historical Data'!$BE$2:$BE$9,0)),"")</f>
        <v/>
      </c>
      <c r="E113" s="112" t="str">
        <f aca="false">IFERROR(INDEX('Historical Data'!$E$2:$E$9,MATCH($A113,'Historical Data'!$BE$2:$BE$9,0)),"")</f>
        <v/>
      </c>
      <c r="F113" s="111" t="str">
        <f aca="false">IFERROR(INDEX('Historical Data'!$G$2:$G$9,MATCH($A113,'Historical Data'!$BE$2:$BE$9,0)),"")</f>
        <v/>
      </c>
      <c r="G113" s="111" t="str">
        <f aca="false">IFERROR(INDEX('Historical Data'!$Y$2:$Y$9,MATCH($A113,'Historical Data'!$BE$2:$BE$9,0)),"")</f>
        <v/>
      </c>
      <c r="H113" s="111" t="str">
        <f aca="false">IFERROR(INDEX('Historical Data'!$K$2:$K$9,MATCH($A113,'Historical Data'!$BE$2:$BE$9,0)),"")</f>
        <v/>
      </c>
      <c r="I113" s="111" t="str">
        <f aca="false">IFERROR(INDEX('Historical Data'!$J$2:$J$9,MATCH($A113,'Historical Data'!$BE$2:$BE$9,0)),"")</f>
        <v/>
      </c>
      <c r="J113" s="111" t="str">
        <f aca="false">IFERROR(INDEX('Historical Data'!$L$2:$L$9,MATCH($A113,'Historical Data'!$BE$2:$BE$9,0)),"")</f>
        <v/>
      </c>
      <c r="K113" s="113" t="str">
        <f aca="false">IFERROR(INDEX('Historical Data'!$M$2:$M$9,MATCH($A113,'Historical Data'!$BE$2:$BE$9,0)),"")</f>
        <v/>
      </c>
      <c r="L113" s="114" t="str">
        <f aca="false">IFERROR(INDEX('Historical Data'!$N$2:$N$9,MATCH($A113,'Historical Data'!$BE$2:$BE$9,0)),"")</f>
        <v/>
      </c>
      <c r="M113" s="114" t="str">
        <f aca="false">IFERROR(INDEX('Historical Data'!$Q$2:$Q$9,MATCH($A113,'Historical Data'!$BE$2:$BE$9,0)),"")</f>
        <v/>
      </c>
      <c r="N113" s="115" t="str">
        <f aca="false">IFERROR(INDEX('Historical Data'!$S$2:$S$9,MATCH($A113,'Historical Data'!$BE$2:$BE$9,0)),"")</f>
        <v/>
      </c>
      <c r="O113" s="114" t="str">
        <f aca="false">IFERROR(INDEX('Historical Data'!$AJ$2:$AJ$9,MATCH($A113,'Historical Data'!$BE$2:$BE$9,0)),"")</f>
        <v/>
      </c>
      <c r="P113" s="114" t="str">
        <f aca="false">IFERROR(INDEX('Historical Data'!$AK$2:$AK$9,MATCH($A113,'Historical Data'!$BE$2:$BE$9,0)),"")</f>
        <v/>
      </c>
      <c r="Q113" s="111" t="str">
        <f aca="false">IFERROR(INDEX('Historical Data'!$AA$2:$AA$9,MATCH($A113,'Historical Data'!$BE$2:$BE$9,0)),"")</f>
        <v/>
      </c>
      <c r="R113" s="111" t="str">
        <f aca="false">IFERROR(INDEX('Historical Data'!$AB$2:$AB$9,MATCH($A113,'Historical Data'!$BE$2:$BE$9,0)),"")</f>
        <v/>
      </c>
      <c r="S113" s="111" t="str">
        <f aca="false">IFERROR(INDEX('Historical Data'!$AN$2:$AN$9,MATCH($A113,'Historical Data'!$BE$2:$BE$9,0)),"")</f>
        <v/>
      </c>
      <c r="T113" s="111" t="str">
        <f aca="false">IFERROR(INDEX('Historical Data'!$AC$2:$AC$9,MATCH($A113,'Historical Data'!$BE$2:$BE$9,0)),"")</f>
        <v/>
      </c>
      <c r="U113" s="111" t="str">
        <f aca="false">IFERROR(INDEX('Historical Data'!$AE$2:$AE$9,MATCH($A113,'Historical Data'!$BE$2:$BE$9,0)),"")</f>
        <v/>
      </c>
      <c r="V113" s="111" t="str">
        <f aca="false">IFERROR(INDEX('Historical Data'!$AH$2:$AH$9,MATCH($A113,'Historical Data'!$BE$2:$BE$9,0)),"")</f>
        <v/>
      </c>
      <c r="W113" s="111" t="str">
        <f aca="false">IFERROR(INDEX('Historical Data'!$BC$2:$BC$9,MATCH($A113,'Historical Data'!$BE$2:$BE$9,0)),"")</f>
        <v/>
      </c>
      <c r="X113" s="110" t="str">
        <f aca="false">IF(B113="","",IF(W113=1,"NR + industry + position",IF(W113=2,"NR + ISO + position",IF(W113=3,"NR + industry",IF(W113=4,"NR + ISO",IF(W113=5,"NR + position",IF(W113=6,"NR only","book baseline"))))))&amp;"  ["&amp;IF(T113=1,"seasoned","unseasoned")&amp;IF(U113=1,", defaulted","")&amp;IF(V113=1,", open","")&amp;"]")</f>
        <v/>
      </c>
    </row>
    <row r="114" customFormat="false" ht="15" hidden="false" customHeight="false" outlineLevel="0" collapsed="false">
      <c r="A114" s="110" t="n">
        <v>110</v>
      </c>
      <c r="B114" s="111" t="str">
        <f aca="false">IFERROR(INDEX('Historical Data'!$A$2:$A$9,MATCH($A114,'Historical Data'!$BE$2:$BE$9,0)),"")</f>
        <v/>
      </c>
      <c r="C114" s="111" t="str">
        <f aca="false">IFERROR(INDEX('Historical Data'!$B$2:$B$9,MATCH($A114,'Historical Data'!$BE$2:$BE$9,0)),"")</f>
        <v/>
      </c>
      <c r="D114" s="111" t="str">
        <f aca="false">IFERROR(INDEX('Historical Data'!$D$2:$D$9,MATCH($A114,'Historical Data'!$BE$2:$BE$9,0)),"")</f>
        <v/>
      </c>
      <c r="E114" s="112" t="str">
        <f aca="false">IFERROR(INDEX('Historical Data'!$E$2:$E$9,MATCH($A114,'Historical Data'!$BE$2:$BE$9,0)),"")</f>
        <v/>
      </c>
      <c r="F114" s="111" t="str">
        <f aca="false">IFERROR(INDEX('Historical Data'!$G$2:$G$9,MATCH($A114,'Historical Data'!$BE$2:$BE$9,0)),"")</f>
        <v/>
      </c>
      <c r="G114" s="111" t="str">
        <f aca="false">IFERROR(INDEX('Historical Data'!$Y$2:$Y$9,MATCH($A114,'Historical Data'!$BE$2:$BE$9,0)),"")</f>
        <v/>
      </c>
      <c r="H114" s="111" t="str">
        <f aca="false">IFERROR(INDEX('Historical Data'!$K$2:$K$9,MATCH($A114,'Historical Data'!$BE$2:$BE$9,0)),"")</f>
        <v/>
      </c>
      <c r="I114" s="111" t="str">
        <f aca="false">IFERROR(INDEX('Historical Data'!$J$2:$J$9,MATCH($A114,'Historical Data'!$BE$2:$BE$9,0)),"")</f>
        <v/>
      </c>
      <c r="J114" s="111" t="str">
        <f aca="false">IFERROR(INDEX('Historical Data'!$L$2:$L$9,MATCH($A114,'Historical Data'!$BE$2:$BE$9,0)),"")</f>
        <v/>
      </c>
      <c r="K114" s="113" t="str">
        <f aca="false">IFERROR(INDEX('Historical Data'!$M$2:$M$9,MATCH($A114,'Historical Data'!$BE$2:$BE$9,0)),"")</f>
        <v/>
      </c>
      <c r="L114" s="114" t="str">
        <f aca="false">IFERROR(INDEX('Historical Data'!$N$2:$N$9,MATCH($A114,'Historical Data'!$BE$2:$BE$9,0)),"")</f>
        <v/>
      </c>
      <c r="M114" s="114" t="str">
        <f aca="false">IFERROR(INDEX('Historical Data'!$Q$2:$Q$9,MATCH($A114,'Historical Data'!$BE$2:$BE$9,0)),"")</f>
        <v/>
      </c>
      <c r="N114" s="115" t="str">
        <f aca="false">IFERROR(INDEX('Historical Data'!$S$2:$S$9,MATCH($A114,'Historical Data'!$BE$2:$BE$9,0)),"")</f>
        <v/>
      </c>
      <c r="O114" s="114" t="str">
        <f aca="false">IFERROR(INDEX('Historical Data'!$AJ$2:$AJ$9,MATCH($A114,'Historical Data'!$BE$2:$BE$9,0)),"")</f>
        <v/>
      </c>
      <c r="P114" s="114" t="str">
        <f aca="false">IFERROR(INDEX('Historical Data'!$AK$2:$AK$9,MATCH($A114,'Historical Data'!$BE$2:$BE$9,0)),"")</f>
        <v/>
      </c>
      <c r="Q114" s="111" t="str">
        <f aca="false">IFERROR(INDEX('Historical Data'!$AA$2:$AA$9,MATCH($A114,'Historical Data'!$BE$2:$BE$9,0)),"")</f>
        <v/>
      </c>
      <c r="R114" s="111" t="str">
        <f aca="false">IFERROR(INDEX('Historical Data'!$AB$2:$AB$9,MATCH($A114,'Historical Data'!$BE$2:$BE$9,0)),"")</f>
        <v/>
      </c>
      <c r="S114" s="111" t="str">
        <f aca="false">IFERROR(INDEX('Historical Data'!$AN$2:$AN$9,MATCH($A114,'Historical Data'!$BE$2:$BE$9,0)),"")</f>
        <v/>
      </c>
      <c r="T114" s="111" t="str">
        <f aca="false">IFERROR(INDEX('Historical Data'!$AC$2:$AC$9,MATCH($A114,'Historical Data'!$BE$2:$BE$9,0)),"")</f>
        <v/>
      </c>
      <c r="U114" s="111" t="str">
        <f aca="false">IFERROR(INDEX('Historical Data'!$AE$2:$AE$9,MATCH($A114,'Historical Data'!$BE$2:$BE$9,0)),"")</f>
        <v/>
      </c>
      <c r="V114" s="111" t="str">
        <f aca="false">IFERROR(INDEX('Historical Data'!$AH$2:$AH$9,MATCH($A114,'Historical Data'!$BE$2:$BE$9,0)),"")</f>
        <v/>
      </c>
      <c r="W114" s="111" t="str">
        <f aca="false">IFERROR(INDEX('Historical Data'!$BC$2:$BC$9,MATCH($A114,'Historical Data'!$BE$2:$BE$9,0)),"")</f>
        <v/>
      </c>
      <c r="X114" s="110" t="str">
        <f aca="false">IF(B114="","",IF(W114=1,"NR + industry + position",IF(W114=2,"NR + ISO + position",IF(W114=3,"NR + industry",IF(W114=4,"NR + ISO",IF(W114=5,"NR + position",IF(W114=6,"NR only","book baseline"))))))&amp;"  ["&amp;IF(T114=1,"seasoned","unseasoned")&amp;IF(U114=1,", defaulted","")&amp;IF(V114=1,", open","")&amp;"]")</f>
        <v/>
      </c>
    </row>
    <row r="115" customFormat="false" ht="15" hidden="false" customHeight="false" outlineLevel="0" collapsed="false">
      <c r="A115" s="110" t="n">
        <v>111</v>
      </c>
      <c r="B115" s="111" t="str">
        <f aca="false">IFERROR(INDEX('Historical Data'!$A$2:$A$9,MATCH($A115,'Historical Data'!$BE$2:$BE$9,0)),"")</f>
        <v/>
      </c>
      <c r="C115" s="111" t="str">
        <f aca="false">IFERROR(INDEX('Historical Data'!$B$2:$B$9,MATCH($A115,'Historical Data'!$BE$2:$BE$9,0)),"")</f>
        <v/>
      </c>
      <c r="D115" s="111" t="str">
        <f aca="false">IFERROR(INDEX('Historical Data'!$D$2:$D$9,MATCH($A115,'Historical Data'!$BE$2:$BE$9,0)),"")</f>
        <v/>
      </c>
      <c r="E115" s="112" t="str">
        <f aca="false">IFERROR(INDEX('Historical Data'!$E$2:$E$9,MATCH($A115,'Historical Data'!$BE$2:$BE$9,0)),"")</f>
        <v/>
      </c>
      <c r="F115" s="111" t="str">
        <f aca="false">IFERROR(INDEX('Historical Data'!$G$2:$G$9,MATCH($A115,'Historical Data'!$BE$2:$BE$9,0)),"")</f>
        <v/>
      </c>
      <c r="G115" s="111" t="str">
        <f aca="false">IFERROR(INDEX('Historical Data'!$Y$2:$Y$9,MATCH($A115,'Historical Data'!$BE$2:$BE$9,0)),"")</f>
        <v/>
      </c>
      <c r="H115" s="111" t="str">
        <f aca="false">IFERROR(INDEX('Historical Data'!$K$2:$K$9,MATCH($A115,'Historical Data'!$BE$2:$BE$9,0)),"")</f>
        <v/>
      </c>
      <c r="I115" s="111" t="str">
        <f aca="false">IFERROR(INDEX('Historical Data'!$J$2:$J$9,MATCH($A115,'Historical Data'!$BE$2:$BE$9,0)),"")</f>
        <v/>
      </c>
      <c r="J115" s="111" t="str">
        <f aca="false">IFERROR(INDEX('Historical Data'!$L$2:$L$9,MATCH($A115,'Historical Data'!$BE$2:$BE$9,0)),"")</f>
        <v/>
      </c>
      <c r="K115" s="113" t="str">
        <f aca="false">IFERROR(INDEX('Historical Data'!$M$2:$M$9,MATCH($A115,'Historical Data'!$BE$2:$BE$9,0)),"")</f>
        <v/>
      </c>
      <c r="L115" s="114" t="str">
        <f aca="false">IFERROR(INDEX('Historical Data'!$N$2:$N$9,MATCH($A115,'Historical Data'!$BE$2:$BE$9,0)),"")</f>
        <v/>
      </c>
      <c r="M115" s="114" t="str">
        <f aca="false">IFERROR(INDEX('Historical Data'!$Q$2:$Q$9,MATCH($A115,'Historical Data'!$BE$2:$BE$9,0)),"")</f>
        <v/>
      </c>
      <c r="N115" s="115" t="str">
        <f aca="false">IFERROR(INDEX('Historical Data'!$S$2:$S$9,MATCH($A115,'Historical Data'!$BE$2:$BE$9,0)),"")</f>
        <v/>
      </c>
      <c r="O115" s="114" t="str">
        <f aca="false">IFERROR(INDEX('Historical Data'!$AJ$2:$AJ$9,MATCH($A115,'Historical Data'!$BE$2:$BE$9,0)),"")</f>
        <v/>
      </c>
      <c r="P115" s="114" t="str">
        <f aca="false">IFERROR(INDEX('Historical Data'!$AK$2:$AK$9,MATCH($A115,'Historical Data'!$BE$2:$BE$9,0)),"")</f>
        <v/>
      </c>
      <c r="Q115" s="111" t="str">
        <f aca="false">IFERROR(INDEX('Historical Data'!$AA$2:$AA$9,MATCH($A115,'Historical Data'!$BE$2:$BE$9,0)),"")</f>
        <v/>
      </c>
      <c r="R115" s="111" t="str">
        <f aca="false">IFERROR(INDEX('Historical Data'!$AB$2:$AB$9,MATCH($A115,'Historical Data'!$BE$2:$BE$9,0)),"")</f>
        <v/>
      </c>
      <c r="S115" s="111" t="str">
        <f aca="false">IFERROR(INDEX('Historical Data'!$AN$2:$AN$9,MATCH($A115,'Historical Data'!$BE$2:$BE$9,0)),"")</f>
        <v/>
      </c>
      <c r="T115" s="111" t="str">
        <f aca="false">IFERROR(INDEX('Historical Data'!$AC$2:$AC$9,MATCH($A115,'Historical Data'!$BE$2:$BE$9,0)),"")</f>
        <v/>
      </c>
      <c r="U115" s="111" t="str">
        <f aca="false">IFERROR(INDEX('Historical Data'!$AE$2:$AE$9,MATCH($A115,'Historical Data'!$BE$2:$BE$9,0)),"")</f>
        <v/>
      </c>
      <c r="V115" s="111" t="str">
        <f aca="false">IFERROR(INDEX('Historical Data'!$AH$2:$AH$9,MATCH($A115,'Historical Data'!$BE$2:$BE$9,0)),"")</f>
        <v/>
      </c>
      <c r="W115" s="111" t="str">
        <f aca="false">IFERROR(INDEX('Historical Data'!$BC$2:$BC$9,MATCH($A115,'Historical Data'!$BE$2:$BE$9,0)),"")</f>
        <v/>
      </c>
      <c r="X115" s="110" t="str">
        <f aca="false">IF(B115="","",IF(W115=1,"NR + industry + position",IF(W115=2,"NR + ISO + position",IF(W115=3,"NR + industry",IF(W115=4,"NR + ISO",IF(W115=5,"NR + position",IF(W115=6,"NR only","book baseline"))))))&amp;"  ["&amp;IF(T115=1,"seasoned","unseasoned")&amp;IF(U115=1,", defaulted","")&amp;IF(V115=1,", open","")&amp;"]")</f>
        <v/>
      </c>
    </row>
    <row r="116" customFormat="false" ht="15" hidden="false" customHeight="false" outlineLevel="0" collapsed="false">
      <c r="A116" s="110" t="n">
        <v>112</v>
      </c>
      <c r="B116" s="111" t="str">
        <f aca="false">IFERROR(INDEX('Historical Data'!$A$2:$A$9,MATCH($A116,'Historical Data'!$BE$2:$BE$9,0)),"")</f>
        <v/>
      </c>
      <c r="C116" s="111" t="str">
        <f aca="false">IFERROR(INDEX('Historical Data'!$B$2:$B$9,MATCH($A116,'Historical Data'!$BE$2:$BE$9,0)),"")</f>
        <v/>
      </c>
      <c r="D116" s="111" t="str">
        <f aca="false">IFERROR(INDEX('Historical Data'!$D$2:$D$9,MATCH($A116,'Historical Data'!$BE$2:$BE$9,0)),"")</f>
        <v/>
      </c>
      <c r="E116" s="112" t="str">
        <f aca="false">IFERROR(INDEX('Historical Data'!$E$2:$E$9,MATCH($A116,'Historical Data'!$BE$2:$BE$9,0)),"")</f>
        <v/>
      </c>
      <c r="F116" s="111" t="str">
        <f aca="false">IFERROR(INDEX('Historical Data'!$G$2:$G$9,MATCH($A116,'Historical Data'!$BE$2:$BE$9,0)),"")</f>
        <v/>
      </c>
      <c r="G116" s="111" t="str">
        <f aca="false">IFERROR(INDEX('Historical Data'!$Y$2:$Y$9,MATCH($A116,'Historical Data'!$BE$2:$BE$9,0)),"")</f>
        <v/>
      </c>
      <c r="H116" s="111" t="str">
        <f aca="false">IFERROR(INDEX('Historical Data'!$K$2:$K$9,MATCH($A116,'Historical Data'!$BE$2:$BE$9,0)),"")</f>
        <v/>
      </c>
      <c r="I116" s="111" t="str">
        <f aca="false">IFERROR(INDEX('Historical Data'!$J$2:$J$9,MATCH($A116,'Historical Data'!$BE$2:$BE$9,0)),"")</f>
        <v/>
      </c>
      <c r="J116" s="111" t="str">
        <f aca="false">IFERROR(INDEX('Historical Data'!$L$2:$L$9,MATCH($A116,'Historical Data'!$BE$2:$BE$9,0)),"")</f>
        <v/>
      </c>
      <c r="K116" s="113" t="str">
        <f aca="false">IFERROR(INDEX('Historical Data'!$M$2:$M$9,MATCH($A116,'Historical Data'!$BE$2:$BE$9,0)),"")</f>
        <v/>
      </c>
      <c r="L116" s="114" t="str">
        <f aca="false">IFERROR(INDEX('Historical Data'!$N$2:$N$9,MATCH($A116,'Historical Data'!$BE$2:$BE$9,0)),"")</f>
        <v/>
      </c>
      <c r="M116" s="114" t="str">
        <f aca="false">IFERROR(INDEX('Historical Data'!$Q$2:$Q$9,MATCH($A116,'Historical Data'!$BE$2:$BE$9,0)),"")</f>
        <v/>
      </c>
      <c r="N116" s="115" t="str">
        <f aca="false">IFERROR(INDEX('Historical Data'!$S$2:$S$9,MATCH($A116,'Historical Data'!$BE$2:$BE$9,0)),"")</f>
        <v/>
      </c>
      <c r="O116" s="114" t="str">
        <f aca="false">IFERROR(INDEX('Historical Data'!$AJ$2:$AJ$9,MATCH($A116,'Historical Data'!$BE$2:$BE$9,0)),"")</f>
        <v/>
      </c>
      <c r="P116" s="114" t="str">
        <f aca="false">IFERROR(INDEX('Historical Data'!$AK$2:$AK$9,MATCH($A116,'Historical Data'!$BE$2:$BE$9,0)),"")</f>
        <v/>
      </c>
      <c r="Q116" s="111" t="str">
        <f aca="false">IFERROR(INDEX('Historical Data'!$AA$2:$AA$9,MATCH($A116,'Historical Data'!$BE$2:$BE$9,0)),"")</f>
        <v/>
      </c>
      <c r="R116" s="111" t="str">
        <f aca="false">IFERROR(INDEX('Historical Data'!$AB$2:$AB$9,MATCH($A116,'Historical Data'!$BE$2:$BE$9,0)),"")</f>
        <v/>
      </c>
      <c r="S116" s="111" t="str">
        <f aca="false">IFERROR(INDEX('Historical Data'!$AN$2:$AN$9,MATCH($A116,'Historical Data'!$BE$2:$BE$9,0)),"")</f>
        <v/>
      </c>
      <c r="T116" s="111" t="str">
        <f aca="false">IFERROR(INDEX('Historical Data'!$AC$2:$AC$9,MATCH($A116,'Historical Data'!$BE$2:$BE$9,0)),"")</f>
        <v/>
      </c>
      <c r="U116" s="111" t="str">
        <f aca="false">IFERROR(INDEX('Historical Data'!$AE$2:$AE$9,MATCH($A116,'Historical Data'!$BE$2:$BE$9,0)),"")</f>
        <v/>
      </c>
      <c r="V116" s="111" t="str">
        <f aca="false">IFERROR(INDEX('Historical Data'!$AH$2:$AH$9,MATCH($A116,'Historical Data'!$BE$2:$BE$9,0)),"")</f>
        <v/>
      </c>
      <c r="W116" s="111" t="str">
        <f aca="false">IFERROR(INDEX('Historical Data'!$BC$2:$BC$9,MATCH($A116,'Historical Data'!$BE$2:$BE$9,0)),"")</f>
        <v/>
      </c>
      <c r="X116" s="110" t="str">
        <f aca="false">IF(B116="","",IF(W116=1,"NR + industry + position",IF(W116=2,"NR + ISO + position",IF(W116=3,"NR + industry",IF(W116=4,"NR + ISO",IF(W116=5,"NR + position",IF(W116=6,"NR only","book baseline"))))))&amp;"  ["&amp;IF(T116=1,"seasoned","unseasoned")&amp;IF(U116=1,", defaulted","")&amp;IF(V116=1,", open","")&amp;"]")</f>
        <v/>
      </c>
    </row>
    <row r="117" customFormat="false" ht="15" hidden="false" customHeight="false" outlineLevel="0" collapsed="false">
      <c r="A117" s="110" t="n">
        <v>113</v>
      </c>
      <c r="B117" s="111" t="str">
        <f aca="false">IFERROR(INDEX('Historical Data'!$A$2:$A$9,MATCH($A117,'Historical Data'!$BE$2:$BE$9,0)),"")</f>
        <v/>
      </c>
      <c r="C117" s="111" t="str">
        <f aca="false">IFERROR(INDEX('Historical Data'!$B$2:$B$9,MATCH($A117,'Historical Data'!$BE$2:$BE$9,0)),"")</f>
        <v/>
      </c>
      <c r="D117" s="111" t="str">
        <f aca="false">IFERROR(INDEX('Historical Data'!$D$2:$D$9,MATCH($A117,'Historical Data'!$BE$2:$BE$9,0)),"")</f>
        <v/>
      </c>
      <c r="E117" s="112" t="str">
        <f aca="false">IFERROR(INDEX('Historical Data'!$E$2:$E$9,MATCH($A117,'Historical Data'!$BE$2:$BE$9,0)),"")</f>
        <v/>
      </c>
      <c r="F117" s="111" t="str">
        <f aca="false">IFERROR(INDEX('Historical Data'!$G$2:$G$9,MATCH($A117,'Historical Data'!$BE$2:$BE$9,0)),"")</f>
        <v/>
      </c>
      <c r="G117" s="111" t="str">
        <f aca="false">IFERROR(INDEX('Historical Data'!$Y$2:$Y$9,MATCH($A117,'Historical Data'!$BE$2:$BE$9,0)),"")</f>
        <v/>
      </c>
      <c r="H117" s="111" t="str">
        <f aca="false">IFERROR(INDEX('Historical Data'!$K$2:$K$9,MATCH($A117,'Historical Data'!$BE$2:$BE$9,0)),"")</f>
        <v/>
      </c>
      <c r="I117" s="111" t="str">
        <f aca="false">IFERROR(INDEX('Historical Data'!$J$2:$J$9,MATCH($A117,'Historical Data'!$BE$2:$BE$9,0)),"")</f>
        <v/>
      </c>
      <c r="J117" s="111" t="str">
        <f aca="false">IFERROR(INDEX('Historical Data'!$L$2:$L$9,MATCH($A117,'Historical Data'!$BE$2:$BE$9,0)),"")</f>
        <v/>
      </c>
      <c r="K117" s="113" t="str">
        <f aca="false">IFERROR(INDEX('Historical Data'!$M$2:$M$9,MATCH($A117,'Historical Data'!$BE$2:$BE$9,0)),"")</f>
        <v/>
      </c>
      <c r="L117" s="114" t="str">
        <f aca="false">IFERROR(INDEX('Historical Data'!$N$2:$N$9,MATCH($A117,'Historical Data'!$BE$2:$BE$9,0)),"")</f>
        <v/>
      </c>
      <c r="M117" s="114" t="str">
        <f aca="false">IFERROR(INDEX('Historical Data'!$Q$2:$Q$9,MATCH($A117,'Historical Data'!$BE$2:$BE$9,0)),"")</f>
        <v/>
      </c>
      <c r="N117" s="115" t="str">
        <f aca="false">IFERROR(INDEX('Historical Data'!$S$2:$S$9,MATCH($A117,'Historical Data'!$BE$2:$BE$9,0)),"")</f>
        <v/>
      </c>
      <c r="O117" s="114" t="str">
        <f aca="false">IFERROR(INDEX('Historical Data'!$AJ$2:$AJ$9,MATCH($A117,'Historical Data'!$BE$2:$BE$9,0)),"")</f>
        <v/>
      </c>
      <c r="P117" s="114" t="str">
        <f aca="false">IFERROR(INDEX('Historical Data'!$AK$2:$AK$9,MATCH($A117,'Historical Data'!$BE$2:$BE$9,0)),"")</f>
        <v/>
      </c>
      <c r="Q117" s="111" t="str">
        <f aca="false">IFERROR(INDEX('Historical Data'!$AA$2:$AA$9,MATCH($A117,'Historical Data'!$BE$2:$BE$9,0)),"")</f>
        <v/>
      </c>
      <c r="R117" s="111" t="str">
        <f aca="false">IFERROR(INDEX('Historical Data'!$AB$2:$AB$9,MATCH($A117,'Historical Data'!$BE$2:$BE$9,0)),"")</f>
        <v/>
      </c>
      <c r="S117" s="111" t="str">
        <f aca="false">IFERROR(INDEX('Historical Data'!$AN$2:$AN$9,MATCH($A117,'Historical Data'!$BE$2:$BE$9,0)),"")</f>
        <v/>
      </c>
      <c r="T117" s="111" t="str">
        <f aca="false">IFERROR(INDEX('Historical Data'!$AC$2:$AC$9,MATCH($A117,'Historical Data'!$BE$2:$BE$9,0)),"")</f>
        <v/>
      </c>
      <c r="U117" s="111" t="str">
        <f aca="false">IFERROR(INDEX('Historical Data'!$AE$2:$AE$9,MATCH($A117,'Historical Data'!$BE$2:$BE$9,0)),"")</f>
        <v/>
      </c>
      <c r="V117" s="111" t="str">
        <f aca="false">IFERROR(INDEX('Historical Data'!$AH$2:$AH$9,MATCH($A117,'Historical Data'!$BE$2:$BE$9,0)),"")</f>
        <v/>
      </c>
      <c r="W117" s="111" t="str">
        <f aca="false">IFERROR(INDEX('Historical Data'!$BC$2:$BC$9,MATCH($A117,'Historical Data'!$BE$2:$BE$9,0)),"")</f>
        <v/>
      </c>
      <c r="X117" s="110" t="str">
        <f aca="false">IF(B117="","",IF(W117=1,"NR + industry + position",IF(W117=2,"NR + ISO + position",IF(W117=3,"NR + industry",IF(W117=4,"NR + ISO",IF(W117=5,"NR + position",IF(W117=6,"NR only","book baseline"))))))&amp;"  ["&amp;IF(T117=1,"seasoned","unseasoned")&amp;IF(U117=1,", defaulted","")&amp;IF(V117=1,", open","")&amp;"]")</f>
        <v/>
      </c>
    </row>
    <row r="118" customFormat="false" ht="15" hidden="false" customHeight="false" outlineLevel="0" collapsed="false">
      <c r="A118" s="110" t="n">
        <v>114</v>
      </c>
      <c r="B118" s="111" t="str">
        <f aca="false">IFERROR(INDEX('Historical Data'!$A$2:$A$9,MATCH($A118,'Historical Data'!$BE$2:$BE$9,0)),"")</f>
        <v/>
      </c>
      <c r="C118" s="111" t="str">
        <f aca="false">IFERROR(INDEX('Historical Data'!$B$2:$B$9,MATCH($A118,'Historical Data'!$BE$2:$BE$9,0)),"")</f>
        <v/>
      </c>
      <c r="D118" s="111" t="str">
        <f aca="false">IFERROR(INDEX('Historical Data'!$D$2:$D$9,MATCH($A118,'Historical Data'!$BE$2:$BE$9,0)),"")</f>
        <v/>
      </c>
      <c r="E118" s="112" t="str">
        <f aca="false">IFERROR(INDEX('Historical Data'!$E$2:$E$9,MATCH($A118,'Historical Data'!$BE$2:$BE$9,0)),"")</f>
        <v/>
      </c>
      <c r="F118" s="111" t="str">
        <f aca="false">IFERROR(INDEX('Historical Data'!$G$2:$G$9,MATCH($A118,'Historical Data'!$BE$2:$BE$9,0)),"")</f>
        <v/>
      </c>
      <c r="G118" s="111" t="str">
        <f aca="false">IFERROR(INDEX('Historical Data'!$Y$2:$Y$9,MATCH($A118,'Historical Data'!$BE$2:$BE$9,0)),"")</f>
        <v/>
      </c>
      <c r="H118" s="111" t="str">
        <f aca="false">IFERROR(INDEX('Historical Data'!$K$2:$K$9,MATCH($A118,'Historical Data'!$BE$2:$BE$9,0)),"")</f>
        <v/>
      </c>
      <c r="I118" s="111" t="str">
        <f aca="false">IFERROR(INDEX('Historical Data'!$J$2:$J$9,MATCH($A118,'Historical Data'!$BE$2:$BE$9,0)),"")</f>
        <v/>
      </c>
      <c r="J118" s="111" t="str">
        <f aca="false">IFERROR(INDEX('Historical Data'!$L$2:$L$9,MATCH($A118,'Historical Data'!$BE$2:$BE$9,0)),"")</f>
        <v/>
      </c>
      <c r="K118" s="113" t="str">
        <f aca="false">IFERROR(INDEX('Historical Data'!$M$2:$M$9,MATCH($A118,'Historical Data'!$BE$2:$BE$9,0)),"")</f>
        <v/>
      </c>
      <c r="L118" s="114" t="str">
        <f aca="false">IFERROR(INDEX('Historical Data'!$N$2:$N$9,MATCH($A118,'Historical Data'!$BE$2:$BE$9,0)),"")</f>
        <v/>
      </c>
      <c r="M118" s="114" t="str">
        <f aca="false">IFERROR(INDEX('Historical Data'!$Q$2:$Q$9,MATCH($A118,'Historical Data'!$BE$2:$BE$9,0)),"")</f>
        <v/>
      </c>
      <c r="N118" s="115" t="str">
        <f aca="false">IFERROR(INDEX('Historical Data'!$S$2:$S$9,MATCH($A118,'Historical Data'!$BE$2:$BE$9,0)),"")</f>
        <v/>
      </c>
      <c r="O118" s="114" t="str">
        <f aca="false">IFERROR(INDEX('Historical Data'!$AJ$2:$AJ$9,MATCH($A118,'Historical Data'!$BE$2:$BE$9,0)),"")</f>
        <v/>
      </c>
      <c r="P118" s="114" t="str">
        <f aca="false">IFERROR(INDEX('Historical Data'!$AK$2:$AK$9,MATCH($A118,'Historical Data'!$BE$2:$BE$9,0)),"")</f>
        <v/>
      </c>
      <c r="Q118" s="111" t="str">
        <f aca="false">IFERROR(INDEX('Historical Data'!$AA$2:$AA$9,MATCH($A118,'Historical Data'!$BE$2:$BE$9,0)),"")</f>
        <v/>
      </c>
      <c r="R118" s="111" t="str">
        <f aca="false">IFERROR(INDEX('Historical Data'!$AB$2:$AB$9,MATCH($A118,'Historical Data'!$BE$2:$BE$9,0)),"")</f>
        <v/>
      </c>
      <c r="S118" s="111" t="str">
        <f aca="false">IFERROR(INDEX('Historical Data'!$AN$2:$AN$9,MATCH($A118,'Historical Data'!$BE$2:$BE$9,0)),"")</f>
        <v/>
      </c>
      <c r="T118" s="111" t="str">
        <f aca="false">IFERROR(INDEX('Historical Data'!$AC$2:$AC$9,MATCH($A118,'Historical Data'!$BE$2:$BE$9,0)),"")</f>
        <v/>
      </c>
      <c r="U118" s="111" t="str">
        <f aca="false">IFERROR(INDEX('Historical Data'!$AE$2:$AE$9,MATCH($A118,'Historical Data'!$BE$2:$BE$9,0)),"")</f>
        <v/>
      </c>
      <c r="V118" s="111" t="str">
        <f aca="false">IFERROR(INDEX('Historical Data'!$AH$2:$AH$9,MATCH($A118,'Historical Data'!$BE$2:$BE$9,0)),"")</f>
        <v/>
      </c>
      <c r="W118" s="111" t="str">
        <f aca="false">IFERROR(INDEX('Historical Data'!$BC$2:$BC$9,MATCH($A118,'Historical Data'!$BE$2:$BE$9,0)),"")</f>
        <v/>
      </c>
      <c r="X118" s="110" t="str">
        <f aca="false">IF(B118="","",IF(W118=1,"NR + industry + position",IF(W118=2,"NR + ISO + position",IF(W118=3,"NR + industry",IF(W118=4,"NR + ISO",IF(W118=5,"NR + position",IF(W118=6,"NR only","book baseline"))))))&amp;"  ["&amp;IF(T118=1,"seasoned","unseasoned")&amp;IF(U118=1,", defaulted","")&amp;IF(V118=1,", open","")&amp;"]")</f>
        <v/>
      </c>
    </row>
    <row r="119" customFormat="false" ht="15" hidden="false" customHeight="false" outlineLevel="0" collapsed="false">
      <c r="A119" s="110" t="n">
        <v>115</v>
      </c>
      <c r="B119" s="111" t="str">
        <f aca="false">IFERROR(INDEX('Historical Data'!$A$2:$A$9,MATCH($A119,'Historical Data'!$BE$2:$BE$9,0)),"")</f>
        <v/>
      </c>
      <c r="C119" s="111" t="str">
        <f aca="false">IFERROR(INDEX('Historical Data'!$B$2:$B$9,MATCH($A119,'Historical Data'!$BE$2:$BE$9,0)),"")</f>
        <v/>
      </c>
      <c r="D119" s="111" t="str">
        <f aca="false">IFERROR(INDEX('Historical Data'!$D$2:$D$9,MATCH($A119,'Historical Data'!$BE$2:$BE$9,0)),"")</f>
        <v/>
      </c>
      <c r="E119" s="112" t="str">
        <f aca="false">IFERROR(INDEX('Historical Data'!$E$2:$E$9,MATCH($A119,'Historical Data'!$BE$2:$BE$9,0)),"")</f>
        <v/>
      </c>
      <c r="F119" s="111" t="str">
        <f aca="false">IFERROR(INDEX('Historical Data'!$G$2:$G$9,MATCH($A119,'Historical Data'!$BE$2:$BE$9,0)),"")</f>
        <v/>
      </c>
      <c r="G119" s="111" t="str">
        <f aca="false">IFERROR(INDEX('Historical Data'!$Y$2:$Y$9,MATCH($A119,'Historical Data'!$BE$2:$BE$9,0)),"")</f>
        <v/>
      </c>
      <c r="H119" s="111" t="str">
        <f aca="false">IFERROR(INDEX('Historical Data'!$K$2:$K$9,MATCH($A119,'Historical Data'!$BE$2:$BE$9,0)),"")</f>
        <v/>
      </c>
      <c r="I119" s="111" t="str">
        <f aca="false">IFERROR(INDEX('Historical Data'!$J$2:$J$9,MATCH($A119,'Historical Data'!$BE$2:$BE$9,0)),"")</f>
        <v/>
      </c>
      <c r="J119" s="111" t="str">
        <f aca="false">IFERROR(INDEX('Historical Data'!$L$2:$L$9,MATCH($A119,'Historical Data'!$BE$2:$BE$9,0)),"")</f>
        <v/>
      </c>
      <c r="K119" s="113" t="str">
        <f aca="false">IFERROR(INDEX('Historical Data'!$M$2:$M$9,MATCH($A119,'Historical Data'!$BE$2:$BE$9,0)),"")</f>
        <v/>
      </c>
      <c r="L119" s="114" t="str">
        <f aca="false">IFERROR(INDEX('Historical Data'!$N$2:$N$9,MATCH($A119,'Historical Data'!$BE$2:$BE$9,0)),"")</f>
        <v/>
      </c>
      <c r="M119" s="114" t="str">
        <f aca="false">IFERROR(INDEX('Historical Data'!$Q$2:$Q$9,MATCH($A119,'Historical Data'!$BE$2:$BE$9,0)),"")</f>
        <v/>
      </c>
      <c r="N119" s="115" t="str">
        <f aca="false">IFERROR(INDEX('Historical Data'!$S$2:$S$9,MATCH($A119,'Historical Data'!$BE$2:$BE$9,0)),"")</f>
        <v/>
      </c>
      <c r="O119" s="114" t="str">
        <f aca="false">IFERROR(INDEX('Historical Data'!$AJ$2:$AJ$9,MATCH($A119,'Historical Data'!$BE$2:$BE$9,0)),"")</f>
        <v/>
      </c>
      <c r="P119" s="114" t="str">
        <f aca="false">IFERROR(INDEX('Historical Data'!$AK$2:$AK$9,MATCH($A119,'Historical Data'!$BE$2:$BE$9,0)),"")</f>
        <v/>
      </c>
      <c r="Q119" s="111" t="str">
        <f aca="false">IFERROR(INDEX('Historical Data'!$AA$2:$AA$9,MATCH($A119,'Historical Data'!$BE$2:$BE$9,0)),"")</f>
        <v/>
      </c>
      <c r="R119" s="111" t="str">
        <f aca="false">IFERROR(INDEX('Historical Data'!$AB$2:$AB$9,MATCH($A119,'Historical Data'!$BE$2:$BE$9,0)),"")</f>
        <v/>
      </c>
      <c r="S119" s="111" t="str">
        <f aca="false">IFERROR(INDEX('Historical Data'!$AN$2:$AN$9,MATCH($A119,'Historical Data'!$BE$2:$BE$9,0)),"")</f>
        <v/>
      </c>
      <c r="T119" s="111" t="str">
        <f aca="false">IFERROR(INDEX('Historical Data'!$AC$2:$AC$9,MATCH($A119,'Historical Data'!$BE$2:$BE$9,0)),"")</f>
        <v/>
      </c>
      <c r="U119" s="111" t="str">
        <f aca="false">IFERROR(INDEX('Historical Data'!$AE$2:$AE$9,MATCH($A119,'Historical Data'!$BE$2:$BE$9,0)),"")</f>
        <v/>
      </c>
      <c r="V119" s="111" t="str">
        <f aca="false">IFERROR(INDEX('Historical Data'!$AH$2:$AH$9,MATCH($A119,'Historical Data'!$BE$2:$BE$9,0)),"")</f>
        <v/>
      </c>
      <c r="W119" s="111" t="str">
        <f aca="false">IFERROR(INDEX('Historical Data'!$BC$2:$BC$9,MATCH($A119,'Historical Data'!$BE$2:$BE$9,0)),"")</f>
        <v/>
      </c>
      <c r="X119" s="110" t="str">
        <f aca="false">IF(B119="","",IF(W119=1,"NR + industry + position",IF(W119=2,"NR + ISO + position",IF(W119=3,"NR + industry",IF(W119=4,"NR + ISO",IF(W119=5,"NR + position",IF(W119=6,"NR only","book baseline"))))))&amp;"  ["&amp;IF(T119=1,"seasoned","unseasoned")&amp;IF(U119=1,", defaulted","")&amp;IF(V119=1,", open","")&amp;"]")</f>
        <v/>
      </c>
    </row>
    <row r="120" customFormat="false" ht="15" hidden="false" customHeight="false" outlineLevel="0" collapsed="false">
      <c r="A120" s="110" t="n">
        <v>116</v>
      </c>
      <c r="B120" s="111" t="str">
        <f aca="false">IFERROR(INDEX('Historical Data'!$A$2:$A$9,MATCH($A120,'Historical Data'!$BE$2:$BE$9,0)),"")</f>
        <v/>
      </c>
      <c r="C120" s="111" t="str">
        <f aca="false">IFERROR(INDEX('Historical Data'!$B$2:$B$9,MATCH($A120,'Historical Data'!$BE$2:$BE$9,0)),"")</f>
        <v/>
      </c>
      <c r="D120" s="111" t="str">
        <f aca="false">IFERROR(INDEX('Historical Data'!$D$2:$D$9,MATCH($A120,'Historical Data'!$BE$2:$BE$9,0)),"")</f>
        <v/>
      </c>
      <c r="E120" s="112" t="str">
        <f aca="false">IFERROR(INDEX('Historical Data'!$E$2:$E$9,MATCH($A120,'Historical Data'!$BE$2:$BE$9,0)),"")</f>
        <v/>
      </c>
      <c r="F120" s="111" t="str">
        <f aca="false">IFERROR(INDEX('Historical Data'!$G$2:$G$9,MATCH($A120,'Historical Data'!$BE$2:$BE$9,0)),"")</f>
        <v/>
      </c>
      <c r="G120" s="111" t="str">
        <f aca="false">IFERROR(INDEX('Historical Data'!$Y$2:$Y$9,MATCH($A120,'Historical Data'!$BE$2:$BE$9,0)),"")</f>
        <v/>
      </c>
      <c r="H120" s="111" t="str">
        <f aca="false">IFERROR(INDEX('Historical Data'!$K$2:$K$9,MATCH($A120,'Historical Data'!$BE$2:$BE$9,0)),"")</f>
        <v/>
      </c>
      <c r="I120" s="111" t="str">
        <f aca="false">IFERROR(INDEX('Historical Data'!$J$2:$J$9,MATCH($A120,'Historical Data'!$BE$2:$BE$9,0)),"")</f>
        <v/>
      </c>
      <c r="J120" s="111" t="str">
        <f aca="false">IFERROR(INDEX('Historical Data'!$L$2:$L$9,MATCH($A120,'Historical Data'!$BE$2:$BE$9,0)),"")</f>
        <v/>
      </c>
      <c r="K120" s="113" t="str">
        <f aca="false">IFERROR(INDEX('Historical Data'!$M$2:$M$9,MATCH($A120,'Historical Data'!$BE$2:$BE$9,0)),"")</f>
        <v/>
      </c>
      <c r="L120" s="114" t="str">
        <f aca="false">IFERROR(INDEX('Historical Data'!$N$2:$N$9,MATCH($A120,'Historical Data'!$BE$2:$BE$9,0)),"")</f>
        <v/>
      </c>
      <c r="M120" s="114" t="str">
        <f aca="false">IFERROR(INDEX('Historical Data'!$Q$2:$Q$9,MATCH($A120,'Historical Data'!$BE$2:$BE$9,0)),"")</f>
        <v/>
      </c>
      <c r="N120" s="115" t="str">
        <f aca="false">IFERROR(INDEX('Historical Data'!$S$2:$S$9,MATCH($A120,'Historical Data'!$BE$2:$BE$9,0)),"")</f>
        <v/>
      </c>
      <c r="O120" s="114" t="str">
        <f aca="false">IFERROR(INDEX('Historical Data'!$AJ$2:$AJ$9,MATCH($A120,'Historical Data'!$BE$2:$BE$9,0)),"")</f>
        <v/>
      </c>
      <c r="P120" s="114" t="str">
        <f aca="false">IFERROR(INDEX('Historical Data'!$AK$2:$AK$9,MATCH($A120,'Historical Data'!$BE$2:$BE$9,0)),"")</f>
        <v/>
      </c>
      <c r="Q120" s="111" t="str">
        <f aca="false">IFERROR(INDEX('Historical Data'!$AA$2:$AA$9,MATCH($A120,'Historical Data'!$BE$2:$BE$9,0)),"")</f>
        <v/>
      </c>
      <c r="R120" s="111" t="str">
        <f aca="false">IFERROR(INDEX('Historical Data'!$AB$2:$AB$9,MATCH($A120,'Historical Data'!$BE$2:$BE$9,0)),"")</f>
        <v/>
      </c>
      <c r="S120" s="111" t="str">
        <f aca="false">IFERROR(INDEX('Historical Data'!$AN$2:$AN$9,MATCH($A120,'Historical Data'!$BE$2:$BE$9,0)),"")</f>
        <v/>
      </c>
      <c r="T120" s="111" t="str">
        <f aca="false">IFERROR(INDEX('Historical Data'!$AC$2:$AC$9,MATCH($A120,'Historical Data'!$BE$2:$BE$9,0)),"")</f>
        <v/>
      </c>
      <c r="U120" s="111" t="str">
        <f aca="false">IFERROR(INDEX('Historical Data'!$AE$2:$AE$9,MATCH($A120,'Historical Data'!$BE$2:$BE$9,0)),"")</f>
        <v/>
      </c>
      <c r="V120" s="111" t="str">
        <f aca="false">IFERROR(INDEX('Historical Data'!$AH$2:$AH$9,MATCH($A120,'Historical Data'!$BE$2:$BE$9,0)),"")</f>
        <v/>
      </c>
      <c r="W120" s="111" t="str">
        <f aca="false">IFERROR(INDEX('Historical Data'!$BC$2:$BC$9,MATCH($A120,'Historical Data'!$BE$2:$BE$9,0)),"")</f>
        <v/>
      </c>
      <c r="X120" s="110" t="str">
        <f aca="false">IF(B120="","",IF(W120=1,"NR + industry + position",IF(W120=2,"NR + ISO + position",IF(W120=3,"NR + industry",IF(W120=4,"NR + ISO",IF(W120=5,"NR + position",IF(W120=6,"NR only","book baseline"))))))&amp;"  ["&amp;IF(T120=1,"seasoned","unseasoned")&amp;IF(U120=1,", defaulted","")&amp;IF(V120=1,", open","")&amp;"]")</f>
        <v/>
      </c>
    </row>
    <row r="121" customFormat="false" ht="15" hidden="false" customHeight="false" outlineLevel="0" collapsed="false">
      <c r="A121" s="110" t="n">
        <v>117</v>
      </c>
      <c r="B121" s="111" t="str">
        <f aca="false">IFERROR(INDEX('Historical Data'!$A$2:$A$9,MATCH($A121,'Historical Data'!$BE$2:$BE$9,0)),"")</f>
        <v/>
      </c>
      <c r="C121" s="111" t="str">
        <f aca="false">IFERROR(INDEX('Historical Data'!$B$2:$B$9,MATCH($A121,'Historical Data'!$BE$2:$BE$9,0)),"")</f>
        <v/>
      </c>
      <c r="D121" s="111" t="str">
        <f aca="false">IFERROR(INDEX('Historical Data'!$D$2:$D$9,MATCH($A121,'Historical Data'!$BE$2:$BE$9,0)),"")</f>
        <v/>
      </c>
      <c r="E121" s="112" t="str">
        <f aca="false">IFERROR(INDEX('Historical Data'!$E$2:$E$9,MATCH($A121,'Historical Data'!$BE$2:$BE$9,0)),"")</f>
        <v/>
      </c>
      <c r="F121" s="111" t="str">
        <f aca="false">IFERROR(INDEX('Historical Data'!$G$2:$G$9,MATCH($A121,'Historical Data'!$BE$2:$BE$9,0)),"")</f>
        <v/>
      </c>
      <c r="G121" s="111" t="str">
        <f aca="false">IFERROR(INDEX('Historical Data'!$Y$2:$Y$9,MATCH($A121,'Historical Data'!$BE$2:$BE$9,0)),"")</f>
        <v/>
      </c>
      <c r="H121" s="111" t="str">
        <f aca="false">IFERROR(INDEX('Historical Data'!$K$2:$K$9,MATCH($A121,'Historical Data'!$BE$2:$BE$9,0)),"")</f>
        <v/>
      </c>
      <c r="I121" s="111" t="str">
        <f aca="false">IFERROR(INDEX('Historical Data'!$J$2:$J$9,MATCH($A121,'Historical Data'!$BE$2:$BE$9,0)),"")</f>
        <v/>
      </c>
      <c r="J121" s="111" t="str">
        <f aca="false">IFERROR(INDEX('Historical Data'!$L$2:$L$9,MATCH($A121,'Historical Data'!$BE$2:$BE$9,0)),"")</f>
        <v/>
      </c>
      <c r="K121" s="113" t="str">
        <f aca="false">IFERROR(INDEX('Historical Data'!$M$2:$M$9,MATCH($A121,'Historical Data'!$BE$2:$BE$9,0)),"")</f>
        <v/>
      </c>
      <c r="L121" s="114" t="str">
        <f aca="false">IFERROR(INDEX('Historical Data'!$N$2:$N$9,MATCH($A121,'Historical Data'!$BE$2:$BE$9,0)),"")</f>
        <v/>
      </c>
      <c r="M121" s="114" t="str">
        <f aca="false">IFERROR(INDEX('Historical Data'!$Q$2:$Q$9,MATCH($A121,'Historical Data'!$BE$2:$BE$9,0)),"")</f>
        <v/>
      </c>
      <c r="N121" s="115" t="str">
        <f aca="false">IFERROR(INDEX('Historical Data'!$S$2:$S$9,MATCH($A121,'Historical Data'!$BE$2:$BE$9,0)),"")</f>
        <v/>
      </c>
      <c r="O121" s="114" t="str">
        <f aca="false">IFERROR(INDEX('Historical Data'!$AJ$2:$AJ$9,MATCH($A121,'Historical Data'!$BE$2:$BE$9,0)),"")</f>
        <v/>
      </c>
      <c r="P121" s="114" t="str">
        <f aca="false">IFERROR(INDEX('Historical Data'!$AK$2:$AK$9,MATCH($A121,'Historical Data'!$BE$2:$BE$9,0)),"")</f>
        <v/>
      </c>
      <c r="Q121" s="111" t="str">
        <f aca="false">IFERROR(INDEX('Historical Data'!$AA$2:$AA$9,MATCH($A121,'Historical Data'!$BE$2:$BE$9,0)),"")</f>
        <v/>
      </c>
      <c r="R121" s="111" t="str">
        <f aca="false">IFERROR(INDEX('Historical Data'!$AB$2:$AB$9,MATCH($A121,'Historical Data'!$BE$2:$BE$9,0)),"")</f>
        <v/>
      </c>
      <c r="S121" s="111" t="str">
        <f aca="false">IFERROR(INDEX('Historical Data'!$AN$2:$AN$9,MATCH($A121,'Historical Data'!$BE$2:$BE$9,0)),"")</f>
        <v/>
      </c>
      <c r="T121" s="111" t="str">
        <f aca="false">IFERROR(INDEX('Historical Data'!$AC$2:$AC$9,MATCH($A121,'Historical Data'!$BE$2:$BE$9,0)),"")</f>
        <v/>
      </c>
      <c r="U121" s="111" t="str">
        <f aca="false">IFERROR(INDEX('Historical Data'!$AE$2:$AE$9,MATCH($A121,'Historical Data'!$BE$2:$BE$9,0)),"")</f>
        <v/>
      </c>
      <c r="V121" s="111" t="str">
        <f aca="false">IFERROR(INDEX('Historical Data'!$AH$2:$AH$9,MATCH($A121,'Historical Data'!$BE$2:$BE$9,0)),"")</f>
        <v/>
      </c>
      <c r="W121" s="111" t="str">
        <f aca="false">IFERROR(INDEX('Historical Data'!$BC$2:$BC$9,MATCH($A121,'Historical Data'!$BE$2:$BE$9,0)),"")</f>
        <v/>
      </c>
      <c r="X121" s="110" t="str">
        <f aca="false">IF(B121="","",IF(W121=1,"NR + industry + position",IF(W121=2,"NR + ISO + position",IF(W121=3,"NR + industry",IF(W121=4,"NR + ISO",IF(W121=5,"NR + position",IF(W121=6,"NR only","book baseline"))))))&amp;"  ["&amp;IF(T121=1,"seasoned","unseasoned")&amp;IF(U121=1,", defaulted","")&amp;IF(V121=1,", open","")&amp;"]")</f>
        <v/>
      </c>
    </row>
    <row r="122" customFormat="false" ht="15" hidden="false" customHeight="false" outlineLevel="0" collapsed="false">
      <c r="A122" s="110" t="n">
        <v>118</v>
      </c>
      <c r="B122" s="111" t="str">
        <f aca="false">IFERROR(INDEX('Historical Data'!$A$2:$A$9,MATCH($A122,'Historical Data'!$BE$2:$BE$9,0)),"")</f>
        <v/>
      </c>
      <c r="C122" s="111" t="str">
        <f aca="false">IFERROR(INDEX('Historical Data'!$B$2:$B$9,MATCH($A122,'Historical Data'!$BE$2:$BE$9,0)),"")</f>
        <v/>
      </c>
      <c r="D122" s="111" t="str">
        <f aca="false">IFERROR(INDEX('Historical Data'!$D$2:$D$9,MATCH($A122,'Historical Data'!$BE$2:$BE$9,0)),"")</f>
        <v/>
      </c>
      <c r="E122" s="112" t="str">
        <f aca="false">IFERROR(INDEX('Historical Data'!$E$2:$E$9,MATCH($A122,'Historical Data'!$BE$2:$BE$9,0)),"")</f>
        <v/>
      </c>
      <c r="F122" s="111" t="str">
        <f aca="false">IFERROR(INDEX('Historical Data'!$G$2:$G$9,MATCH($A122,'Historical Data'!$BE$2:$BE$9,0)),"")</f>
        <v/>
      </c>
      <c r="G122" s="111" t="str">
        <f aca="false">IFERROR(INDEX('Historical Data'!$Y$2:$Y$9,MATCH($A122,'Historical Data'!$BE$2:$BE$9,0)),"")</f>
        <v/>
      </c>
      <c r="H122" s="111" t="str">
        <f aca="false">IFERROR(INDEX('Historical Data'!$K$2:$K$9,MATCH($A122,'Historical Data'!$BE$2:$BE$9,0)),"")</f>
        <v/>
      </c>
      <c r="I122" s="111" t="str">
        <f aca="false">IFERROR(INDEX('Historical Data'!$J$2:$J$9,MATCH($A122,'Historical Data'!$BE$2:$BE$9,0)),"")</f>
        <v/>
      </c>
      <c r="J122" s="111" t="str">
        <f aca="false">IFERROR(INDEX('Historical Data'!$L$2:$L$9,MATCH($A122,'Historical Data'!$BE$2:$BE$9,0)),"")</f>
        <v/>
      </c>
      <c r="K122" s="113" t="str">
        <f aca="false">IFERROR(INDEX('Historical Data'!$M$2:$M$9,MATCH($A122,'Historical Data'!$BE$2:$BE$9,0)),"")</f>
        <v/>
      </c>
      <c r="L122" s="114" t="str">
        <f aca="false">IFERROR(INDEX('Historical Data'!$N$2:$N$9,MATCH($A122,'Historical Data'!$BE$2:$BE$9,0)),"")</f>
        <v/>
      </c>
      <c r="M122" s="114" t="str">
        <f aca="false">IFERROR(INDEX('Historical Data'!$Q$2:$Q$9,MATCH($A122,'Historical Data'!$BE$2:$BE$9,0)),"")</f>
        <v/>
      </c>
      <c r="N122" s="115" t="str">
        <f aca="false">IFERROR(INDEX('Historical Data'!$S$2:$S$9,MATCH($A122,'Historical Data'!$BE$2:$BE$9,0)),"")</f>
        <v/>
      </c>
      <c r="O122" s="114" t="str">
        <f aca="false">IFERROR(INDEX('Historical Data'!$AJ$2:$AJ$9,MATCH($A122,'Historical Data'!$BE$2:$BE$9,0)),"")</f>
        <v/>
      </c>
      <c r="P122" s="114" t="str">
        <f aca="false">IFERROR(INDEX('Historical Data'!$AK$2:$AK$9,MATCH($A122,'Historical Data'!$BE$2:$BE$9,0)),"")</f>
        <v/>
      </c>
      <c r="Q122" s="111" t="str">
        <f aca="false">IFERROR(INDEX('Historical Data'!$AA$2:$AA$9,MATCH($A122,'Historical Data'!$BE$2:$BE$9,0)),"")</f>
        <v/>
      </c>
      <c r="R122" s="111" t="str">
        <f aca="false">IFERROR(INDEX('Historical Data'!$AB$2:$AB$9,MATCH($A122,'Historical Data'!$BE$2:$BE$9,0)),"")</f>
        <v/>
      </c>
      <c r="S122" s="111" t="str">
        <f aca="false">IFERROR(INDEX('Historical Data'!$AN$2:$AN$9,MATCH($A122,'Historical Data'!$BE$2:$BE$9,0)),"")</f>
        <v/>
      </c>
      <c r="T122" s="111" t="str">
        <f aca="false">IFERROR(INDEX('Historical Data'!$AC$2:$AC$9,MATCH($A122,'Historical Data'!$BE$2:$BE$9,0)),"")</f>
        <v/>
      </c>
      <c r="U122" s="111" t="str">
        <f aca="false">IFERROR(INDEX('Historical Data'!$AE$2:$AE$9,MATCH($A122,'Historical Data'!$BE$2:$BE$9,0)),"")</f>
        <v/>
      </c>
      <c r="V122" s="111" t="str">
        <f aca="false">IFERROR(INDEX('Historical Data'!$AH$2:$AH$9,MATCH($A122,'Historical Data'!$BE$2:$BE$9,0)),"")</f>
        <v/>
      </c>
      <c r="W122" s="111" t="str">
        <f aca="false">IFERROR(INDEX('Historical Data'!$BC$2:$BC$9,MATCH($A122,'Historical Data'!$BE$2:$BE$9,0)),"")</f>
        <v/>
      </c>
      <c r="X122" s="110" t="str">
        <f aca="false">IF(B122="","",IF(W122=1,"NR + industry + position",IF(W122=2,"NR + ISO + position",IF(W122=3,"NR + industry",IF(W122=4,"NR + ISO",IF(W122=5,"NR + position",IF(W122=6,"NR only","book baseline"))))))&amp;"  ["&amp;IF(T122=1,"seasoned","unseasoned")&amp;IF(U122=1,", defaulted","")&amp;IF(V122=1,", open","")&amp;"]")</f>
        <v/>
      </c>
    </row>
    <row r="123" customFormat="false" ht="15" hidden="false" customHeight="false" outlineLevel="0" collapsed="false">
      <c r="A123" s="110" t="n">
        <v>119</v>
      </c>
      <c r="B123" s="111" t="str">
        <f aca="false">IFERROR(INDEX('Historical Data'!$A$2:$A$9,MATCH($A123,'Historical Data'!$BE$2:$BE$9,0)),"")</f>
        <v/>
      </c>
      <c r="C123" s="111" t="str">
        <f aca="false">IFERROR(INDEX('Historical Data'!$B$2:$B$9,MATCH($A123,'Historical Data'!$BE$2:$BE$9,0)),"")</f>
        <v/>
      </c>
      <c r="D123" s="111" t="str">
        <f aca="false">IFERROR(INDEX('Historical Data'!$D$2:$D$9,MATCH($A123,'Historical Data'!$BE$2:$BE$9,0)),"")</f>
        <v/>
      </c>
      <c r="E123" s="112" t="str">
        <f aca="false">IFERROR(INDEX('Historical Data'!$E$2:$E$9,MATCH($A123,'Historical Data'!$BE$2:$BE$9,0)),"")</f>
        <v/>
      </c>
      <c r="F123" s="111" t="str">
        <f aca="false">IFERROR(INDEX('Historical Data'!$G$2:$G$9,MATCH($A123,'Historical Data'!$BE$2:$BE$9,0)),"")</f>
        <v/>
      </c>
      <c r="G123" s="111" t="str">
        <f aca="false">IFERROR(INDEX('Historical Data'!$Y$2:$Y$9,MATCH($A123,'Historical Data'!$BE$2:$BE$9,0)),"")</f>
        <v/>
      </c>
      <c r="H123" s="111" t="str">
        <f aca="false">IFERROR(INDEX('Historical Data'!$K$2:$K$9,MATCH($A123,'Historical Data'!$BE$2:$BE$9,0)),"")</f>
        <v/>
      </c>
      <c r="I123" s="111" t="str">
        <f aca="false">IFERROR(INDEX('Historical Data'!$J$2:$J$9,MATCH($A123,'Historical Data'!$BE$2:$BE$9,0)),"")</f>
        <v/>
      </c>
      <c r="J123" s="111" t="str">
        <f aca="false">IFERROR(INDEX('Historical Data'!$L$2:$L$9,MATCH($A123,'Historical Data'!$BE$2:$BE$9,0)),"")</f>
        <v/>
      </c>
      <c r="K123" s="113" t="str">
        <f aca="false">IFERROR(INDEX('Historical Data'!$M$2:$M$9,MATCH($A123,'Historical Data'!$BE$2:$BE$9,0)),"")</f>
        <v/>
      </c>
      <c r="L123" s="114" t="str">
        <f aca="false">IFERROR(INDEX('Historical Data'!$N$2:$N$9,MATCH($A123,'Historical Data'!$BE$2:$BE$9,0)),"")</f>
        <v/>
      </c>
      <c r="M123" s="114" t="str">
        <f aca="false">IFERROR(INDEX('Historical Data'!$Q$2:$Q$9,MATCH($A123,'Historical Data'!$BE$2:$BE$9,0)),"")</f>
        <v/>
      </c>
      <c r="N123" s="115" t="str">
        <f aca="false">IFERROR(INDEX('Historical Data'!$S$2:$S$9,MATCH($A123,'Historical Data'!$BE$2:$BE$9,0)),"")</f>
        <v/>
      </c>
      <c r="O123" s="114" t="str">
        <f aca="false">IFERROR(INDEX('Historical Data'!$AJ$2:$AJ$9,MATCH($A123,'Historical Data'!$BE$2:$BE$9,0)),"")</f>
        <v/>
      </c>
      <c r="P123" s="114" t="str">
        <f aca="false">IFERROR(INDEX('Historical Data'!$AK$2:$AK$9,MATCH($A123,'Historical Data'!$BE$2:$BE$9,0)),"")</f>
        <v/>
      </c>
      <c r="Q123" s="111" t="str">
        <f aca="false">IFERROR(INDEX('Historical Data'!$AA$2:$AA$9,MATCH($A123,'Historical Data'!$BE$2:$BE$9,0)),"")</f>
        <v/>
      </c>
      <c r="R123" s="111" t="str">
        <f aca="false">IFERROR(INDEX('Historical Data'!$AB$2:$AB$9,MATCH($A123,'Historical Data'!$BE$2:$BE$9,0)),"")</f>
        <v/>
      </c>
      <c r="S123" s="111" t="str">
        <f aca="false">IFERROR(INDEX('Historical Data'!$AN$2:$AN$9,MATCH($A123,'Historical Data'!$BE$2:$BE$9,0)),"")</f>
        <v/>
      </c>
      <c r="T123" s="111" t="str">
        <f aca="false">IFERROR(INDEX('Historical Data'!$AC$2:$AC$9,MATCH($A123,'Historical Data'!$BE$2:$BE$9,0)),"")</f>
        <v/>
      </c>
      <c r="U123" s="111" t="str">
        <f aca="false">IFERROR(INDEX('Historical Data'!$AE$2:$AE$9,MATCH($A123,'Historical Data'!$BE$2:$BE$9,0)),"")</f>
        <v/>
      </c>
      <c r="V123" s="111" t="str">
        <f aca="false">IFERROR(INDEX('Historical Data'!$AH$2:$AH$9,MATCH($A123,'Historical Data'!$BE$2:$BE$9,0)),"")</f>
        <v/>
      </c>
      <c r="W123" s="111" t="str">
        <f aca="false">IFERROR(INDEX('Historical Data'!$BC$2:$BC$9,MATCH($A123,'Historical Data'!$BE$2:$BE$9,0)),"")</f>
        <v/>
      </c>
      <c r="X123" s="110" t="str">
        <f aca="false">IF(B123="","",IF(W123=1,"NR + industry + position",IF(W123=2,"NR + ISO + position",IF(W123=3,"NR + industry",IF(W123=4,"NR + ISO",IF(W123=5,"NR + position",IF(W123=6,"NR only","book baseline"))))))&amp;"  ["&amp;IF(T123=1,"seasoned","unseasoned")&amp;IF(U123=1,", defaulted","")&amp;IF(V123=1,", open","")&amp;"]")</f>
        <v/>
      </c>
    </row>
    <row r="124" customFormat="false" ht="15" hidden="false" customHeight="false" outlineLevel="0" collapsed="false">
      <c r="A124" s="110" t="n">
        <v>120</v>
      </c>
      <c r="B124" s="111" t="str">
        <f aca="false">IFERROR(INDEX('Historical Data'!$A$2:$A$9,MATCH($A124,'Historical Data'!$BE$2:$BE$9,0)),"")</f>
        <v/>
      </c>
      <c r="C124" s="111" t="str">
        <f aca="false">IFERROR(INDEX('Historical Data'!$B$2:$B$9,MATCH($A124,'Historical Data'!$BE$2:$BE$9,0)),"")</f>
        <v/>
      </c>
      <c r="D124" s="111" t="str">
        <f aca="false">IFERROR(INDEX('Historical Data'!$D$2:$D$9,MATCH($A124,'Historical Data'!$BE$2:$BE$9,0)),"")</f>
        <v/>
      </c>
      <c r="E124" s="112" t="str">
        <f aca="false">IFERROR(INDEX('Historical Data'!$E$2:$E$9,MATCH($A124,'Historical Data'!$BE$2:$BE$9,0)),"")</f>
        <v/>
      </c>
      <c r="F124" s="111" t="str">
        <f aca="false">IFERROR(INDEX('Historical Data'!$G$2:$G$9,MATCH($A124,'Historical Data'!$BE$2:$BE$9,0)),"")</f>
        <v/>
      </c>
      <c r="G124" s="111" t="str">
        <f aca="false">IFERROR(INDEX('Historical Data'!$Y$2:$Y$9,MATCH($A124,'Historical Data'!$BE$2:$BE$9,0)),"")</f>
        <v/>
      </c>
      <c r="H124" s="111" t="str">
        <f aca="false">IFERROR(INDEX('Historical Data'!$K$2:$K$9,MATCH($A124,'Historical Data'!$BE$2:$BE$9,0)),"")</f>
        <v/>
      </c>
      <c r="I124" s="111" t="str">
        <f aca="false">IFERROR(INDEX('Historical Data'!$J$2:$J$9,MATCH($A124,'Historical Data'!$BE$2:$BE$9,0)),"")</f>
        <v/>
      </c>
      <c r="J124" s="111" t="str">
        <f aca="false">IFERROR(INDEX('Historical Data'!$L$2:$L$9,MATCH($A124,'Historical Data'!$BE$2:$BE$9,0)),"")</f>
        <v/>
      </c>
      <c r="K124" s="113" t="str">
        <f aca="false">IFERROR(INDEX('Historical Data'!$M$2:$M$9,MATCH($A124,'Historical Data'!$BE$2:$BE$9,0)),"")</f>
        <v/>
      </c>
      <c r="L124" s="114" t="str">
        <f aca="false">IFERROR(INDEX('Historical Data'!$N$2:$N$9,MATCH($A124,'Historical Data'!$BE$2:$BE$9,0)),"")</f>
        <v/>
      </c>
      <c r="M124" s="114" t="str">
        <f aca="false">IFERROR(INDEX('Historical Data'!$Q$2:$Q$9,MATCH($A124,'Historical Data'!$BE$2:$BE$9,0)),"")</f>
        <v/>
      </c>
      <c r="N124" s="115" t="str">
        <f aca="false">IFERROR(INDEX('Historical Data'!$S$2:$S$9,MATCH($A124,'Historical Data'!$BE$2:$BE$9,0)),"")</f>
        <v/>
      </c>
      <c r="O124" s="114" t="str">
        <f aca="false">IFERROR(INDEX('Historical Data'!$AJ$2:$AJ$9,MATCH($A124,'Historical Data'!$BE$2:$BE$9,0)),"")</f>
        <v/>
      </c>
      <c r="P124" s="114" t="str">
        <f aca="false">IFERROR(INDEX('Historical Data'!$AK$2:$AK$9,MATCH($A124,'Historical Data'!$BE$2:$BE$9,0)),"")</f>
        <v/>
      </c>
      <c r="Q124" s="111" t="str">
        <f aca="false">IFERROR(INDEX('Historical Data'!$AA$2:$AA$9,MATCH($A124,'Historical Data'!$BE$2:$BE$9,0)),"")</f>
        <v/>
      </c>
      <c r="R124" s="111" t="str">
        <f aca="false">IFERROR(INDEX('Historical Data'!$AB$2:$AB$9,MATCH($A124,'Historical Data'!$BE$2:$BE$9,0)),"")</f>
        <v/>
      </c>
      <c r="S124" s="111" t="str">
        <f aca="false">IFERROR(INDEX('Historical Data'!$AN$2:$AN$9,MATCH($A124,'Historical Data'!$BE$2:$BE$9,0)),"")</f>
        <v/>
      </c>
      <c r="T124" s="111" t="str">
        <f aca="false">IFERROR(INDEX('Historical Data'!$AC$2:$AC$9,MATCH($A124,'Historical Data'!$BE$2:$BE$9,0)),"")</f>
        <v/>
      </c>
      <c r="U124" s="111" t="str">
        <f aca="false">IFERROR(INDEX('Historical Data'!$AE$2:$AE$9,MATCH($A124,'Historical Data'!$BE$2:$BE$9,0)),"")</f>
        <v/>
      </c>
      <c r="V124" s="111" t="str">
        <f aca="false">IFERROR(INDEX('Historical Data'!$AH$2:$AH$9,MATCH($A124,'Historical Data'!$BE$2:$BE$9,0)),"")</f>
        <v/>
      </c>
      <c r="W124" s="111" t="str">
        <f aca="false">IFERROR(INDEX('Historical Data'!$BC$2:$BC$9,MATCH($A124,'Historical Data'!$BE$2:$BE$9,0)),"")</f>
        <v/>
      </c>
      <c r="X124" s="110" t="str">
        <f aca="false">IF(B124="","",IF(W124=1,"NR + industry + position",IF(W124=2,"NR + ISO + position",IF(W124=3,"NR + industry",IF(W124=4,"NR + ISO",IF(W124=5,"NR + position",IF(W124=6,"NR only","book baseline"))))))&amp;"  ["&amp;IF(T124=1,"seasoned","unseasoned")&amp;IF(U124=1,", defaulted","")&amp;IF(V124=1,", open","")&amp;"]")</f>
        <v/>
      </c>
    </row>
    <row r="125" customFormat="false" ht="15" hidden="false" customHeight="false" outlineLevel="0" collapsed="false">
      <c r="A125" s="110" t="n">
        <v>121</v>
      </c>
      <c r="B125" s="111" t="str">
        <f aca="false">IFERROR(INDEX('Historical Data'!$A$2:$A$9,MATCH($A125,'Historical Data'!$BE$2:$BE$9,0)),"")</f>
        <v/>
      </c>
      <c r="C125" s="111" t="str">
        <f aca="false">IFERROR(INDEX('Historical Data'!$B$2:$B$9,MATCH($A125,'Historical Data'!$BE$2:$BE$9,0)),"")</f>
        <v/>
      </c>
      <c r="D125" s="111" t="str">
        <f aca="false">IFERROR(INDEX('Historical Data'!$D$2:$D$9,MATCH($A125,'Historical Data'!$BE$2:$BE$9,0)),"")</f>
        <v/>
      </c>
      <c r="E125" s="112" t="str">
        <f aca="false">IFERROR(INDEX('Historical Data'!$E$2:$E$9,MATCH($A125,'Historical Data'!$BE$2:$BE$9,0)),"")</f>
        <v/>
      </c>
      <c r="F125" s="111" t="str">
        <f aca="false">IFERROR(INDEX('Historical Data'!$G$2:$G$9,MATCH($A125,'Historical Data'!$BE$2:$BE$9,0)),"")</f>
        <v/>
      </c>
      <c r="G125" s="111" t="str">
        <f aca="false">IFERROR(INDEX('Historical Data'!$Y$2:$Y$9,MATCH($A125,'Historical Data'!$BE$2:$BE$9,0)),"")</f>
        <v/>
      </c>
      <c r="H125" s="111" t="str">
        <f aca="false">IFERROR(INDEX('Historical Data'!$K$2:$K$9,MATCH($A125,'Historical Data'!$BE$2:$BE$9,0)),"")</f>
        <v/>
      </c>
      <c r="I125" s="111" t="str">
        <f aca="false">IFERROR(INDEX('Historical Data'!$J$2:$J$9,MATCH($A125,'Historical Data'!$BE$2:$BE$9,0)),"")</f>
        <v/>
      </c>
      <c r="J125" s="111" t="str">
        <f aca="false">IFERROR(INDEX('Historical Data'!$L$2:$L$9,MATCH($A125,'Historical Data'!$BE$2:$BE$9,0)),"")</f>
        <v/>
      </c>
      <c r="K125" s="113" t="str">
        <f aca="false">IFERROR(INDEX('Historical Data'!$M$2:$M$9,MATCH($A125,'Historical Data'!$BE$2:$BE$9,0)),"")</f>
        <v/>
      </c>
      <c r="L125" s="114" t="str">
        <f aca="false">IFERROR(INDEX('Historical Data'!$N$2:$N$9,MATCH($A125,'Historical Data'!$BE$2:$BE$9,0)),"")</f>
        <v/>
      </c>
      <c r="M125" s="114" t="str">
        <f aca="false">IFERROR(INDEX('Historical Data'!$Q$2:$Q$9,MATCH($A125,'Historical Data'!$BE$2:$BE$9,0)),"")</f>
        <v/>
      </c>
      <c r="N125" s="115" t="str">
        <f aca="false">IFERROR(INDEX('Historical Data'!$S$2:$S$9,MATCH($A125,'Historical Data'!$BE$2:$BE$9,0)),"")</f>
        <v/>
      </c>
      <c r="O125" s="114" t="str">
        <f aca="false">IFERROR(INDEX('Historical Data'!$AJ$2:$AJ$9,MATCH($A125,'Historical Data'!$BE$2:$BE$9,0)),"")</f>
        <v/>
      </c>
      <c r="P125" s="114" t="str">
        <f aca="false">IFERROR(INDEX('Historical Data'!$AK$2:$AK$9,MATCH($A125,'Historical Data'!$BE$2:$BE$9,0)),"")</f>
        <v/>
      </c>
      <c r="Q125" s="111" t="str">
        <f aca="false">IFERROR(INDEX('Historical Data'!$AA$2:$AA$9,MATCH($A125,'Historical Data'!$BE$2:$BE$9,0)),"")</f>
        <v/>
      </c>
      <c r="R125" s="111" t="str">
        <f aca="false">IFERROR(INDEX('Historical Data'!$AB$2:$AB$9,MATCH($A125,'Historical Data'!$BE$2:$BE$9,0)),"")</f>
        <v/>
      </c>
      <c r="S125" s="111" t="str">
        <f aca="false">IFERROR(INDEX('Historical Data'!$AN$2:$AN$9,MATCH($A125,'Historical Data'!$BE$2:$BE$9,0)),"")</f>
        <v/>
      </c>
      <c r="T125" s="111" t="str">
        <f aca="false">IFERROR(INDEX('Historical Data'!$AC$2:$AC$9,MATCH($A125,'Historical Data'!$BE$2:$BE$9,0)),"")</f>
        <v/>
      </c>
      <c r="U125" s="111" t="str">
        <f aca="false">IFERROR(INDEX('Historical Data'!$AE$2:$AE$9,MATCH($A125,'Historical Data'!$BE$2:$BE$9,0)),"")</f>
        <v/>
      </c>
      <c r="V125" s="111" t="str">
        <f aca="false">IFERROR(INDEX('Historical Data'!$AH$2:$AH$9,MATCH($A125,'Historical Data'!$BE$2:$BE$9,0)),"")</f>
        <v/>
      </c>
      <c r="W125" s="111" t="str">
        <f aca="false">IFERROR(INDEX('Historical Data'!$BC$2:$BC$9,MATCH($A125,'Historical Data'!$BE$2:$BE$9,0)),"")</f>
        <v/>
      </c>
      <c r="X125" s="110" t="str">
        <f aca="false">IF(B125="","",IF(W125=1,"NR + industry + position",IF(W125=2,"NR + ISO + position",IF(W125=3,"NR + industry",IF(W125=4,"NR + ISO",IF(W125=5,"NR + position",IF(W125=6,"NR only","book baseline"))))))&amp;"  ["&amp;IF(T125=1,"seasoned","unseasoned")&amp;IF(U125=1,", defaulted","")&amp;IF(V125=1,", open","")&amp;"]")</f>
        <v/>
      </c>
    </row>
    <row r="126" customFormat="false" ht="15" hidden="false" customHeight="false" outlineLevel="0" collapsed="false">
      <c r="A126" s="110" t="n">
        <v>122</v>
      </c>
      <c r="B126" s="111" t="str">
        <f aca="false">IFERROR(INDEX('Historical Data'!$A$2:$A$9,MATCH($A126,'Historical Data'!$BE$2:$BE$9,0)),"")</f>
        <v/>
      </c>
      <c r="C126" s="111" t="str">
        <f aca="false">IFERROR(INDEX('Historical Data'!$B$2:$B$9,MATCH($A126,'Historical Data'!$BE$2:$BE$9,0)),"")</f>
        <v/>
      </c>
      <c r="D126" s="111" t="str">
        <f aca="false">IFERROR(INDEX('Historical Data'!$D$2:$D$9,MATCH($A126,'Historical Data'!$BE$2:$BE$9,0)),"")</f>
        <v/>
      </c>
      <c r="E126" s="112" t="str">
        <f aca="false">IFERROR(INDEX('Historical Data'!$E$2:$E$9,MATCH($A126,'Historical Data'!$BE$2:$BE$9,0)),"")</f>
        <v/>
      </c>
      <c r="F126" s="111" t="str">
        <f aca="false">IFERROR(INDEX('Historical Data'!$G$2:$G$9,MATCH($A126,'Historical Data'!$BE$2:$BE$9,0)),"")</f>
        <v/>
      </c>
      <c r="G126" s="111" t="str">
        <f aca="false">IFERROR(INDEX('Historical Data'!$Y$2:$Y$9,MATCH($A126,'Historical Data'!$BE$2:$BE$9,0)),"")</f>
        <v/>
      </c>
      <c r="H126" s="111" t="str">
        <f aca="false">IFERROR(INDEX('Historical Data'!$K$2:$K$9,MATCH($A126,'Historical Data'!$BE$2:$BE$9,0)),"")</f>
        <v/>
      </c>
      <c r="I126" s="111" t="str">
        <f aca="false">IFERROR(INDEX('Historical Data'!$J$2:$J$9,MATCH($A126,'Historical Data'!$BE$2:$BE$9,0)),"")</f>
        <v/>
      </c>
      <c r="J126" s="111" t="str">
        <f aca="false">IFERROR(INDEX('Historical Data'!$L$2:$L$9,MATCH($A126,'Historical Data'!$BE$2:$BE$9,0)),"")</f>
        <v/>
      </c>
      <c r="K126" s="113" t="str">
        <f aca="false">IFERROR(INDEX('Historical Data'!$M$2:$M$9,MATCH($A126,'Historical Data'!$BE$2:$BE$9,0)),"")</f>
        <v/>
      </c>
      <c r="L126" s="114" t="str">
        <f aca="false">IFERROR(INDEX('Historical Data'!$N$2:$N$9,MATCH($A126,'Historical Data'!$BE$2:$BE$9,0)),"")</f>
        <v/>
      </c>
      <c r="M126" s="114" t="str">
        <f aca="false">IFERROR(INDEX('Historical Data'!$Q$2:$Q$9,MATCH($A126,'Historical Data'!$BE$2:$BE$9,0)),"")</f>
        <v/>
      </c>
      <c r="N126" s="115" t="str">
        <f aca="false">IFERROR(INDEX('Historical Data'!$S$2:$S$9,MATCH($A126,'Historical Data'!$BE$2:$BE$9,0)),"")</f>
        <v/>
      </c>
      <c r="O126" s="114" t="str">
        <f aca="false">IFERROR(INDEX('Historical Data'!$AJ$2:$AJ$9,MATCH($A126,'Historical Data'!$BE$2:$BE$9,0)),"")</f>
        <v/>
      </c>
      <c r="P126" s="114" t="str">
        <f aca="false">IFERROR(INDEX('Historical Data'!$AK$2:$AK$9,MATCH($A126,'Historical Data'!$BE$2:$BE$9,0)),"")</f>
        <v/>
      </c>
      <c r="Q126" s="111" t="str">
        <f aca="false">IFERROR(INDEX('Historical Data'!$AA$2:$AA$9,MATCH($A126,'Historical Data'!$BE$2:$BE$9,0)),"")</f>
        <v/>
      </c>
      <c r="R126" s="111" t="str">
        <f aca="false">IFERROR(INDEX('Historical Data'!$AB$2:$AB$9,MATCH($A126,'Historical Data'!$BE$2:$BE$9,0)),"")</f>
        <v/>
      </c>
      <c r="S126" s="111" t="str">
        <f aca="false">IFERROR(INDEX('Historical Data'!$AN$2:$AN$9,MATCH($A126,'Historical Data'!$BE$2:$BE$9,0)),"")</f>
        <v/>
      </c>
      <c r="T126" s="111" t="str">
        <f aca="false">IFERROR(INDEX('Historical Data'!$AC$2:$AC$9,MATCH($A126,'Historical Data'!$BE$2:$BE$9,0)),"")</f>
        <v/>
      </c>
      <c r="U126" s="111" t="str">
        <f aca="false">IFERROR(INDEX('Historical Data'!$AE$2:$AE$9,MATCH($A126,'Historical Data'!$BE$2:$BE$9,0)),"")</f>
        <v/>
      </c>
      <c r="V126" s="111" t="str">
        <f aca="false">IFERROR(INDEX('Historical Data'!$AH$2:$AH$9,MATCH($A126,'Historical Data'!$BE$2:$BE$9,0)),"")</f>
        <v/>
      </c>
      <c r="W126" s="111" t="str">
        <f aca="false">IFERROR(INDEX('Historical Data'!$BC$2:$BC$9,MATCH($A126,'Historical Data'!$BE$2:$BE$9,0)),"")</f>
        <v/>
      </c>
      <c r="X126" s="110" t="str">
        <f aca="false">IF(B126="","",IF(W126=1,"NR + industry + position",IF(W126=2,"NR + ISO + position",IF(W126=3,"NR + industry",IF(W126=4,"NR + ISO",IF(W126=5,"NR + position",IF(W126=6,"NR only","book baseline"))))))&amp;"  ["&amp;IF(T126=1,"seasoned","unseasoned")&amp;IF(U126=1,", defaulted","")&amp;IF(V126=1,", open","")&amp;"]")</f>
        <v/>
      </c>
    </row>
    <row r="127" customFormat="false" ht="15" hidden="false" customHeight="false" outlineLevel="0" collapsed="false">
      <c r="A127" s="110" t="n">
        <v>123</v>
      </c>
      <c r="B127" s="111" t="str">
        <f aca="false">IFERROR(INDEX('Historical Data'!$A$2:$A$9,MATCH($A127,'Historical Data'!$BE$2:$BE$9,0)),"")</f>
        <v/>
      </c>
      <c r="C127" s="111" t="str">
        <f aca="false">IFERROR(INDEX('Historical Data'!$B$2:$B$9,MATCH($A127,'Historical Data'!$BE$2:$BE$9,0)),"")</f>
        <v/>
      </c>
      <c r="D127" s="111" t="str">
        <f aca="false">IFERROR(INDEX('Historical Data'!$D$2:$D$9,MATCH($A127,'Historical Data'!$BE$2:$BE$9,0)),"")</f>
        <v/>
      </c>
      <c r="E127" s="112" t="str">
        <f aca="false">IFERROR(INDEX('Historical Data'!$E$2:$E$9,MATCH($A127,'Historical Data'!$BE$2:$BE$9,0)),"")</f>
        <v/>
      </c>
      <c r="F127" s="111" t="str">
        <f aca="false">IFERROR(INDEX('Historical Data'!$G$2:$G$9,MATCH($A127,'Historical Data'!$BE$2:$BE$9,0)),"")</f>
        <v/>
      </c>
      <c r="G127" s="111" t="str">
        <f aca="false">IFERROR(INDEX('Historical Data'!$Y$2:$Y$9,MATCH($A127,'Historical Data'!$BE$2:$BE$9,0)),"")</f>
        <v/>
      </c>
      <c r="H127" s="111" t="str">
        <f aca="false">IFERROR(INDEX('Historical Data'!$K$2:$K$9,MATCH($A127,'Historical Data'!$BE$2:$BE$9,0)),"")</f>
        <v/>
      </c>
      <c r="I127" s="111" t="str">
        <f aca="false">IFERROR(INDEX('Historical Data'!$J$2:$J$9,MATCH($A127,'Historical Data'!$BE$2:$BE$9,0)),"")</f>
        <v/>
      </c>
      <c r="J127" s="111" t="str">
        <f aca="false">IFERROR(INDEX('Historical Data'!$L$2:$L$9,MATCH($A127,'Historical Data'!$BE$2:$BE$9,0)),"")</f>
        <v/>
      </c>
      <c r="K127" s="113" t="str">
        <f aca="false">IFERROR(INDEX('Historical Data'!$M$2:$M$9,MATCH($A127,'Historical Data'!$BE$2:$BE$9,0)),"")</f>
        <v/>
      </c>
      <c r="L127" s="114" t="str">
        <f aca="false">IFERROR(INDEX('Historical Data'!$N$2:$N$9,MATCH($A127,'Historical Data'!$BE$2:$BE$9,0)),"")</f>
        <v/>
      </c>
      <c r="M127" s="114" t="str">
        <f aca="false">IFERROR(INDEX('Historical Data'!$Q$2:$Q$9,MATCH($A127,'Historical Data'!$BE$2:$BE$9,0)),"")</f>
        <v/>
      </c>
      <c r="N127" s="115" t="str">
        <f aca="false">IFERROR(INDEX('Historical Data'!$S$2:$S$9,MATCH($A127,'Historical Data'!$BE$2:$BE$9,0)),"")</f>
        <v/>
      </c>
      <c r="O127" s="114" t="str">
        <f aca="false">IFERROR(INDEX('Historical Data'!$AJ$2:$AJ$9,MATCH($A127,'Historical Data'!$BE$2:$BE$9,0)),"")</f>
        <v/>
      </c>
      <c r="P127" s="114" t="str">
        <f aca="false">IFERROR(INDEX('Historical Data'!$AK$2:$AK$9,MATCH($A127,'Historical Data'!$BE$2:$BE$9,0)),"")</f>
        <v/>
      </c>
      <c r="Q127" s="111" t="str">
        <f aca="false">IFERROR(INDEX('Historical Data'!$AA$2:$AA$9,MATCH($A127,'Historical Data'!$BE$2:$BE$9,0)),"")</f>
        <v/>
      </c>
      <c r="R127" s="111" t="str">
        <f aca="false">IFERROR(INDEX('Historical Data'!$AB$2:$AB$9,MATCH($A127,'Historical Data'!$BE$2:$BE$9,0)),"")</f>
        <v/>
      </c>
      <c r="S127" s="111" t="str">
        <f aca="false">IFERROR(INDEX('Historical Data'!$AN$2:$AN$9,MATCH($A127,'Historical Data'!$BE$2:$BE$9,0)),"")</f>
        <v/>
      </c>
      <c r="T127" s="111" t="str">
        <f aca="false">IFERROR(INDEX('Historical Data'!$AC$2:$AC$9,MATCH($A127,'Historical Data'!$BE$2:$BE$9,0)),"")</f>
        <v/>
      </c>
      <c r="U127" s="111" t="str">
        <f aca="false">IFERROR(INDEX('Historical Data'!$AE$2:$AE$9,MATCH($A127,'Historical Data'!$BE$2:$BE$9,0)),"")</f>
        <v/>
      </c>
      <c r="V127" s="111" t="str">
        <f aca="false">IFERROR(INDEX('Historical Data'!$AH$2:$AH$9,MATCH($A127,'Historical Data'!$BE$2:$BE$9,0)),"")</f>
        <v/>
      </c>
      <c r="W127" s="111" t="str">
        <f aca="false">IFERROR(INDEX('Historical Data'!$BC$2:$BC$9,MATCH($A127,'Historical Data'!$BE$2:$BE$9,0)),"")</f>
        <v/>
      </c>
      <c r="X127" s="110" t="str">
        <f aca="false">IF(B127="","",IF(W127=1,"NR + industry + position",IF(W127=2,"NR + ISO + position",IF(W127=3,"NR + industry",IF(W127=4,"NR + ISO",IF(W127=5,"NR + position",IF(W127=6,"NR only","book baseline"))))))&amp;"  ["&amp;IF(T127=1,"seasoned","unseasoned")&amp;IF(U127=1,", defaulted","")&amp;IF(V127=1,", open","")&amp;"]")</f>
        <v/>
      </c>
    </row>
    <row r="128" customFormat="false" ht="15" hidden="false" customHeight="false" outlineLevel="0" collapsed="false">
      <c r="A128" s="110" t="n">
        <v>124</v>
      </c>
      <c r="B128" s="111" t="str">
        <f aca="false">IFERROR(INDEX('Historical Data'!$A$2:$A$9,MATCH($A128,'Historical Data'!$BE$2:$BE$9,0)),"")</f>
        <v/>
      </c>
      <c r="C128" s="111" t="str">
        <f aca="false">IFERROR(INDEX('Historical Data'!$B$2:$B$9,MATCH($A128,'Historical Data'!$BE$2:$BE$9,0)),"")</f>
        <v/>
      </c>
      <c r="D128" s="111" t="str">
        <f aca="false">IFERROR(INDEX('Historical Data'!$D$2:$D$9,MATCH($A128,'Historical Data'!$BE$2:$BE$9,0)),"")</f>
        <v/>
      </c>
      <c r="E128" s="112" t="str">
        <f aca="false">IFERROR(INDEX('Historical Data'!$E$2:$E$9,MATCH($A128,'Historical Data'!$BE$2:$BE$9,0)),"")</f>
        <v/>
      </c>
      <c r="F128" s="111" t="str">
        <f aca="false">IFERROR(INDEX('Historical Data'!$G$2:$G$9,MATCH($A128,'Historical Data'!$BE$2:$BE$9,0)),"")</f>
        <v/>
      </c>
      <c r="G128" s="111" t="str">
        <f aca="false">IFERROR(INDEX('Historical Data'!$Y$2:$Y$9,MATCH($A128,'Historical Data'!$BE$2:$BE$9,0)),"")</f>
        <v/>
      </c>
      <c r="H128" s="111" t="str">
        <f aca="false">IFERROR(INDEX('Historical Data'!$K$2:$K$9,MATCH($A128,'Historical Data'!$BE$2:$BE$9,0)),"")</f>
        <v/>
      </c>
      <c r="I128" s="111" t="str">
        <f aca="false">IFERROR(INDEX('Historical Data'!$J$2:$J$9,MATCH($A128,'Historical Data'!$BE$2:$BE$9,0)),"")</f>
        <v/>
      </c>
      <c r="J128" s="111" t="str">
        <f aca="false">IFERROR(INDEX('Historical Data'!$L$2:$L$9,MATCH($A128,'Historical Data'!$BE$2:$BE$9,0)),"")</f>
        <v/>
      </c>
      <c r="K128" s="113" t="str">
        <f aca="false">IFERROR(INDEX('Historical Data'!$M$2:$M$9,MATCH($A128,'Historical Data'!$BE$2:$BE$9,0)),"")</f>
        <v/>
      </c>
      <c r="L128" s="114" t="str">
        <f aca="false">IFERROR(INDEX('Historical Data'!$N$2:$N$9,MATCH($A128,'Historical Data'!$BE$2:$BE$9,0)),"")</f>
        <v/>
      </c>
      <c r="M128" s="114" t="str">
        <f aca="false">IFERROR(INDEX('Historical Data'!$Q$2:$Q$9,MATCH($A128,'Historical Data'!$BE$2:$BE$9,0)),"")</f>
        <v/>
      </c>
      <c r="N128" s="115" t="str">
        <f aca="false">IFERROR(INDEX('Historical Data'!$S$2:$S$9,MATCH($A128,'Historical Data'!$BE$2:$BE$9,0)),"")</f>
        <v/>
      </c>
      <c r="O128" s="114" t="str">
        <f aca="false">IFERROR(INDEX('Historical Data'!$AJ$2:$AJ$9,MATCH($A128,'Historical Data'!$BE$2:$BE$9,0)),"")</f>
        <v/>
      </c>
      <c r="P128" s="114" t="str">
        <f aca="false">IFERROR(INDEX('Historical Data'!$AK$2:$AK$9,MATCH($A128,'Historical Data'!$BE$2:$BE$9,0)),"")</f>
        <v/>
      </c>
      <c r="Q128" s="111" t="str">
        <f aca="false">IFERROR(INDEX('Historical Data'!$AA$2:$AA$9,MATCH($A128,'Historical Data'!$BE$2:$BE$9,0)),"")</f>
        <v/>
      </c>
      <c r="R128" s="111" t="str">
        <f aca="false">IFERROR(INDEX('Historical Data'!$AB$2:$AB$9,MATCH($A128,'Historical Data'!$BE$2:$BE$9,0)),"")</f>
        <v/>
      </c>
      <c r="S128" s="111" t="str">
        <f aca="false">IFERROR(INDEX('Historical Data'!$AN$2:$AN$9,MATCH($A128,'Historical Data'!$BE$2:$BE$9,0)),"")</f>
        <v/>
      </c>
      <c r="T128" s="111" t="str">
        <f aca="false">IFERROR(INDEX('Historical Data'!$AC$2:$AC$9,MATCH($A128,'Historical Data'!$BE$2:$BE$9,0)),"")</f>
        <v/>
      </c>
      <c r="U128" s="111" t="str">
        <f aca="false">IFERROR(INDEX('Historical Data'!$AE$2:$AE$9,MATCH($A128,'Historical Data'!$BE$2:$BE$9,0)),"")</f>
        <v/>
      </c>
      <c r="V128" s="111" t="str">
        <f aca="false">IFERROR(INDEX('Historical Data'!$AH$2:$AH$9,MATCH($A128,'Historical Data'!$BE$2:$BE$9,0)),"")</f>
        <v/>
      </c>
      <c r="W128" s="111" t="str">
        <f aca="false">IFERROR(INDEX('Historical Data'!$BC$2:$BC$9,MATCH($A128,'Historical Data'!$BE$2:$BE$9,0)),"")</f>
        <v/>
      </c>
      <c r="X128" s="110" t="str">
        <f aca="false">IF(B128="","",IF(W128=1,"NR + industry + position",IF(W128=2,"NR + ISO + position",IF(W128=3,"NR + industry",IF(W128=4,"NR + ISO",IF(W128=5,"NR + position",IF(W128=6,"NR only","book baseline"))))))&amp;"  ["&amp;IF(T128=1,"seasoned","unseasoned")&amp;IF(U128=1,", defaulted","")&amp;IF(V128=1,", open","")&amp;"]")</f>
        <v/>
      </c>
    </row>
    <row r="129" customFormat="false" ht="15" hidden="false" customHeight="false" outlineLevel="0" collapsed="false">
      <c r="A129" s="110" t="n">
        <v>125</v>
      </c>
      <c r="B129" s="111" t="str">
        <f aca="false">IFERROR(INDEX('Historical Data'!$A$2:$A$9,MATCH($A129,'Historical Data'!$BE$2:$BE$9,0)),"")</f>
        <v/>
      </c>
      <c r="C129" s="111" t="str">
        <f aca="false">IFERROR(INDEX('Historical Data'!$B$2:$B$9,MATCH($A129,'Historical Data'!$BE$2:$BE$9,0)),"")</f>
        <v/>
      </c>
      <c r="D129" s="111" t="str">
        <f aca="false">IFERROR(INDEX('Historical Data'!$D$2:$D$9,MATCH($A129,'Historical Data'!$BE$2:$BE$9,0)),"")</f>
        <v/>
      </c>
      <c r="E129" s="112" t="str">
        <f aca="false">IFERROR(INDEX('Historical Data'!$E$2:$E$9,MATCH($A129,'Historical Data'!$BE$2:$BE$9,0)),"")</f>
        <v/>
      </c>
      <c r="F129" s="111" t="str">
        <f aca="false">IFERROR(INDEX('Historical Data'!$G$2:$G$9,MATCH($A129,'Historical Data'!$BE$2:$BE$9,0)),"")</f>
        <v/>
      </c>
      <c r="G129" s="111" t="str">
        <f aca="false">IFERROR(INDEX('Historical Data'!$Y$2:$Y$9,MATCH($A129,'Historical Data'!$BE$2:$BE$9,0)),"")</f>
        <v/>
      </c>
      <c r="H129" s="111" t="str">
        <f aca="false">IFERROR(INDEX('Historical Data'!$K$2:$K$9,MATCH($A129,'Historical Data'!$BE$2:$BE$9,0)),"")</f>
        <v/>
      </c>
      <c r="I129" s="111" t="str">
        <f aca="false">IFERROR(INDEX('Historical Data'!$J$2:$J$9,MATCH($A129,'Historical Data'!$BE$2:$BE$9,0)),"")</f>
        <v/>
      </c>
      <c r="J129" s="111" t="str">
        <f aca="false">IFERROR(INDEX('Historical Data'!$L$2:$L$9,MATCH($A129,'Historical Data'!$BE$2:$BE$9,0)),"")</f>
        <v/>
      </c>
      <c r="K129" s="113" t="str">
        <f aca="false">IFERROR(INDEX('Historical Data'!$M$2:$M$9,MATCH($A129,'Historical Data'!$BE$2:$BE$9,0)),"")</f>
        <v/>
      </c>
      <c r="L129" s="114" t="str">
        <f aca="false">IFERROR(INDEX('Historical Data'!$N$2:$N$9,MATCH($A129,'Historical Data'!$BE$2:$BE$9,0)),"")</f>
        <v/>
      </c>
      <c r="M129" s="114" t="str">
        <f aca="false">IFERROR(INDEX('Historical Data'!$Q$2:$Q$9,MATCH($A129,'Historical Data'!$BE$2:$BE$9,0)),"")</f>
        <v/>
      </c>
      <c r="N129" s="115" t="str">
        <f aca="false">IFERROR(INDEX('Historical Data'!$S$2:$S$9,MATCH($A129,'Historical Data'!$BE$2:$BE$9,0)),"")</f>
        <v/>
      </c>
      <c r="O129" s="114" t="str">
        <f aca="false">IFERROR(INDEX('Historical Data'!$AJ$2:$AJ$9,MATCH($A129,'Historical Data'!$BE$2:$BE$9,0)),"")</f>
        <v/>
      </c>
      <c r="P129" s="114" t="str">
        <f aca="false">IFERROR(INDEX('Historical Data'!$AK$2:$AK$9,MATCH($A129,'Historical Data'!$BE$2:$BE$9,0)),"")</f>
        <v/>
      </c>
      <c r="Q129" s="111" t="str">
        <f aca="false">IFERROR(INDEX('Historical Data'!$AA$2:$AA$9,MATCH($A129,'Historical Data'!$BE$2:$BE$9,0)),"")</f>
        <v/>
      </c>
      <c r="R129" s="111" t="str">
        <f aca="false">IFERROR(INDEX('Historical Data'!$AB$2:$AB$9,MATCH($A129,'Historical Data'!$BE$2:$BE$9,0)),"")</f>
        <v/>
      </c>
      <c r="S129" s="111" t="str">
        <f aca="false">IFERROR(INDEX('Historical Data'!$AN$2:$AN$9,MATCH($A129,'Historical Data'!$BE$2:$BE$9,0)),"")</f>
        <v/>
      </c>
      <c r="T129" s="111" t="str">
        <f aca="false">IFERROR(INDEX('Historical Data'!$AC$2:$AC$9,MATCH($A129,'Historical Data'!$BE$2:$BE$9,0)),"")</f>
        <v/>
      </c>
      <c r="U129" s="111" t="str">
        <f aca="false">IFERROR(INDEX('Historical Data'!$AE$2:$AE$9,MATCH($A129,'Historical Data'!$BE$2:$BE$9,0)),"")</f>
        <v/>
      </c>
      <c r="V129" s="111" t="str">
        <f aca="false">IFERROR(INDEX('Historical Data'!$AH$2:$AH$9,MATCH($A129,'Historical Data'!$BE$2:$BE$9,0)),"")</f>
        <v/>
      </c>
      <c r="W129" s="111" t="str">
        <f aca="false">IFERROR(INDEX('Historical Data'!$BC$2:$BC$9,MATCH($A129,'Historical Data'!$BE$2:$BE$9,0)),"")</f>
        <v/>
      </c>
      <c r="X129" s="110" t="str">
        <f aca="false">IF(B129="","",IF(W129=1,"NR + industry + position",IF(W129=2,"NR + ISO + position",IF(W129=3,"NR + industry",IF(W129=4,"NR + ISO",IF(W129=5,"NR + position",IF(W129=6,"NR only","book baseline"))))))&amp;"  ["&amp;IF(T129=1,"seasoned","unseasoned")&amp;IF(U129=1,", defaulted","")&amp;IF(V129=1,", open","")&amp;"]")</f>
        <v/>
      </c>
    </row>
    <row r="130" customFormat="false" ht="15" hidden="false" customHeight="false" outlineLevel="0" collapsed="false">
      <c r="A130" s="110" t="n">
        <v>126</v>
      </c>
      <c r="B130" s="111" t="str">
        <f aca="false">IFERROR(INDEX('Historical Data'!$A$2:$A$9,MATCH($A130,'Historical Data'!$BE$2:$BE$9,0)),"")</f>
        <v/>
      </c>
      <c r="C130" s="111" t="str">
        <f aca="false">IFERROR(INDEX('Historical Data'!$B$2:$B$9,MATCH($A130,'Historical Data'!$BE$2:$BE$9,0)),"")</f>
        <v/>
      </c>
      <c r="D130" s="111" t="str">
        <f aca="false">IFERROR(INDEX('Historical Data'!$D$2:$D$9,MATCH($A130,'Historical Data'!$BE$2:$BE$9,0)),"")</f>
        <v/>
      </c>
      <c r="E130" s="112" t="str">
        <f aca="false">IFERROR(INDEX('Historical Data'!$E$2:$E$9,MATCH($A130,'Historical Data'!$BE$2:$BE$9,0)),"")</f>
        <v/>
      </c>
      <c r="F130" s="111" t="str">
        <f aca="false">IFERROR(INDEX('Historical Data'!$G$2:$G$9,MATCH($A130,'Historical Data'!$BE$2:$BE$9,0)),"")</f>
        <v/>
      </c>
      <c r="G130" s="111" t="str">
        <f aca="false">IFERROR(INDEX('Historical Data'!$Y$2:$Y$9,MATCH($A130,'Historical Data'!$BE$2:$BE$9,0)),"")</f>
        <v/>
      </c>
      <c r="H130" s="111" t="str">
        <f aca="false">IFERROR(INDEX('Historical Data'!$K$2:$K$9,MATCH($A130,'Historical Data'!$BE$2:$BE$9,0)),"")</f>
        <v/>
      </c>
      <c r="I130" s="111" t="str">
        <f aca="false">IFERROR(INDEX('Historical Data'!$J$2:$J$9,MATCH($A130,'Historical Data'!$BE$2:$BE$9,0)),"")</f>
        <v/>
      </c>
      <c r="J130" s="111" t="str">
        <f aca="false">IFERROR(INDEX('Historical Data'!$L$2:$L$9,MATCH($A130,'Historical Data'!$BE$2:$BE$9,0)),"")</f>
        <v/>
      </c>
      <c r="K130" s="113" t="str">
        <f aca="false">IFERROR(INDEX('Historical Data'!$M$2:$M$9,MATCH($A130,'Historical Data'!$BE$2:$BE$9,0)),"")</f>
        <v/>
      </c>
      <c r="L130" s="114" t="str">
        <f aca="false">IFERROR(INDEX('Historical Data'!$N$2:$N$9,MATCH($A130,'Historical Data'!$BE$2:$BE$9,0)),"")</f>
        <v/>
      </c>
      <c r="M130" s="114" t="str">
        <f aca="false">IFERROR(INDEX('Historical Data'!$Q$2:$Q$9,MATCH($A130,'Historical Data'!$BE$2:$BE$9,0)),"")</f>
        <v/>
      </c>
      <c r="N130" s="115" t="str">
        <f aca="false">IFERROR(INDEX('Historical Data'!$S$2:$S$9,MATCH($A130,'Historical Data'!$BE$2:$BE$9,0)),"")</f>
        <v/>
      </c>
      <c r="O130" s="114" t="str">
        <f aca="false">IFERROR(INDEX('Historical Data'!$AJ$2:$AJ$9,MATCH($A130,'Historical Data'!$BE$2:$BE$9,0)),"")</f>
        <v/>
      </c>
      <c r="P130" s="114" t="str">
        <f aca="false">IFERROR(INDEX('Historical Data'!$AK$2:$AK$9,MATCH($A130,'Historical Data'!$BE$2:$BE$9,0)),"")</f>
        <v/>
      </c>
      <c r="Q130" s="111" t="str">
        <f aca="false">IFERROR(INDEX('Historical Data'!$AA$2:$AA$9,MATCH($A130,'Historical Data'!$BE$2:$BE$9,0)),"")</f>
        <v/>
      </c>
      <c r="R130" s="111" t="str">
        <f aca="false">IFERROR(INDEX('Historical Data'!$AB$2:$AB$9,MATCH($A130,'Historical Data'!$BE$2:$BE$9,0)),"")</f>
        <v/>
      </c>
      <c r="S130" s="111" t="str">
        <f aca="false">IFERROR(INDEX('Historical Data'!$AN$2:$AN$9,MATCH($A130,'Historical Data'!$BE$2:$BE$9,0)),"")</f>
        <v/>
      </c>
      <c r="T130" s="111" t="str">
        <f aca="false">IFERROR(INDEX('Historical Data'!$AC$2:$AC$9,MATCH($A130,'Historical Data'!$BE$2:$BE$9,0)),"")</f>
        <v/>
      </c>
      <c r="U130" s="111" t="str">
        <f aca="false">IFERROR(INDEX('Historical Data'!$AE$2:$AE$9,MATCH($A130,'Historical Data'!$BE$2:$BE$9,0)),"")</f>
        <v/>
      </c>
      <c r="V130" s="111" t="str">
        <f aca="false">IFERROR(INDEX('Historical Data'!$AH$2:$AH$9,MATCH($A130,'Historical Data'!$BE$2:$BE$9,0)),"")</f>
        <v/>
      </c>
      <c r="W130" s="111" t="str">
        <f aca="false">IFERROR(INDEX('Historical Data'!$BC$2:$BC$9,MATCH($A130,'Historical Data'!$BE$2:$BE$9,0)),"")</f>
        <v/>
      </c>
      <c r="X130" s="110" t="str">
        <f aca="false">IF(B130="","",IF(W130=1,"NR + industry + position",IF(W130=2,"NR + ISO + position",IF(W130=3,"NR + industry",IF(W130=4,"NR + ISO",IF(W130=5,"NR + position",IF(W130=6,"NR only","book baseline"))))))&amp;"  ["&amp;IF(T130=1,"seasoned","unseasoned")&amp;IF(U130=1,", defaulted","")&amp;IF(V130=1,", open","")&amp;"]")</f>
        <v/>
      </c>
    </row>
    <row r="131" customFormat="false" ht="15" hidden="false" customHeight="false" outlineLevel="0" collapsed="false">
      <c r="A131" s="110" t="n">
        <v>127</v>
      </c>
      <c r="B131" s="111" t="str">
        <f aca="false">IFERROR(INDEX('Historical Data'!$A$2:$A$9,MATCH($A131,'Historical Data'!$BE$2:$BE$9,0)),"")</f>
        <v/>
      </c>
      <c r="C131" s="111" t="str">
        <f aca="false">IFERROR(INDEX('Historical Data'!$B$2:$B$9,MATCH($A131,'Historical Data'!$BE$2:$BE$9,0)),"")</f>
        <v/>
      </c>
      <c r="D131" s="111" t="str">
        <f aca="false">IFERROR(INDEX('Historical Data'!$D$2:$D$9,MATCH($A131,'Historical Data'!$BE$2:$BE$9,0)),"")</f>
        <v/>
      </c>
      <c r="E131" s="112" t="str">
        <f aca="false">IFERROR(INDEX('Historical Data'!$E$2:$E$9,MATCH($A131,'Historical Data'!$BE$2:$BE$9,0)),"")</f>
        <v/>
      </c>
      <c r="F131" s="111" t="str">
        <f aca="false">IFERROR(INDEX('Historical Data'!$G$2:$G$9,MATCH($A131,'Historical Data'!$BE$2:$BE$9,0)),"")</f>
        <v/>
      </c>
      <c r="G131" s="111" t="str">
        <f aca="false">IFERROR(INDEX('Historical Data'!$Y$2:$Y$9,MATCH($A131,'Historical Data'!$BE$2:$BE$9,0)),"")</f>
        <v/>
      </c>
      <c r="H131" s="111" t="str">
        <f aca="false">IFERROR(INDEX('Historical Data'!$K$2:$K$9,MATCH($A131,'Historical Data'!$BE$2:$BE$9,0)),"")</f>
        <v/>
      </c>
      <c r="I131" s="111" t="str">
        <f aca="false">IFERROR(INDEX('Historical Data'!$J$2:$J$9,MATCH($A131,'Historical Data'!$BE$2:$BE$9,0)),"")</f>
        <v/>
      </c>
      <c r="J131" s="111" t="str">
        <f aca="false">IFERROR(INDEX('Historical Data'!$L$2:$L$9,MATCH($A131,'Historical Data'!$BE$2:$BE$9,0)),"")</f>
        <v/>
      </c>
      <c r="K131" s="113" t="str">
        <f aca="false">IFERROR(INDEX('Historical Data'!$M$2:$M$9,MATCH($A131,'Historical Data'!$BE$2:$BE$9,0)),"")</f>
        <v/>
      </c>
      <c r="L131" s="114" t="str">
        <f aca="false">IFERROR(INDEX('Historical Data'!$N$2:$N$9,MATCH($A131,'Historical Data'!$BE$2:$BE$9,0)),"")</f>
        <v/>
      </c>
      <c r="M131" s="114" t="str">
        <f aca="false">IFERROR(INDEX('Historical Data'!$Q$2:$Q$9,MATCH($A131,'Historical Data'!$BE$2:$BE$9,0)),"")</f>
        <v/>
      </c>
      <c r="N131" s="115" t="str">
        <f aca="false">IFERROR(INDEX('Historical Data'!$S$2:$S$9,MATCH($A131,'Historical Data'!$BE$2:$BE$9,0)),"")</f>
        <v/>
      </c>
      <c r="O131" s="114" t="str">
        <f aca="false">IFERROR(INDEX('Historical Data'!$AJ$2:$AJ$9,MATCH($A131,'Historical Data'!$BE$2:$BE$9,0)),"")</f>
        <v/>
      </c>
      <c r="P131" s="114" t="str">
        <f aca="false">IFERROR(INDEX('Historical Data'!$AK$2:$AK$9,MATCH($A131,'Historical Data'!$BE$2:$BE$9,0)),"")</f>
        <v/>
      </c>
      <c r="Q131" s="111" t="str">
        <f aca="false">IFERROR(INDEX('Historical Data'!$AA$2:$AA$9,MATCH($A131,'Historical Data'!$BE$2:$BE$9,0)),"")</f>
        <v/>
      </c>
      <c r="R131" s="111" t="str">
        <f aca="false">IFERROR(INDEX('Historical Data'!$AB$2:$AB$9,MATCH($A131,'Historical Data'!$BE$2:$BE$9,0)),"")</f>
        <v/>
      </c>
      <c r="S131" s="111" t="str">
        <f aca="false">IFERROR(INDEX('Historical Data'!$AN$2:$AN$9,MATCH($A131,'Historical Data'!$BE$2:$BE$9,0)),"")</f>
        <v/>
      </c>
      <c r="T131" s="111" t="str">
        <f aca="false">IFERROR(INDEX('Historical Data'!$AC$2:$AC$9,MATCH($A131,'Historical Data'!$BE$2:$BE$9,0)),"")</f>
        <v/>
      </c>
      <c r="U131" s="111" t="str">
        <f aca="false">IFERROR(INDEX('Historical Data'!$AE$2:$AE$9,MATCH($A131,'Historical Data'!$BE$2:$BE$9,0)),"")</f>
        <v/>
      </c>
      <c r="V131" s="111" t="str">
        <f aca="false">IFERROR(INDEX('Historical Data'!$AH$2:$AH$9,MATCH($A131,'Historical Data'!$BE$2:$BE$9,0)),"")</f>
        <v/>
      </c>
      <c r="W131" s="111" t="str">
        <f aca="false">IFERROR(INDEX('Historical Data'!$BC$2:$BC$9,MATCH($A131,'Historical Data'!$BE$2:$BE$9,0)),"")</f>
        <v/>
      </c>
      <c r="X131" s="110" t="str">
        <f aca="false">IF(B131="","",IF(W131=1,"NR + industry + position",IF(W131=2,"NR + ISO + position",IF(W131=3,"NR + industry",IF(W131=4,"NR + ISO",IF(W131=5,"NR + position",IF(W131=6,"NR only","book baseline"))))))&amp;"  ["&amp;IF(T131=1,"seasoned","unseasoned")&amp;IF(U131=1,", defaulted","")&amp;IF(V131=1,", open","")&amp;"]")</f>
        <v/>
      </c>
    </row>
    <row r="132" customFormat="false" ht="15" hidden="false" customHeight="false" outlineLevel="0" collapsed="false">
      <c r="A132" s="110" t="n">
        <v>128</v>
      </c>
      <c r="B132" s="111" t="str">
        <f aca="false">IFERROR(INDEX('Historical Data'!$A$2:$A$9,MATCH($A132,'Historical Data'!$BE$2:$BE$9,0)),"")</f>
        <v/>
      </c>
      <c r="C132" s="111" t="str">
        <f aca="false">IFERROR(INDEX('Historical Data'!$B$2:$B$9,MATCH($A132,'Historical Data'!$BE$2:$BE$9,0)),"")</f>
        <v/>
      </c>
      <c r="D132" s="111" t="str">
        <f aca="false">IFERROR(INDEX('Historical Data'!$D$2:$D$9,MATCH($A132,'Historical Data'!$BE$2:$BE$9,0)),"")</f>
        <v/>
      </c>
      <c r="E132" s="112" t="str">
        <f aca="false">IFERROR(INDEX('Historical Data'!$E$2:$E$9,MATCH($A132,'Historical Data'!$BE$2:$BE$9,0)),"")</f>
        <v/>
      </c>
      <c r="F132" s="111" t="str">
        <f aca="false">IFERROR(INDEX('Historical Data'!$G$2:$G$9,MATCH($A132,'Historical Data'!$BE$2:$BE$9,0)),"")</f>
        <v/>
      </c>
      <c r="G132" s="111" t="str">
        <f aca="false">IFERROR(INDEX('Historical Data'!$Y$2:$Y$9,MATCH($A132,'Historical Data'!$BE$2:$BE$9,0)),"")</f>
        <v/>
      </c>
      <c r="H132" s="111" t="str">
        <f aca="false">IFERROR(INDEX('Historical Data'!$K$2:$K$9,MATCH($A132,'Historical Data'!$BE$2:$BE$9,0)),"")</f>
        <v/>
      </c>
      <c r="I132" s="111" t="str">
        <f aca="false">IFERROR(INDEX('Historical Data'!$J$2:$J$9,MATCH($A132,'Historical Data'!$BE$2:$BE$9,0)),"")</f>
        <v/>
      </c>
      <c r="J132" s="111" t="str">
        <f aca="false">IFERROR(INDEX('Historical Data'!$L$2:$L$9,MATCH($A132,'Historical Data'!$BE$2:$BE$9,0)),"")</f>
        <v/>
      </c>
      <c r="K132" s="113" t="str">
        <f aca="false">IFERROR(INDEX('Historical Data'!$M$2:$M$9,MATCH($A132,'Historical Data'!$BE$2:$BE$9,0)),"")</f>
        <v/>
      </c>
      <c r="L132" s="114" t="str">
        <f aca="false">IFERROR(INDEX('Historical Data'!$N$2:$N$9,MATCH($A132,'Historical Data'!$BE$2:$BE$9,0)),"")</f>
        <v/>
      </c>
      <c r="M132" s="114" t="str">
        <f aca="false">IFERROR(INDEX('Historical Data'!$Q$2:$Q$9,MATCH($A132,'Historical Data'!$BE$2:$BE$9,0)),"")</f>
        <v/>
      </c>
      <c r="N132" s="115" t="str">
        <f aca="false">IFERROR(INDEX('Historical Data'!$S$2:$S$9,MATCH($A132,'Historical Data'!$BE$2:$BE$9,0)),"")</f>
        <v/>
      </c>
      <c r="O132" s="114" t="str">
        <f aca="false">IFERROR(INDEX('Historical Data'!$AJ$2:$AJ$9,MATCH($A132,'Historical Data'!$BE$2:$BE$9,0)),"")</f>
        <v/>
      </c>
      <c r="P132" s="114" t="str">
        <f aca="false">IFERROR(INDEX('Historical Data'!$AK$2:$AK$9,MATCH($A132,'Historical Data'!$BE$2:$BE$9,0)),"")</f>
        <v/>
      </c>
      <c r="Q132" s="111" t="str">
        <f aca="false">IFERROR(INDEX('Historical Data'!$AA$2:$AA$9,MATCH($A132,'Historical Data'!$BE$2:$BE$9,0)),"")</f>
        <v/>
      </c>
      <c r="R132" s="111" t="str">
        <f aca="false">IFERROR(INDEX('Historical Data'!$AB$2:$AB$9,MATCH($A132,'Historical Data'!$BE$2:$BE$9,0)),"")</f>
        <v/>
      </c>
      <c r="S132" s="111" t="str">
        <f aca="false">IFERROR(INDEX('Historical Data'!$AN$2:$AN$9,MATCH($A132,'Historical Data'!$BE$2:$BE$9,0)),"")</f>
        <v/>
      </c>
      <c r="T132" s="111" t="str">
        <f aca="false">IFERROR(INDEX('Historical Data'!$AC$2:$AC$9,MATCH($A132,'Historical Data'!$BE$2:$BE$9,0)),"")</f>
        <v/>
      </c>
      <c r="U132" s="111" t="str">
        <f aca="false">IFERROR(INDEX('Historical Data'!$AE$2:$AE$9,MATCH($A132,'Historical Data'!$BE$2:$BE$9,0)),"")</f>
        <v/>
      </c>
      <c r="V132" s="111" t="str">
        <f aca="false">IFERROR(INDEX('Historical Data'!$AH$2:$AH$9,MATCH($A132,'Historical Data'!$BE$2:$BE$9,0)),"")</f>
        <v/>
      </c>
      <c r="W132" s="111" t="str">
        <f aca="false">IFERROR(INDEX('Historical Data'!$BC$2:$BC$9,MATCH($A132,'Historical Data'!$BE$2:$BE$9,0)),"")</f>
        <v/>
      </c>
      <c r="X132" s="110" t="str">
        <f aca="false">IF(B132="","",IF(W132=1,"NR + industry + position",IF(W132=2,"NR + ISO + position",IF(W132=3,"NR + industry",IF(W132=4,"NR + ISO",IF(W132=5,"NR + position",IF(W132=6,"NR only","book baseline"))))))&amp;"  ["&amp;IF(T132=1,"seasoned","unseasoned")&amp;IF(U132=1,", defaulted","")&amp;IF(V132=1,", open","")&amp;"]")</f>
        <v/>
      </c>
    </row>
    <row r="133" customFormat="false" ht="15" hidden="false" customHeight="false" outlineLevel="0" collapsed="false">
      <c r="A133" s="110" t="n">
        <v>129</v>
      </c>
      <c r="B133" s="111" t="str">
        <f aca="false">IFERROR(INDEX('Historical Data'!$A$2:$A$9,MATCH($A133,'Historical Data'!$BE$2:$BE$9,0)),"")</f>
        <v/>
      </c>
      <c r="C133" s="111" t="str">
        <f aca="false">IFERROR(INDEX('Historical Data'!$B$2:$B$9,MATCH($A133,'Historical Data'!$BE$2:$BE$9,0)),"")</f>
        <v/>
      </c>
      <c r="D133" s="111" t="str">
        <f aca="false">IFERROR(INDEX('Historical Data'!$D$2:$D$9,MATCH($A133,'Historical Data'!$BE$2:$BE$9,0)),"")</f>
        <v/>
      </c>
      <c r="E133" s="112" t="str">
        <f aca="false">IFERROR(INDEX('Historical Data'!$E$2:$E$9,MATCH($A133,'Historical Data'!$BE$2:$BE$9,0)),"")</f>
        <v/>
      </c>
      <c r="F133" s="111" t="str">
        <f aca="false">IFERROR(INDEX('Historical Data'!$G$2:$G$9,MATCH($A133,'Historical Data'!$BE$2:$BE$9,0)),"")</f>
        <v/>
      </c>
      <c r="G133" s="111" t="str">
        <f aca="false">IFERROR(INDEX('Historical Data'!$Y$2:$Y$9,MATCH($A133,'Historical Data'!$BE$2:$BE$9,0)),"")</f>
        <v/>
      </c>
      <c r="H133" s="111" t="str">
        <f aca="false">IFERROR(INDEX('Historical Data'!$K$2:$K$9,MATCH($A133,'Historical Data'!$BE$2:$BE$9,0)),"")</f>
        <v/>
      </c>
      <c r="I133" s="111" t="str">
        <f aca="false">IFERROR(INDEX('Historical Data'!$J$2:$J$9,MATCH($A133,'Historical Data'!$BE$2:$BE$9,0)),"")</f>
        <v/>
      </c>
      <c r="J133" s="111" t="str">
        <f aca="false">IFERROR(INDEX('Historical Data'!$L$2:$L$9,MATCH($A133,'Historical Data'!$BE$2:$BE$9,0)),"")</f>
        <v/>
      </c>
      <c r="K133" s="113" t="str">
        <f aca="false">IFERROR(INDEX('Historical Data'!$M$2:$M$9,MATCH($A133,'Historical Data'!$BE$2:$BE$9,0)),"")</f>
        <v/>
      </c>
      <c r="L133" s="114" t="str">
        <f aca="false">IFERROR(INDEX('Historical Data'!$N$2:$N$9,MATCH($A133,'Historical Data'!$BE$2:$BE$9,0)),"")</f>
        <v/>
      </c>
      <c r="M133" s="114" t="str">
        <f aca="false">IFERROR(INDEX('Historical Data'!$Q$2:$Q$9,MATCH($A133,'Historical Data'!$BE$2:$BE$9,0)),"")</f>
        <v/>
      </c>
      <c r="N133" s="115" t="str">
        <f aca="false">IFERROR(INDEX('Historical Data'!$S$2:$S$9,MATCH($A133,'Historical Data'!$BE$2:$BE$9,0)),"")</f>
        <v/>
      </c>
      <c r="O133" s="114" t="str">
        <f aca="false">IFERROR(INDEX('Historical Data'!$AJ$2:$AJ$9,MATCH($A133,'Historical Data'!$BE$2:$BE$9,0)),"")</f>
        <v/>
      </c>
      <c r="P133" s="114" t="str">
        <f aca="false">IFERROR(INDEX('Historical Data'!$AK$2:$AK$9,MATCH($A133,'Historical Data'!$BE$2:$BE$9,0)),"")</f>
        <v/>
      </c>
      <c r="Q133" s="111" t="str">
        <f aca="false">IFERROR(INDEX('Historical Data'!$AA$2:$AA$9,MATCH($A133,'Historical Data'!$BE$2:$BE$9,0)),"")</f>
        <v/>
      </c>
      <c r="R133" s="111" t="str">
        <f aca="false">IFERROR(INDEX('Historical Data'!$AB$2:$AB$9,MATCH($A133,'Historical Data'!$BE$2:$BE$9,0)),"")</f>
        <v/>
      </c>
      <c r="S133" s="111" t="str">
        <f aca="false">IFERROR(INDEX('Historical Data'!$AN$2:$AN$9,MATCH($A133,'Historical Data'!$BE$2:$BE$9,0)),"")</f>
        <v/>
      </c>
      <c r="T133" s="111" t="str">
        <f aca="false">IFERROR(INDEX('Historical Data'!$AC$2:$AC$9,MATCH($A133,'Historical Data'!$BE$2:$BE$9,0)),"")</f>
        <v/>
      </c>
      <c r="U133" s="111" t="str">
        <f aca="false">IFERROR(INDEX('Historical Data'!$AE$2:$AE$9,MATCH($A133,'Historical Data'!$BE$2:$BE$9,0)),"")</f>
        <v/>
      </c>
      <c r="V133" s="111" t="str">
        <f aca="false">IFERROR(INDEX('Historical Data'!$AH$2:$AH$9,MATCH($A133,'Historical Data'!$BE$2:$BE$9,0)),"")</f>
        <v/>
      </c>
      <c r="W133" s="111" t="str">
        <f aca="false">IFERROR(INDEX('Historical Data'!$BC$2:$BC$9,MATCH($A133,'Historical Data'!$BE$2:$BE$9,0)),"")</f>
        <v/>
      </c>
      <c r="X133" s="110" t="str">
        <f aca="false">IF(B133="","",IF(W133=1,"NR + industry + position",IF(W133=2,"NR + ISO + position",IF(W133=3,"NR + industry",IF(W133=4,"NR + ISO",IF(W133=5,"NR + position",IF(W133=6,"NR only","book baseline"))))))&amp;"  ["&amp;IF(T133=1,"seasoned","unseasoned")&amp;IF(U133=1,", defaulted","")&amp;IF(V133=1,", open","")&amp;"]")</f>
        <v/>
      </c>
    </row>
    <row r="134" customFormat="false" ht="15" hidden="false" customHeight="false" outlineLevel="0" collapsed="false">
      <c r="A134" s="110" t="n">
        <v>130</v>
      </c>
      <c r="B134" s="111" t="str">
        <f aca="false">IFERROR(INDEX('Historical Data'!$A$2:$A$9,MATCH($A134,'Historical Data'!$BE$2:$BE$9,0)),"")</f>
        <v/>
      </c>
      <c r="C134" s="111" t="str">
        <f aca="false">IFERROR(INDEX('Historical Data'!$B$2:$B$9,MATCH($A134,'Historical Data'!$BE$2:$BE$9,0)),"")</f>
        <v/>
      </c>
      <c r="D134" s="111" t="str">
        <f aca="false">IFERROR(INDEX('Historical Data'!$D$2:$D$9,MATCH($A134,'Historical Data'!$BE$2:$BE$9,0)),"")</f>
        <v/>
      </c>
      <c r="E134" s="112" t="str">
        <f aca="false">IFERROR(INDEX('Historical Data'!$E$2:$E$9,MATCH($A134,'Historical Data'!$BE$2:$BE$9,0)),"")</f>
        <v/>
      </c>
      <c r="F134" s="111" t="str">
        <f aca="false">IFERROR(INDEX('Historical Data'!$G$2:$G$9,MATCH($A134,'Historical Data'!$BE$2:$BE$9,0)),"")</f>
        <v/>
      </c>
      <c r="G134" s="111" t="str">
        <f aca="false">IFERROR(INDEX('Historical Data'!$Y$2:$Y$9,MATCH($A134,'Historical Data'!$BE$2:$BE$9,0)),"")</f>
        <v/>
      </c>
      <c r="H134" s="111" t="str">
        <f aca="false">IFERROR(INDEX('Historical Data'!$K$2:$K$9,MATCH($A134,'Historical Data'!$BE$2:$BE$9,0)),"")</f>
        <v/>
      </c>
      <c r="I134" s="111" t="str">
        <f aca="false">IFERROR(INDEX('Historical Data'!$J$2:$J$9,MATCH($A134,'Historical Data'!$BE$2:$BE$9,0)),"")</f>
        <v/>
      </c>
      <c r="J134" s="111" t="str">
        <f aca="false">IFERROR(INDEX('Historical Data'!$L$2:$L$9,MATCH($A134,'Historical Data'!$BE$2:$BE$9,0)),"")</f>
        <v/>
      </c>
      <c r="K134" s="113" t="str">
        <f aca="false">IFERROR(INDEX('Historical Data'!$M$2:$M$9,MATCH($A134,'Historical Data'!$BE$2:$BE$9,0)),"")</f>
        <v/>
      </c>
      <c r="L134" s="114" t="str">
        <f aca="false">IFERROR(INDEX('Historical Data'!$N$2:$N$9,MATCH($A134,'Historical Data'!$BE$2:$BE$9,0)),"")</f>
        <v/>
      </c>
      <c r="M134" s="114" t="str">
        <f aca="false">IFERROR(INDEX('Historical Data'!$Q$2:$Q$9,MATCH($A134,'Historical Data'!$BE$2:$BE$9,0)),"")</f>
        <v/>
      </c>
      <c r="N134" s="115" t="str">
        <f aca="false">IFERROR(INDEX('Historical Data'!$S$2:$S$9,MATCH($A134,'Historical Data'!$BE$2:$BE$9,0)),"")</f>
        <v/>
      </c>
      <c r="O134" s="114" t="str">
        <f aca="false">IFERROR(INDEX('Historical Data'!$AJ$2:$AJ$9,MATCH($A134,'Historical Data'!$BE$2:$BE$9,0)),"")</f>
        <v/>
      </c>
      <c r="P134" s="114" t="str">
        <f aca="false">IFERROR(INDEX('Historical Data'!$AK$2:$AK$9,MATCH($A134,'Historical Data'!$BE$2:$BE$9,0)),"")</f>
        <v/>
      </c>
      <c r="Q134" s="111" t="str">
        <f aca="false">IFERROR(INDEX('Historical Data'!$AA$2:$AA$9,MATCH($A134,'Historical Data'!$BE$2:$BE$9,0)),"")</f>
        <v/>
      </c>
      <c r="R134" s="111" t="str">
        <f aca="false">IFERROR(INDEX('Historical Data'!$AB$2:$AB$9,MATCH($A134,'Historical Data'!$BE$2:$BE$9,0)),"")</f>
        <v/>
      </c>
      <c r="S134" s="111" t="str">
        <f aca="false">IFERROR(INDEX('Historical Data'!$AN$2:$AN$9,MATCH($A134,'Historical Data'!$BE$2:$BE$9,0)),"")</f>
        <v/>
      </c>
      <c r="T134" s="111" t="str">
        <f aca="false">IFERROR(INDEX('Historical Data'!$AC$2:$AC$9,MATCH($A134,'Historical Data'!$BE$2:$BE$9,0)),"")</f>
        <v/>
      </c>
      <c r="U134" s="111" t="str">
        <f aca="false">IFERROR(INDEX('Historical Data'!$AE$2:$AE$9,MATCH($A134,'Historical Data'!$BE$2:$BE$9,0)),"")</f>
        <v/>
      </c>
      <c r="V134" s="111" t="str">
        <f aca="false">IFERROR(INDEX('Historical Data'!$AH$2:$AH$9,MATCH($A134,'Historical Data'!$BE$2:$BE$9,0)),"")</f>
        <v/>
      </c>
      <c r="W134" s="111" t="str">
        <f aca="false">IFERROR(INDEX('Historical Data'!$BC$2:$BC$9,MATCH($A134,'Historical Data'!$BE$2:$BE$9,0)),"")</f>
        <v/>
      </c>
      <c r="X134" s="110" t="str">
        <f aca="false">IF(B134="","",IF(W134=1,"NR + industry + position",IF(W134=2,"NR + ISO + position",IF(W134=3,"NR + industry",IF(W134=4,"NR + ISO",IF(W134=5,"NR + position",IF(W134=6,"NR only","book baseline"))))))&amp;"  ["&amp;IF(T134=1,"seasoned","unseasoned")&amp;IF(U134=1,", defaulted","")&amp;IF(V134=1,", open","")&amp;"]")</f>
        <v/>
      </c>
    </row>
    <row r="135" customFormat="false" ht="15" hidden="false" customHeight="false" outlineLevel="0" collapsed="false">
      <c r="A135" s="110" t="n">
        <v>131</v>
      </c>
      <c r="B135" s="111" t="str">
        <f aca="false">IFERROR(INDEX('Historical Data'!$A$2:$A$9,MATCH($A135,'Historical Data'!$BE$2:$BE$9,0)),"")</f>
        <v/>
      </c>
      <c r="C135" s="111" t="str">
        <f aca="false">IFERROR(INDEX('Historical Data'!$B$2:$B$9,MATCH($A135,'Historical Data'!$BE$2:$BE$9,0)),"")</f>
        <v/>
      </c>
      <c r="D135" s="111" t="str">
        <f aca="false">IFERROR(INDEX('Historical Data'!$D$2:$D$9,MATCH($A135,'Historical Data'!$BE$2:$BE$9,0)),"")</f>
        <v/>
      </c>
      <c r="E135" s="112" t="str">
        <f aca="false">IFERROR(INDEX('Historical Data'!$E$2:$E$9,MATCH($A135,'Historical Data'!$BE$2:$BE$9,0)),"")</f>
        <v/>
      </c>
      <c r="F135" s="111" t="str">
        <f aca="false">IFERROR(INDEX('Historical Data'!$G$2:$G$9,MATCH($A135,'Historical Data'!$BE$2:$BE$9,0)),"")</f>
        <v/>
      </c>
      <c r="G135" s="111" t="str">
        <f aca="false">IFERROR(INDEX('Historical Data'!$Y$2:$Y$9,MATCH($A135,'Historical Data'!$BE$2:$BE$9,0)),"")</f>
        <v/>
      </c>
      <c r="H135" s="111" t="str">
        <f aca="false">IFERROR(INDEX('Historical Data'!$K$2:$K$9,MATCH($A135,'Historical Data'!$BE$2:$BE$9,0)),"")</f>
        <v/>
      </c>
      <c r="I135" s="111" t="str">
        <f aca="false">IFERROR(INDEX('Historical Data'!$J$2:$J$9,MATCH($A135,'Historical Data'!$BE$2:$BE$9,0)),"")</f>
        <v/>
      </c>
      <c r="J135" s="111" t="str">
        <f aca="false">IFERROR(INDEX('Historical Data'!$L$2:$L$9,MATCH($A135,'Historical Data'!$BE$2:$BE$9,0)),"")</f>
        <v/>
      </c>
      <c r="K135" s="113" t="str">
        <f aca="false">IFERROR(INDEX('Historical Data'!$M$2:$M$9,MATCH($A135,'Historical Data'!$BE$2:$BE$9,0)),"")</f>
        <v/>
      </c>
      <c r="L135" s="114" t="str">
        <f aca="false">IFERROR(INDEX('Historical Data'!$N$2:$N$9,MATCH($A135,'Historical Data'!$BE$2:$BE$9,0)),"")</f>
        <v/>
      </c>
      <c r="M135" s="114" t="str">
        <f aca="false">IFERROR(INDEX('Historical Data'!$Q$2:$Q$9,MATCH($A135,'Historical Data'!$BE$2:$BE$9,0)),"")</f>
        <v/>
      </c>
      <c r="N135" s="115" t="str">
        <f aca="false">IFERROR(INDEX('Historical Data'!$S$2:$S$9,MATCH($A135,'Historical Data'!$BE$2:$BE$9,0)),"")</f>
        <v/>
      </c>
      <c r="O135" s="114" t="str">
        <f aca="false">IFERROR(INDEX('Historical Data'!$AJ$2:$AJ$9,MATCH($A135,'Historical Data'!$BE$2:$BE$9,0)),"")</f>
        <v/>
      </c>
      <c r="P135" s="114" t="str">
        <f aca="false">IFERROR(INDEX('Historical Data'!$AK$2:$AK$9,MATCH($A135,'Historical Data'!$BE$2:$BE$9,0)),"")</f>
        <v/>
      </c>
      <c r="Q135" s="111" t="str">
        <f aca="false">IFERROR(INDEX('Historical Data'!$AA$2:$AA$9,MATCH($A135,'Historical Data'!$BE$2:$BE$9,0)),"")</f>
        <v/>
      </c>
      <c r="R135" s="111" t="str">
        <f aca="false">IFERROR(INDEX('Historical Data'!$AB$2:$AB$9,MATCH($A135,'Historical Data'!$BE$2:$BE$9,0)),"")</f>
        <v/>
      </c>
      <c r="S135" s="111" t="str">
        <f aca="false">IFERROR(INDEX('Historical Data'!$AN$2:$AN$9,MATCH($A135,'Historical Data'!$BE$2:$BE$9,0)),"")</f>
        <v/>
      </c>
      <c r="T135" s="111" t="str">
        <f aca="false">IFERROR(INDEX('Historical Data'!$AC$2:$AC$9,MATCH($A135,'Historical Data'!$BE$2:$BE$9,0)),"")</f>
        <v/>
      </c>
      <c r="U135" s="111" t="str">
        <f aca="false">IFERROR(INDEX('Historical Data'!$AE$2:$AE$9,MATCH($A135,'Historical Data'!$BE$2:$BE$9,0)),"")</f>
        <v/>
      </c>
      <c r="V135" s="111" t="str">
        <f aca="false">IFERROR(INDEX('Historical Data'!$AH$2:$AH$9,MATCH($A135,'Historical Data'!$BE$2:$BE$9,0)),"")</f>
        <v/>
      </c>
      <c r="W135" s="111" t="str">
        <f aca="false">IFERROR(INDEX('Historical Data'!$BC$2:$BC$9,MATCH($A135,'Historical Data'!$BE$2:$BE$9,0)),"")</f>
        <v/>
      </c>
      <c r="X135" s="110" t="str">
        <f aca="false">IF(B135="","",IF(W135=1,"NR + industry + position",IF(W135=2,"NR + ISO + position",IF(W135=3,"NR + industry",IF(W135=4,"NR + ISO",IF(W135=5,"NR + position",IF(W135=6,"NR only","book baseline"))))))&amp;"  ["&amp;IF(T135=1,"seasoned","unseasoned")&amp;IF(U135=1,", defaulted","")&amp;IF(V135=1,", open","")&amp;"]")</f>
        <v/>
      </c>
    </row>
    <row r="136" customFormat="false" ht="15" hidden="false" customHeight="false" outlineLevel="0" collapsed="false">
      <c r="A136" s="110" t="n">
        <v>132</v>
      </c>
      <c r="B136" s="111" t="str">
        <f aca="false">IFERROR(INDEX('Historical Data'!$A$2:$A$9,MATCH($A136,'Historical Data'!$BE$2:$BE$9,0)),"")</f>
        <v/>
      </c>
      <c r="C136" s="111" t="str">
        <f aca="false">IFERROR(INDEX('Historical Data'!$B$2:$B$9,MATCH($A136,'Historical Data'!$BE$2:$BE$9,0)),"")</f>
        <v/>
      </c>
      <c r="D136" s="111" t="str">
        <f aca="false">IFERROR(INDEX('Historical Data'!$D$2:$D$9,MATCH($A136,'Historical Data'!$BE$2:$BE$9,0)),"")</f>
        <v/>
      </c>
      <c r="E136" s="112" t="str">
        <f aca="false">IFERROR(INDEX('Historical Data'!$E$2:$E$9,MATCH($A136,'Historical Data'!$BE$2:$BE$9,0)),"")</f>
        <v/>
      </c>
      <c r="F136" s="111" t="str">
        <f aca="false">IFERROR(INDEX('Historical Data'!$G$2:$G$9,MATCH($A136,'Historical Data'!$BE$2:$BE$9,0)),"")</f>
        <v/>
      </c>
      <c r="G136" s="111" t="str">
        <f aca="false">IFERROR(INDEX('Historical Data'!$Y$2:$Y$9,MATCH($A136,'Historical Data'!$BE$2:$BE$9,0)),"")</f>
        <v/>
      </c>
      <c r="H136" s="111" t="str">
        <f aca="false">IFERROR(INDEX('Historical Data'!$K$2:$K$9,MATCH($A136,'Historical Data'!$BE$2:$BE$9,0)),"")</f>
        <v/>
      </c>
      <c r="I136" s="111" t="str">
        <f aca="false">IFERROR(INDEX('Historical Data'!$J$2:$J$9,MATCH($A136,'Historical Data'!$BE$2:$BE$9,0)),"")</f>
        <v/>
      </c>
      <c r="J136" s="111" t="str">
        <f aca="false">IFERROR(INDEX('Historical Data'!$L$2:$L$9,MATCH($A136,'Historical Data'!$BE$2:$BE$9,0)),"")</f>
        <v/>
      </c>
      <c r="K136" s="113" t="str">
        <f aca="false">IFERROR(INDEX('Historical Data'!$M$2:$M$9,MATCH($A136,'Historical Data'!$BE$2:$BE$9,0)),"")</f>
        <v/>
      </c>
      <c r="L136" s="114" t="str">
        <f aca="false">IFERROR(INDEX('Historical Data'!$N$2:$N$9,MATCH($A136,'Historical Data'!$BE$2:$BE$9,0)),"")</f>
        <v/>
      </c>
      <c r="M136" s="114" t="str">
        <f aca="false">IFERROR(INDEX('Historical Data'!$Q$2:$Q$9,MATCH($A136,'Historical Data'!$BE$2:$BE$9,0)),"")</f>
        <v/>
      </c>
      <c r="N136" s="115" t="str">
        <f aca="false">IFERROR(INDEX('Historical Data'!$S$2:$S$9,MATCH($A136,'Historical Data'!$BE$2:$BE$9,0)),"")</f>
        <v/>
      </c>
      <c r="O136" s="114" t="str">
        <f aca="false">IFERROR(INDEX('Historical Data'!$AJ$2:$AJ$9,MATCH($A136,'Historical Data'!$BE$2:$BE$9,0)),"")</f>
        <v/>
      </c>
      <c r="P136" s="114" t="str">
        <f aca="false">IFERROR(INDEX('Historical Data'!$AK$2:$AK$9,MATCH($A136,'Historical Data'!$BE$2:$BE$9,0)),"")</f>
        <v/>
      </c>
      <c r="Q136" s="111" t="str">
        <f aca="false">IFERROR(INDEX('Historical Data'!$AA$2:$AA$9,MATCH($A136,'Historical Data'!$BE$2:$BE$9,0)),"")</f>
        <v/>
      </c>
      <c r="R136" s="111" t="str">
        <f aca="false">IFERROR(INDEX('Historical Data'!$AB$2:$AB$9,MATCH($A136,'Historical Data'!$BE$2:$BE$9,0)),"")</f>
        <v/>
      </c>
      <c r="S136" s="111" t="str">
        <f aca="false">IFERROR(INDEX('Historical Data'!$AN$2:$AN$9,MATCH($A136,'Historical Data'!$BE$2:$BE$9,0)),"")</f>
        <v/>
      </c>
      <c r="T136" s="111" t="str">
        <f aca="false">IFERROR(INDEX('Historical Data'!$AC$2:$AC$9,MATCH($A136,'Historical Data'!$BE$2:$BE$9,0)),"")</f>
        <v/>
      </c>
      <c r="U136" s="111" t="str">
        <f aca="false">IFERROR(INDEX('Historical Data'!$AE$2:$AE$9,MATCH($A136,'Historical Data'!$BE$2:$BE$9,0)),"")</f>
        <v/>
      </c>
      <c r="V136" s="111" t="str">
        <f aca="false">IFERROR(INDEX('Historical Data'!$AH$2:$AH$9,MATCH($A136,'Historical Data'!$BE$2:$BE$9,0)),"")</f>
        <v/>
      </c>
      <c r="W136" s="111" t="str">
        <f aca="false">IFERROR(INDEX('Historical Data'!$BC$2:$BC$9,MATCH($A136,'Historical Data'!$BE$2:$BE$9,0)),"")</f>
        <v/>
      </c>
      <c r="X136" s="110" t="str">
        <f aca="false">IF(B136="","",IF(W136=1,"NR + industry + position",IF(W136=2,"NR + ISO + position",IF(W136=3,"NR + industry",IF(W136=4,"NR + ISO",IF(W136=5,"NR + position",IF(W136=6,"NR only","book baseline"))))))&amp;"  ["&amp;IF(T136=1,"seasoned","unseasoned")&amp;IF(U136=1,", defaulted","")&amp;IF(V136=1,", open","")&amp;"]")</f>
        <v/>
      </c>
    </row>
    <row r="137" customFormat="false" ht="15" hidden="false" customHeight="false" outlineLevel="0" collapsed="false">
      <c r="A137" s="110" t="n">
        <v>133</v>
      </c>
      <c r="B137" s="111" t="str">
        <f aca="false">IFERROR(INDEX('Historical Data'!$A$2:$A$9,MATCH($A137,'Historical Data'!$BE$2:$BE$9,0)),"")</f>
        <v/>
      </c>
      <c r="C137" s="111" t="str">
        <f aca="false">IFERROR(INDEX('Historical Data'!$B$2:$B$9,MATCH($A137,'Historical Data'!$BE$2:$BE$9,0)),"")</f>
        <v/>
      </c>
      <c r="D137" s="111" t="str">
        <f aca="false">IFERROR(INDEX('Historical Data'!$D$2:$D$9,MATCH($A137,'Historical Data'!$BE$2:$BE$9,0)),"")</f>
        <v/>
      </c>
      <c r="E137" s="112" t="str">
        <f aca="false">IFERROR(INDEX('Historical Data'!$E$2:$E$9,MATCH($A137,'Historical Data'!$BE$2:$BE$9,0)),"")</f>
        <v/>
      </c>
      <c r="F137" s="111" t="str">
        <f aca="false">IFERROR(INDEX('Historical Data'!$G$2:$G$9,MATCH($A137,'Historical Data'!$BE$2:$BE$9,0)),"")</f>
        <v/>
      </c>
      <c r="G137" s="111" t="str">
        <f aca="false">IFERROR(INDEX('Historical Data'!$Y$2:$Y$9,MATCH($A137,'Historical Data'!$BE$2:$BE$9,0)),"")</f>
        <v/>
      </c>
      <c r="H137" s="111" t="str">
        <f aca="false">IFERROR(INDEX('Historical Data'!$K$2:$K$9,MATCH($A137,'Historical Data'!$BE$2:$BE$9,0)),"")</f>
        <v/>
      </c>
      <c r="I137" s="111" t="str">
        <f aca="false">IFERROR(INDEX('Historical Data'!$J$2:$J$9,MATCH($A137,'Historical Data'!$BE$2:$BE$9,0)),"")</f>
        <v/>
      </c>
      <c r="J137" s="111" t="str">
        <f aca="false">IFERROR(INDEX('Historical Data'!$L$2:$L$9,MATCH($A137,'Historical Data'!$BE$2:$BE$9,0)),"")</f>
        <v/>
      </c>
      <c r="K137" s="113" t="str">
        <f aca="false">IFERROR(INDEX('Historical Data'!$M$2:$M$9,MATCH($A137,'Historical Data'!$BE$2:$BE$9,0)),"")</f>
        <v/>
      </c>
      <c r="L137" s="114" t="str">
        <f aca="false">IFERROR(INDEX('Historical Data'!$N$2:$N$9,MATCH($A137,'Historical Data'!$BE$2:$BE$9,0)),"")</f>
        <v/>
      </c>
      <c r="M137" s="114" t="str">
        <f aca="false">IFERROR(INDEX('Historical Data'!$Q$2:$Q$9,MATCH($A137,'Historical Data'!$BE$2:$BE$9,0)),"")</f>
        <v/>
      </c>
      <c r="N137" s="115" t="str">
        <f aca="false">IFERROR(INDEX('Historical Data'!$S$2:$S$9,MATCH($A137,'Historical Data'!$BE$2:$BE$9,0)),"")</f>
        <v/>
      </c>
      <c r="O137" s="114" t="str">
        <f aca="false">IFERROR(INDEX('Historical Data'!$AJ$2:$AJ$9,MATCH($A137,'Historical Data'!$BE$2:$BE$9,0)),"")</f>
        <v/>
      </c>
      <c r="P137" s="114" t="str">
        <f aca="false">IFERROR(INDEX('Historical Data'!$AK$2:$AK$9,MATCH($A137,'Historical Data'!$BE$2:$BE$9,0)),"")</f>
        <v/>
      </c>
      <c r="Q137" s="111" t="str">
        <f aca="false">IFERROR(INDEX('Historical Data'!$AA$2:$AA$9,MATCH($A137,'Historical Data'!$BE$2:$BE$9,0)),"")</f>
        <v/>
      </c>
      <c r="R137" s="111" t="str">
        <f aca="false">IFERROR(INDEX('Historical Data'!$AB$2:$AB$9,MATCH($A137,'Historical Data'!$BE$2:$BE$9,0)),"")</f>
        <v/>
      </c>
      <c r="S137" s="111" t="str">
        <f aca="false">IFERROR(INDEX('Historical Data'!$AN$2:$AN$9,MATCH($A137,'Historical Data'!$BE$2:$BE$9,0)),"")</f>
        <v/>
      </c>
      <c r="T137" s="111" t="str">
        <f aca="false">IFERROR(INDEX('Historical Data'!$AC$2:$AC$9,MATCH($A137,'Historical Data'!$BE$2:$BE$9,0)),"")</f>
        <v/>
      </c>
      <c r="U137" s="111" t="str">
        <f aca="false">IFERROR(INDEX('Historical Data'!$AE$2:$AE$9,MATCH($A137,'Historical Data'!$BE$2:$BE$9,0)),"")</f>
        <v/>
      </c>
      <c r="V137" s="111" t="str">
        <f aca="false">IFERROR(INDEX('Historical Data'!$AH$2:$AH$9,MATCH($A137,'Historical Data'!$BE$2:$BE$9,0)),"")</f>
        <v/>
      </c>
      <c r="W137" s="111" t="str">
        <f aca="false">IFERROR(INDEX('Historical Data'!$BC$2:$BC$9,MATCH($A137,'Historical Data'!$BE$2:$BE$9,0)),"")</f>
        <v/>
      </c>
      <c r="X137" s="110" t="str">
        <f aca="false">IF(B137="","",IF(W137=1,"NR + industry + position",IF(W137=2,"NR + ISO + position",IF(W137=3,"NR + industry",IF(W137=4,"NR + ISO",IF(W137=5,"NR + position",IF(W137=6,"NR only","book baseline"))))))&amp;"  ["&amp;IF(T137=1,"seasoned","unseasoned")&amp;IF(U137=1,", defaulted","")&amp;IF(V137=1,", open","")&amp;"]")</f>
        <v/>
      </c>
    </row>
    <row r="138" customFormat="false" ht="15" hidden="false" customHeight="false" outlineLevel="0" collapsed="false">
      <c r="A138" s="110" t="n">
        <v>134</v>
      </c>
      <c r="B138" s="111" t="str">
        <f aca="false">IFERROR(INDEX('Historical Data'!$A$2:$A$9,MATCH($A138,'Historical Data'!$BE$2:$BE$9,0)),"")</f>
        <v/>
      </c>
      <c r="C138" s="111" t="str">
        <f aca="false">IFERROR(INDEX('Historical Data'!$B$2:$B$9,MATCH($A138,'Historical Data'!$BE$2:$BE$9,0)),"")</f>
        <v/>
      </c>
      <c r="D138" s="111" t="str">
        <f aca="false">IFERROR(INDEX('Historical Data'!$D$2:$D$9,MATCH($A138,'Historical Data'!$BE$2:$BE$9,0)),"")</f>
        <v/>
      </c>
      <c r="E138" s="112" t="str">
        <f aca="false">IFERROR(INDEX('Historical Data'!$E$2:$E$9,MATCH($A138,'Historical Data'!$BE$2:$BE$9,0)),"")</f>
        <v/>
      </c>
      <c r="F138" s="111" t="str">
        <f aca="false">IFERROR(INDEX('Historical Data'!$G$2:$G$9,MATCH($A138,'Historical Data'!$BE$2:$BE$9,0)),"")</f>
        <v/>
      </c>
      <c r="G138" s="111" t="str">
        <f aca="false">IFERROR(INDEX('Historical Data'!$Y$2:$Y$9,MATCH($A138,'Historical Data'!$BE$2:$BE$9,0)),"")</f>
        <v/>
      </c>
      <c r="H138" s="111" t="str">
        <f aca="false">IFERROR(INDEX('Historical Data'!$K$2:$K$9,MATCH($A138,'Historical Data'!$BE$2:$BE$9,0)),"")</f>
        <v/>
      </c>
      <c r="I138" s="111" t="str">
        <f aca="false">IFERROR(INDEX('Historical Data'!$J$2:$J$9,MATCH($A138,'Historical Data'!$BE$2:$BE$9,0)),"")</f>
        <v/>
      </c>
      <c r="J138" s="111" t="str">
        <f aca="false">IFERROR(INDEX('Historical Data'!$L$2:$L$9,MATCH($A138,'Historical Data'!$BE$2:$BE$9,0)),"")</f>
        <v/>
      </c>
      <c r="K138" s="113" t="str">
        <f aca="false">IFERROR(INDEX('Historical Data'!$M$2:$M$9,MATCH($A138,'Historical Data'!$BE$2:$BE$9,0)),"")</f>
        <v/>
      </c>
      <c r="L138" s="114" t="str">
        <f aca="false">IFERROR(INDEX('Historical Data'!$N$2:$N$9,MATCH($A138,'Historical Data'!$BE$2:$BE$9,0)),"")</f>
        <v/>
      </c>
      <c r="M138" s="114" t="str">
        <f aca="false">IFERROR(INDEX('Historical Data'!$Q$2:$Q$9,MATCH($A138,'Historical Data'!$BE$2:$BE$9,0)),"")</f>
        <v/>
      </c>
      <c r="N138" s="115" t="str">
        <f aca="false">IFERROR(INDEX('Historical Data'!$S$2:$S$9,MATCH($A138,'Historical Data'!$BE$2:$BE$9,0)),"")</f>
        <v/>
      </c>
      <c r="O138" s="114" t="str">
        <f aca="false">IFERROR(INDEX('Historical Data'!$AJ$2:$AJ$9,MATCH($A138,'Historical Data'!$BE$2:$BE$9,0)),"")</f>
        <v/>
      </c>
      <c r="P138" s="114" t="str">
        <f aca="false">IFERROR(INDEX('Historical Data'!$AK$2:$AK$9,MATCH($A138,'Historical Data'!$BE$2:$BE$9,0)),"")</f>
        <v/>
      </c>
      <c r="Q138" s="111" t="str">
        <f aca="false">IFERROR(INDEX('Historical Data'!$AA$2:$AA$9,MATCH($A138,'Historical Data'!$BE$2:$BE$9,0)),"")</f>
        <v/>
      </c>
      <c r="R138" s="111" t="str">
        <f aca="false">IFERROR(INDEX('Historical Data'!$AB$2:$AB$9,MATCH($A138,'Historical Data'!$BE$2:$BE$9,0)),"")</f>
        <v/>
      </c>
      <c r="S138" s="111" t="str">
        <f aca="false">IFERROR(INDEX('Historical Data'!$AN$2:$AN$9,MATCH($A138,'Historical Data'!$BE$2:$BE$9,0)),"")</f>
        <v/>
      </c>
      <c r="T138" s="111" t="str">
        <f aca="false">IFERROR(INDEX('Historical Data'!$AC$2:$AC$9,MATCH($A138,'Historical Data'!$BE$2:$BE$9,0)),"")</f>
        <v/>
      </c>
      <c r="U138" s="111" t="str">
        <f aca="false">IFERROR(INDEX('Historical Data'!$AE$2:$AE$9,MATCH($A138,'Historical Data'!$BE$2:$BE$9,0)),"")</f>
        <v/>
      </c>
      <c r="V138" s="111" t="str">
        <f aca="false">IFERROR(INDEX('Historical Data'!$AH$2:$AH$9,MATCH($A138,'Historical Data'!$BE$2:$BE$9,0)),"")</f>
        <v/>
      </c>
      <c r="W138" s="111" t="str">
        <f aca="false">IFERROR(INDEX('Historical Data'!$BC$2:$BC$9,MATCH($A138,'Historical Data'!$BE$2:$BE$9,0)),"")</f>
        <v/>
      </c>
      <c r="X138" s="110" t="str">
        <f aca="false">IF(B138="","",IF(W138=1,"NR + industry + position",IF(W138=2,"NR + ISO + position",IF(W138=3,"NR + industry",IF(W138=4,"NR + ISO",IF(W138=5,"NR + position",IF(W138=6,"NR only","book baseline"))))))&amp;"  ["&amp;IF(T138=1,"seasoned","unseasoned")&amp;IF(U138=1,", defaulted","")&amp;IF(V138=1,", open","")&amp;"]")</f>
        <v/>
      </c>
    </row>
    <row r="139" customFormat="false" ht="15" hidden="false" customHeight="false" outlineLevel="0" collapsed="false">
      <c r="A139" s="110" t="n">
        <v>135</v>
      </c>
      <c r="B139" s="111" t="str">
        <f aca="false">IFERROR(INDEX('Historical Data'!$A$2:$A$9,MATCH($A139,'Historical Data'!$BE$2:$BE$9,0)),"")</f>
        <v/>
      </c>
      <c r="C139" s="111" t="str">
        <f aca="false">IFERROR(INDEX('Historical Data'!$B$2:$B$9,MATCH($A139,'Historical Data'!$BE$2:$BE$9,0)),"")</f>
        <v/>
      </c>
      <c r="D139" s="111" t="str">
        <f aca="false">IFERROR(INDEX('Historical Data'!$D$2:$D$9,MATCH($A139,'Historical Data'!$BE$2:$BE$9,0)),"")</f>
        <v/>
      </c>
      <c r="E139" s="112" t="str">
        <f aca="false">IFERROR(INDEX('Historical Data'!$E$2:$E$9,MATCH($A139,'Historical Data'!$BE$2:$BE$9,0)),"")</f>
        <v/>
      </c>
      <c r="F139" s="111" t="str">
        <f aca="false">IFERROR(INDEX('Historical Data'!$G$2:$G$9,MATCH($A139,'Historical Data'!$BE$2:$BE$9,0)),"")</f>
        <v/>
      </c>
      <c r="G139" s="111" t="str">
        <f aca="false">IFERROR(INDEX('Historical Data'!$Y$2:$Y$9,MATCH($A139,'Historical Data'!$BE$2:$BE$9,0)),"")</f>
        <v/>
      </c>
      <c r="H139" s="111" t="str">
        <f aca="false">IFERROR(INDEX('Historical Data'!$K$2:$K$9,MATCH($A139,'Historical Data'!$BE$2:$BE$9,0)),"")</f>
        <v/>
      </c>
      <c r="I139" s="111" t="str">
        <f aca="false">IFERROR(INDEX('Historical Data'!$J$2:$J$9,MATCH($A139,'Historical Data'!$BE$2:$BE$9,0)),"")</f>
        <v/>
      </c>
      <c r="J139" s="111" t="str">
        <f aca="false">IFERROR(INDEX('Historical Data'!$L$2:$L$9,MATCH($A139,'Historical Data'!$BE$2:$BE$9,0)),"")</f>
        <v/>
      </c>
      <c r="K139" s="113" t="str">
        <f aca="false">IFERROR(INDEX('Historical Data'!$M$2:$M$9,MATCH($A139,'Historical Data'!$BE$2:$BE$9,0)),"")</f>
        <v/>
      </c>
      <c r="L139" s="114" t="str">
        <f aca="false">IFERROR(INDEX('Historical Data'!$N$2:$N$9,MATCH($A139,'Historical Data'!$BE$2:$BE$9,0)),"")</f>
        <v/>
      </c>
      <c r="M139" s="114" t="str">
        <f aca="false">IFERROR(INDEX('Historical Data'!$Q$2:$Q$9,MATCH($A139,'Historical Data'!$BE$2:$BE$9,0)),"")</f>
        <v/>
      </c>
      <c r="N139" s="115" t="str">
        <f aca="false">IFERROR(INDEX('Historical Data'!$S$2:$S$9,MATCH($A139,'Historical Data'!$BE$2:$BE$9,0)),"")</f>
        <v/>
      </c>
      <c r="O139" s="114" t="str">
        <f aca="false">IFERROR(INDEX('Historical Data'!$AJ$2:$AJ$9,MATCH($A139,'Historical Data'!$BE$2:$BE$9,0)),"")</f>
        <v/>
      </c>
      <c r="P139" s="114" t="str">
        <f aca="false">IFERROR(INDEX('Historical Data'!$AK$2:$AK$9,MATCH($A139,'Historical Data'!$BE$2:$BE$9,0)),"")</f>
        <v/>
      </c>
      <c r="Q139" s="111" t="str">
        <f aca="false">IFERROR(INDEX('Historical Data'!$AA$2:$AA$9,MATCH($A139,'Historical Data'!$BE$2:$BE$9,0)),"")</f>
        <v/>
      </c>
      <c r="R139" s="111" t="str">
        <f aca="false">IFERROR(INDEX('Historical Data'!$AB$2:$AB$9,MATCH($A139,'Historical Data'!$BE$2:$BE$9,0)),"")</f>
        <v/>
      </c>
      <c r="S139" s="111" t="str">
        <f aca="false">IFERROR(INDEX('Historical Data'!$AN$2:$AN$9,MATCH($A139,'Historical Data'!$BE$2:$BE$9,0)),"")</f>
        <v/>
      </c>
      <c r="T139" s="111" t="str">
        <f aca="false">IFERROR(INDEX('Historical Data'!$AC$2:$AC$9,MATCH($A139,'Historical Data'!$BE$2:$BE$9,0)),"")</f>
        <v/>
      </c>
      <c r="U139" s="111" t="str">
        <f aca="false">IFERROR(INDEX('Historical Data'!$AE$2:$AE$9,MATCH($A139,'Historical Data'!$BE$2:$BE$9,0)),"")</f>
        <v/>
      </c>
      <c r="V139" s="111" t="str">
        <f aca="false">IFERROR(INDEX('Historical Data'!$AH$2:$AH$9,MATCH($A139,'Historical Data'!$BE$2:$BE$9,0)),"")</f>
        <v/>
      </c>
      <c r="W139" s="111" t="str">
        <f aca="false">IFERROR(INDEX('Historical Data'!$BC$2:$BC$9,MATCH($A139,'Historical Data'!$BE$2:$BE$9,0)),"")</f>
        <v/>
      </c>
      <c r="X139" s="110" t="str">
        <f aca="false">IF(B139="","",IF(W139=1,"NR + industry + position",IF(W139=2,"NR + ISO + position",IF(W139=3,"NR + industry",IF(W139=4,"NR + ISO",IF(W139=5,"NR + position",IF(W139=6,"NR only","book baseline"))))))&amp;"  ["&amp;IF(T139=1,"seasoned","unseasoned")&amp;IF(U139=1,", defaulted","")&amp;IF(V139=1,", open","")&amp;"]")</f>
        <v/>
      </c>
    </row>
    <row r="140" customFormat="false" ht="15" hidden="false" customHeight="false" outlineLevel="0" collapsed="false">
      <c r="A140" s="110" t="n">
        <v>136</v>
      </c>
      <c r="B140" s="111" t="str">
        <f aca="false">IFERROR(INDEX('Historical Data'!$A$2:$A$9,MATCH($A140,'Historical Data'!$BE$2:$BE$9,0)),"")</f>
        <v/>
      </c>
      <c r="C140" s="111" t="str">
        <f aca="false">IFERROR(INDEX('Historical Data'!$B$2:$B$9,MATCH($A140,'Historical Data'!$BE$2:$BE$9,0)),"")</f>
        <v/>
      </c>
      <c r="D140" s="111" t="str">
        <f aca="false">IFERROR(INDEX('Historical Data'!$D$2:$D$9,MATCH($A140,'Historical Data'!$BE$2:$BE$9,0)),"")</f>
        <v/>
      </c>
      <c r="E140" s="112" t="str">
        <f aca="false">IFERROR(INDEX('Historical Data'!$E$2:$E$9,MATCH($A140,'Historical Data'!$BE$2:$BE$9,0)),"")</f>
        <v/>
      </c>
      <c r="F140" s="111" t="str">
        <f aca="false">IFERROR(INDEX('Historical Data'!$G$2:$G$9,MATCH($A140,'Historical Data'!$BE$2:$BE$9,0)),"")</f>
        <v/>
      </c>
      <c r="G140" s="111" t="str">
        <f aca="false">IFERROR(INDEX('Historical Data'!$Y$2:$Y$9,MATCH($A140,'Historical Data'!$BE$2:$BE$9,0)),"")</f>
        <v/>
      </c>
      <c r="H140" s="111" t="str">
        <f aca="false">IFERROR(INDEX('Historical Data'!$K$2:$K$9,MATCH($A140,'Historical Data'!$BE$2:$BE$9,0)),"")</f>
        <v/>
      </c>
      <c r="I140" s="111" t="str">
        <f aca="false">IFERROR(INDEX('Historical Data'!$J$2:$J$9,MATCH($A140,'Historical Data'!$BE$2:$BE$9,0)),"")</f>
        <v/>
      </c>
      <c r="J140" s="111" t="str">
        <f aca="false">IFERROR(INDEX('Historical Data'!$L$2:$L$9,MATCH($A140,'Historical Data'!$BE$2:$BE$9,0)),"")</f>
        <v/>
      </c>
      <c r="K140" s="113" t="str">
        <f aca="false">IFERROR(INDEX('Historical Data'!$M$2:$M$9,MATCH($A140,'Historical Data'!$BE$2:$BE$9,0)),"")</f>
        <v/>
      </c>
      <c r="L140" s="114" t="str">
        <f aca="false">IFERROR(INDEX('Historical Data'!$N$2:$N$9,MATCH($A140,'Historical Data'!$BE$2:$BE$9,0)),"")</f>
        <v/>
      </c>
      <c r="M140" s="114" t="str">
        <f aca="false">IFERROR(INDEX('Historical Data'!$Q$2:$Q$9,MATCH($A140,'Historical Data'!$BE$2:$BE$9,0)),"")</f>
        <v/>
      </c>
      <c r="N140" s="115" t="str">
        <f aca="false">IFERROR(INDEX('Historical Data'!$S$2:$S$9,MATCH($A140,'Historical Data'!$BE$2:$BE$9,0)),"")</f>
        <v/>
      </c>
      <c r="O140" s="114" t="str">
        <f aca="false">IFERROR(INDEX('Historical Data'!$AJ$2:$AJ$9,MATCH($A140,'Historical Data'!$BE$2:$BE$9,0)),"")</f>
        <v/>
      </c>
      <c r="P140" s="114" t="str">
        <f aca="false">IFERROR(INDEX('Historical Data'!$AK$2:$AK$9,MATCH($A140,'Historical Data'!$BE$2:$BE$9,0)),"")</f>
        <v/>
      </c>
      <c r="Q140" s="111" t="str">
        <f aca="false">IFERROR(INDEX('Historical Data'!$AA$2:$AA$9,MATCH($A140,'Historical Data'!$BE$2:$BE$9,0)),"")</f>
        <v/>
      </c>
      <c r="R140" s="111" t="str">
        <f aca="false">IFERROR(INDEX('Historical Data'!$AB$2:$AB$9,MATCH($A140,'Historical Data'!$BE$2:$BE$9,0)),"")</f>
        <v/>
      </c>
      <c r="S140" s="111" t="str">
        <f aca="false">IFERROR(INDEX('Historical Data'!$AN$2:$AN$9,MATCH($A140,'Historical Data'!$BE$2:$BE$9,0)),"")</f>
        <v/>
      </c>
      <c r="T140" s="111" t="str">
        <f aca="false">IFERROR(INDEX('Historical Data'!$AC$2:$AC$9,MATCH($A140,'Historical Data'!$BE$2:$BE$9,0)),"")</f>
        <v/>
      </c>
      <c r="U140" s="111" t="str">
        <f aca="false">IFERROR(INDEX('Historical Data'!$AE$2:$AE$9,MATCH($A140,'Historical Data'!$BE$2:$BE$9,0)),"")</f>
        <v/>
      </c>
      <c r="V140" s="111" t="str">
        <f aca="false">IFERROR(INDEX('Historical Data'!$AH$2:$AH$9,MATCH($A140,'Historical Data'!$BE$2:$BE$9,0)),"")</f>
        <v/>
      </c>
      <c r="W140" s="111" t="str">
        <f aca="false">IFERROR(INDEX('Historical Data'!$BC$2:$BC$9,MATCH($A140,'Historical Data'!$BE$2:$BE$9,0)),"")</f>
        <v/>
      </c>
      <c r="X140" s="110" t="str">
        <f aca="false">IF(B140="","",IF(W140=1,"NR + industry + position",IF(W140=2,"NR + ISO + position",IF(W140=3,"NR + industry",IF(W140=4,"NR + ISO",IF(W140=5,"NR + position",IF(W140=6,"NR only","book baseline"))))))&amp;"  ["&amp;IF(T140=1,"seasoned","unseasoned")&amp;IF(U140=1,", defaulted","")&amp;IF(V140=1,", open","")&amp;"]")</f>
        <v/>
      </c>
    </row>
    <row r="141" customFormat="false" ht="15" hidden="false" customHeight="false" outlineLevel="0" collapsed="false">
      <c r="A141" s="110" t="n">
        <v>137</v>
      </c>
      <c r="B141" s="111" t="str">
        <f aca="false">IFERROR(INDEX('Historical Data'!$A$2:$A$9,MATCH($A141,'Historical Data'!$BE$2:$BE$9,0)),"")</f>
        <v/>
      </c>
      <c r="C141" s="111" t="str">
        <f aca="false">IFERROR(INDEX('Historical Data'!$B$2:$B$9,MATCH($A141,'Historical Data'!$BE$2:$BE$9,0)),"")</f>
        <v/>
      </c>
      <c r="D141" s="111" t="str">
        <f aca="false">IFERROR(INDEX('Historical Data'!$D$2:$D$9,MATCH($A141,'Historical Data'!$BE$2:$BE$9,0)),"")</f>
        <v/>
      </c>
      <c r="E141" s="112" t="str">
        <f aca="false">IFERROR(INDEX('Historical Data'!$E$2:$E$9,MATCH($A141,'Historical Data'!$BE$2:$BE$9,0)),"")</f>
        <v/>
      </c>
      <c r="F141" s="111" t="str">
        <f aca="false">IFERROR(INDEX('Historical Data'!$G$2:$G$9,MATCH($A141,'Historical Data'!$BE$2:$BE$9,0)),"")</f>
        <v/>
      </c>
      <c r="G141" s="111" t="str">
        <f aca="false">IFERROR(INDEX('Historical Data'!$Y$2:$Y$9,MATCH($A141,'Historical Data'!$BE$2:$BE$9,0)),"")</f>
        <v/>
      </c>
      <c r="H141" s="111" t="str">
        <f aca="false">IFERROR(INDEX('Historical Data'!$K$2:$K$9,MATCH($A141,'Historical Data'!$BE$2:$BE$9,0)),"")</f>
        <v/>
      </c>
      <c r="I141" s="111" t="str">
        <f aca="false">IFERROR(INDEX('Historical Data'!$J$2:$J$9,MATCH($A141,'Historical Data'!$BE$2:$BE$9,0)),"")</f>
        <v/>
      </c>
      <c r="J141" s="111" t="str">
        <f aca="false">IFERROR(INDEX('Historical Data'!$L$2:$L$9,MATCH($A141,'Historical Data'!$BE$2:$BE$9,0)),"")</f>
        <v/>
      </c>
      <c r="K141" s="113" t="str">
        <f aca="false">IFERROR(INDEX('Historical Data'!$M$2:$M$9,MATCH($A141,'Historical Data'!$BE$2:$BE$9,0)),"")</f>
        <v/>
      </c>
      <c r="L141" s="114" t="str">
        <f aca="false">IFERROR(INDEX('Historical Data'!$N$2:$N$9,MATCH($A141,'Historical Data'!$BE$2:$BE$9,0)),"")</f>
        <v/>
      </c>
      <c r="M141" s="114" t="str">
        <f aca="false">IFERROR(INDEX('Historical Data'!$Q$2:$Q$9,MATCH($A141,'Historical Data'!$BE$2:$BE$9,0)),"")</f>
        <v/>
      </c>
      <c r="N141" s="115" t="str">
        <f aca="false">IFERROR(INDEX('Historical Data'!$S$2:$S$9,MATCH($A141,'Historical Data'!$BE$2:$BE$9,0)),"")</f>
        <v/>
      </c>
      <c r="O141" s="114" t="str">
        <f aca="false">IFERROR(INDEX('Historical Data'!$AJ$2:$AJ$9,MATCH($A141,'Historical Data'!$BE$2:$BE$9,0)),"")</f>
        <v/>
      </c>
      <c r="P141" s="114" t="str">
        <f aca="false">IFERROR(INDEX('Historical Data'!$AK$2:$AK$9,MATCH($A141,'Historical Data'!$BE$2:$BE$9,0)),"")</f>
        <v/>
      </c>
      <c r="Q141" s="111" t="str">
        <f aca="false">IFERROR(INDEX('Historical Data'!$AA$2:$AA$9,MATCH($A141,'Historical Data'!$BE$2:$BE$9,0)),"")</f>
        <v/>
      </c>
      <c r="R141" s="111" t="str">
        <f aca="false">IFERROR(INDEX('Historical Data'!$AB$2:$AB$9,MATCH($A141,'Historical Data'!$BE$2:$BE$9,0)),"")</f>
        <v/>
      </c>
      <c r="S141" s="111" t="str">
        <f aca="false">IFERROR(INDEX('Historical Data'!$AN$2:$AN$9,MATCH($A141,'Historical Data'!$BE$2:$BE$9,0)),"")</f>
        <v/>
      </c>
      <c r="T141" s="111" t="str">
        <f aca="false">IFERROR(INDEX('Historical Data'!$AC$2:$AC$9,MATCH($A141,'Historical Data'!$BE$2:$BE$9,0)),"")</f>
        <v/>
      </c>
      <c r="U141" s="111" t="str">
        <f aca="false">IFERROR(INDEX('Historical Data'!$AE$2:$AE$9,MATCH($A141,'Historical Data'!$BE$2:$BE$9,0)),"")</f>
        <v/>
      </c>
      <c r="V141" s="111" t="str">
        <f aca="false">IFERROR(INDEX('Historical Data'!$AH$2:$AH$9,MATCH($A141,'Historical Data'!$BE$2:$BE$9,0)),"")</f>
        <v/>
      </c>
      <c r="W141" s="111" t="str">
        <f aca="false">IFERROR(INDEX('Historical Data'!$BC$2:$BC$9,MATCH($A141,'Historical Data'!$BE$2:$BE$9,0)),"")</f>
        <v/>
      </c>
      <c r="X141" s="110" t="str">
        <f aca="false">IF(B141="","",IF(W141=1,"NR + industry + position",IF(W141=2,"NR + ISO + position",IF(W141=3,"NR + industry",IF(W141=4,"NR + ISO",IF(W141=5,"NR + position",IF(W141=6,"NR only","book baseline"))))))&amp;"  ["&amp;IF(T141=1,"seasoned","unseasoned")&amp;IF(U141=1,", defaulted","")&amp;IF(V141=1,", open","")&amp;"]")</f>
        <v/>
      </c>
    </row>
    <row r="142" customFormat="false" ht="15" hidden="false" customHeight="false" outlineLevel="0" collapsed="false">
      <c r="A142" s="110" t="n">
        <v>138</v>
      </c>
      <c r="B142" s="111" t="str">
        <f aca="false">IFERROR(INDEX('Historical Data'!$A$2:$A$9,MATCH($A142,'Historical Data'!$BE$2:$BE$9,0)),"")</f>
        <v/>
      </c>
      <c r="C142" s="111" t="str">
        <f aca="false">IFERROR(INDEX('Historical Data'!$B$2:$B$9,MATCH($A142,'Historical Data'!$BE$2:$BE$9,0)),"")</f>
        <v/>
      </c>
      <c r="D142" s="111" t="str">
        <f aca="false">IFERROR(INDEX('Historical Data'!$D$2:$D$9,MATCH($A142,'Historical Data'!$BE$2:$BE$9,0)),"")</f>
        <v/>
      </c>
      <c r="E142" s="112" t="str">
        <f aca="false">IFERROR(INDEX('Historical Data'!$E$2:$E$9,MATCH($A142,'Historical Data'!$BE$2:$BE$9,0)),"")</f>
        <v/>
      </c>
      <c r="F142" s="111" t="str">
        <f aca="false">IFERROR(INDEX('Historical Data'!$G$2:$G$9,MATCH($A142,'Historical Data'!$BE$2:$BE$9,0)),"")</f>
        <v/>
      </c>
      <c r="G142" s="111" t="str">
        <f aca="false">IFERROR(INDEX('Historical Data'!$Y$2:$Y$9,MATCH($A142,'Historical Data'!$BE$2:$BE$9,0)),"")</f>
        <v/>
      </c>
      <c r="H142" s="111" t="str">
        <f aca="false">IFERROR(INDEX('Historical Data'!$K$2:$K$9,MATCH($A142,'Historical Data'!$BE$2:$BE$9,0)),"")</f>
        <v/>
      </c>
      <c r="I142" s="111" t="str">
        <f aca="false">IFERROR(INDEX('Historical Data'!$J$2:$J$9,MATCH($A142,'Historical Data'!$BE$2:$BE$9,0)),"")</f>
        <v/>
      </c>
      <c r="J142" s="111" t="str">
        <f aca="false">IFERROR(INDEX('Historical Data'!$L$2:$L$9,MATCH($A142,'Historical Data'!$BE$2:$BE$9,0)),"")</f>
        <v/>
      </c>
      <c r="K142" s="113" t="str">
        <f aca="false">IFERROR(INDEX('Historical Data'!$M$2:$M$9,MATCH($A142,'Historical Data'!$BE$2:$BE$9,0)),"")</f>
        <v/>
      </c>
      <c r="L142" s="114" t="str">
        <f aca="false">IFERROR(INDEX('Historical Data'!$N$2:$N$9,MATCH($A142,'Historical Data'!$BE$2:$BE$9,0)),"")</f>
        <v/>
      </c>
      <c r="M142" s="114" t="str">
        <f aca="false">IFERROR(INDEX('Historical Data'!$Q$2:$Q$9,MATCH($A142,'Historical Data'!$BE$2:$BE$9,0)),"")</f>
        <v/>
      </c>
      <c r="N142" s="115" t="str">
        <f aca="false">IFERROR(INDEX('Historical Data'!$S$2:$S$9,MATCH($A142,'Historical Data'!$BE$2:$BE$9,0)),"")</f>
        <v/>
      </c>
      <c r="O142" s="114" t="str">
        <f aca="false">IFERROR(INDEX('Historical Data'!$AJ$2:$AJ$9,MATCH($A142,'Historical Data'!$BE$2:$BE$9,0)),"")</f>
        <v/>
      </c>
      <c r="P142" s="114" t="str">
        <f aca="false">IFERROR(INDEX('Historical Data'!$AK$2:$AK$9,MATCH($A142,'Historical Data'!$BE$2:$BE$9,0)),"")</f>
        <v/>
      </c>
      <c r="Q142" s="111" t="str">
        <f aca="false">IFERROR(INDEX('Historical Data'!$AA$2:$AA$9,MATCH($A142,'Historical Data'!$BE$2:$BE$9,0)),"")</f>
        <v/>
      </c>
      <c r="R142" s="111" t="str">
        <f aca="false">IFERROR(INDEX('Historical Data'!$AB$2:$AB$9,MATCH($A142,'Historical Data'!$BE$2:$BE$9,0)),"")</f>
        <v/>
      </c>
      <c r="S142" s="111" t="str">
        <f aca="false">IFERROR(INDEX('Historical Data'!$AN$2:$AN$9,MATCH($A142,'Historical Data'!$BE$2:$BE$9,0)),"")</f>
        <v/>
      </c>
      <c r="T142" s="111" t="str">
        <f aca="false">IFERROR(INDEX('Historical Data'!$AC$2:$AC$9,MATCH($A142,'Historical Data'!$BE$2:$BE$9,0)),"")</f>
        <v/>
      </c>
      <c r="U142" s="111" t="str">
        <f aca="false">IFERROR(INDEX('Historical Data'!$AE$2:$AE$9,MATCH($A142,'Historical Data'!$BE$2:$BE$9,0)),"")</f>
        <v/>
      </c>
      <c r="V142" s="111" t="str">
        <f aca="false">IFERROR(INDEX('Historical Data'!$AH$2:$AH$9,MATCH($A142,'Historical Data'!$BE$2:$BE$9,0)),"")</f>
        <v/>
      </c>
      <c r="W142" s="111" t="str">
        <f aca="false">IFERROR(INDEX('Historical Data'!$BC$2:$BC$9,MATCH($A142,'Historical Data'!$BE$2:$BE$9,0)),"")</f>
        <v/>
      </c>
      <c r="X142" s="110" t="str">
        <f aca="false">IF(B142="","",IF(W142=1,"NR + industry + position",IF(W142=2,"NR + ISO + position",IF(W142=3,"NR + industry",IF(W142=4,"NR + ISO",IF(W142=5,"NR + position",IF(W142=6,"NR only","book baseline"))))))&amp;"  ["&amp;IF(T142=1,"seasoned","unseasoned")&amp;IF(U142=1,", defaulted","")&amp;IF(V142=1,", open","")&amp;"]")</f>
        <v/>
      </c>
    </row>
    <row r="143" customFormat="false" ht="15" hidden="false" customHeight="false" outlineLevel="0" collapsed="false">
      <c r="A143" s="110" t="n">
        <v>139</v>
      </c>
      <c r="B143" s="111" t="str">
        <f aca="false">IFERROR(INDEX('Historical Data'!$A$2:$A$9,MATCH($A143,'Historical Data'!$BE$2:$BE$9,0)),"")</f>
        <v/>
      </c>
      <c r="C143" s="111" t="str">
        <f aca="false">IFERROR(INDEX('Historical Data'!$B$2:$B$9,MATCH($A143,'Historical Data'!$BE$2:$BE$9,0)),"")</f>
        <v/>
      </c>
      <c r="D143" s="111" t="str">
        <f aca="false">IFERROR(INDEX('Historical Data'!$D$2:$D$9,MATCH($A143,'Historical Data'!$BE$2:$BE$9,0)),"")</f>
        <v/>
      </c>
      <c r="E143" s="112" t="str">
        <f aca="false">IFERROR(INDEX('Historical Data'!$E$2:$E$9,MATCH($A143,'Historical Data'!$BE$2:$BE$9,0)),"")</f>
        <v/>
      </c>
      <c r="F143" s="111" t="str">
        <f aca="false">IFERROR(INDEX('Historical Data'!$G$2:$G$9,MATCH($A143,'Historical Data'!$BE$2:$BE$9,0)),"")</f>
        <v/>
      </c>
      <c r="G143" s="111" t="str">
        <f aca="false">IFERROR(INDEX('Historical Data'!$Y$2:$Y$9,MATCH($A143,'Historical Data'!$BE$2:$BE$9,0)),"")</f>
        <v/>
      </c>
      <c r="H143" s="111" t="str">
        <f aca="false">IFERROR(INDEX('Historical Data'!$K$2:$K$9,MATCH($A143,'Historical Data'!$BE$2:$BE$9,0)),"")</f>
        <v/>
      </c>
      <c r="I143" s="111" t="str">
        <f aca="false">IFERROR(INDEX('Historical Data'!$J$2:$J$9,MATCH($A143,'Historical Data'!$BE$2:$BE$9,0)),"")</f>
        <v/>
      </c>
      <c r="J143" s="111" t="str">
        <f aca="false">IFERROR(INDEX('Historical Data'!$L$2:$L$9,MATCH($A143,'Historical Data'!$BE$2:$BE$9,0)),"")</f>
        <v/>
      </c>
      <c r="K143" s="113" t="str">
        <f aca="false">IFERROR(INDEX('Historical Data'!$M$2:$M$9,MATCH($A143,'Historical Data'!$BE$2:$BE$9,0)),"")</f>
        <v/>
      </c>
      <c r="L143" s="114" t="str">
        <f aca="false">IFERROR(INDEX('Historical Data'!$N$2:$N$9,MATCH($A143,'Historical Data'!$BE$2:$BE$9,0)),"")</f>
        <v/>
      </c>
      <c r="M143" s="114" t="str">
        <f aca="false">IFERROR(INDEX('Historical Data'!$Q$2:$Q$9,MATCH($A143,'Historical Data'!$BE$2:$BE$9,0)),"")</f>
        <v/>
      </c>
      <c r="N143" s="115" t="str">
        <f aca="false">IFERROR(INDEX('Historical Data'!$S$2:$S$9,MATCH($A143,'Historical Data'!$BE$2:$BE$9,0)),"")</f>
        <v/>
      </c>
      <c r="O143" s="114" t="str">
        <f aca="false">IFERROR(INDEX('Historical Data'!$AJ$2:$AJ$9,MATCH($A143,'Historical Data'!$BE$2:$BE$9,0)),"")</f>
        <v/>
      </c>
      <c r="P143" s="114" t="str">
        <f aca="false">IFERROR(INDEX('Historical Data'!$AK$2:$AK$9,MATCH($A143,'Historical Data'!$BE$2:$BE$9,0)),"")</f>
        <v/>
      </c>
      <c r="Q143" s="111" t="str">
        <f aca="false">IFERROR(INDEX('Historical Data'!$AA$2:$AA$9,MATCH($A143,'Historical Data'!$BE$2:$BE$9,0)),"")</f>
        <v/>
      </c>
      <c r="R143" s="111" t="str">
        <f aca="false">IFERROR(INDEX('Historical Data'!$AB$2:$AB$9,MATCH($A143,'Historical Data'!$BE$2:$BE$9,0)),"")</f>
        <v/>
      </c>
      <c r="S143" s="111" t="str">
        <f aca="false">IFERROR(INDEX('Historical Data'!$AN$2:$AN$9,MATCH($A143,'Historical Data'!$BE$2:$BE$9,0)),"")</f>
        <v/>
      </c>
      <c r="T143" s="111" t="str">
        <f aca="false">IFERROR(INDEX('Historical Data'!$AC$2:$AC$9,MATCH($A143,'Historical Data'!$BE$2:$BE$9,0)),"")</f>
        <v/>
      </c>
      <c r="U143" s="111" t="str">
        <f aca="false">IFERROR(INDEX('Historical Data'!$AE$2:$AE$9,MATCH($A143,'Historical Data'!$BE$2:$BE$9,0)),"")</f>
        <v/>
      </c>
      <c r="V143" s="111" t="str">
        <f aca="false">IFERROR(INDEX('Historical Data'!$AH$2:$AH$9,MATCH($A143,'Historical Data'!$BE$2:$BE$9,0)),"")</f>
        <v/>
      </c>
      <c r="W143" s="111" t="str">
        <f aca="false">IFERROR(INDEX('Historical Data'!$BC$2:$BC$9,MATCH($A143,'Historical Data'!$BE$2:$BE$9,0)),"")</f>
        <v/>
      </c>
      <c r="X143" s="110" t="str">
        <f aca="false">IF(B143="","",IF(W143=1,"NR + industry + position",IF(W143=2,"NR + ISO + position",IF(W143=3,"NR + industry",IF(W143=4,"NR + ISO",IF(W143=5,"NR + position",IF(W143=6,"NR only","book baseline"))))))&amp;"  ["&amp;IF(T143=1,"seasoned","unseasoned")&amp;IF(U143=1,", defaulted","")&amp;IF(V143=1,", open","")&amp;"]")</f>
        <v/>
      </c>
    </row>
    <row r="144" customFormat="false" ht="15" hidden="false" customHeight="false" outlineLevel="0" collapsed="false">
      <c r="A144" s="110" t="n">
        <v>140</v>
      </c>
      <c r="B144" s="111" t="str">
        <f aca="false">IFERROR(INDEX('Historical Data'!$A$2:$A$9,MATCH($A144,'Historical Data'!$BE$2:$BE$9,0)),"")</f>
        <v/>
      </c>
      <c r="C144" s="111" t="str">
        <f aca="false">IFERROR(INDEX('Historical Data'!$B$2:$B$9,MATCH($A144,'Historical Data'!$BE$2:$BE$9,0)),"")</f>
        <v/>
      </c>
      <c r="D144" s="111" t="str">
        <f aca="false">IFERROR(INDEX('Historical Data'!$D$2:$D$9,MATCH($A144,'Historical Data'!$BE$2:$BE$9,0)),"")</f>
        <v/>
      </c>
      <c r="E144" s="112" t="str">
        <f aca="false">IFERROR(INDEX('Historical Data'!$E$2:$E$9,MATCH($A144,'Historical Data'!$BE$2:$BE$9,0)),"")</f>
        <v/>
      </c>
      <c r="F144" s="111" t="str">
        <f aca="false">IFERROR(INDEX('Historical Data'!$G$2:$G$9,MATCH($A144,'Historical Data'!$BE$2:$BE$9,0)),"")</f>
        <v/>
      </c>
      <c r="G144" s="111" t="str">
        <f aca="false">IFERROR(INDEX('Historical Data'!$Y$2:$Y$9,MATCH($A144,'Historical Data'!$BE$2:$BE$9,0)),"")</f>
        <v/>
      </c>
      <c r="H144" s="111" t="str">
        <f aca="false">IFERROR(INDEX('Historical Data'!$K$2:$K$9,MATCH($A144,'Historical Data'!$BE$2:$BE$9,0)),"")</f>
        <v/>
      </c>
      <c r="I144" s="111" t="str">
        <f aca="false">IFERROR(INDEX('Historical Data'!$J$2:$J$9,MATCH($A144,'Historical Data'!$BE$2:$BE$9,0)),"")</f>
        <v/>
      </c>
      <c r="J144" s="111" t="str">
        <f aca="false">IFERROR(INDEX('Historical Data'!$L$2:$L$9,MATCH($A144,'Historical Data'!$BE$2:$BE$9,0)),"")</f>
        <v/>
      </c>
      <c r="K144" s="113" t="str">
        <f aca="false">IFERROR(INDEX('Historical Data'!$M$2:$M$9,MATCH($A144,'Historical Data'!$BE$2:$BE$9,0)),"")</f>
        <v/>
      </c>
      <c r="L144" s="114" t="str">
        <f aca="false">IFERROR(INDEX('Historical Data'!$N$2:$N$9,MATCH($A144,'Historical Data'!$BE$2:$BE$9,0)),"")</f>
        <v/>
      </c>
      <c r="M144" s="114" t="str">
        <f aca="false">IFERROR(INDEX('Historical Data'!$Q$2:$Q$9,MATCH($A144,'Historical Data'!$BE$2:$BE$9,0)),"")</f>
        <v/>
      </c>
      <c r="N144" s="115" t="str">
        <f aca="false">IFERROR(INDEX('Historical Data'!$S$2:$S$9,MATCH($A144,'Historical Data'!$BE$2:$BE$9,0)),"")</f>
        <v/>
      </c>
      <c r="O144" s="114" t="str">
        <f aca="false">IFERROR(INDEX('Historical Data'!$AJ$2:$AJ$9,MATCH($A144,'Historical Data'!$BE$2:$BE$9,0)),"")</f>
        <v/>
      </c>
      <c r="P144" s="114" t="str">
        <f aca="false">IFERROR(INDEX('Historical Data'!$AK$2:$AK$9,MATCH($A144,'Historical Data'!$BE$2:$BE$9,0)),"")</f>
        <v/>
      </c>
      <c r="Q144" s="111" t="str">
        <f aca="false">IFERROR(INDEX('Historical Data'!$AA$2:$AA$9,MATCH($A144,'Historical Data'!$BE$2:$BE$9,0)),"")</f>
        <v/>
      </c>
      <c r="R144" s="111" t="str">
        <f aca="false">IFERROR(INDEX('Historical Data'!$AB$2:$AB$9,MATCH($A144,'Historical Data'!$BE$2:$BE$9,0)),"")</f>
        <v/>
      </c>
      <c r="S144" s="111" t="str">
        <f aca="false">IFERROR(INDEX('Historical Data'!$AN$2:$AN$9,MATCH($A144,'Historical Data'!$BE$2:$BE$9,0)),"")</f>
        <v/>
      </c>
      <c r="T144" s="111" t="str">
        <f aca="false">IFERROR(INDEX('Historical Data'!$AC$2:$AC$9,MATCH($A144,'Historical Data'!$BE$2:$BE$9,0)),"")</f>
        <v/>
      </c>
      <c r="U144" s="111" t="str">
        <f aca="false">IFERROR(INDEX('Historical Data'!$AE$2:$AE$9,MATCH($A144,'Historical Data'!$BE$2:$BE$9,0)),"")</f>
        <v/>
      </c>
      <c r="V144" s="111" t="str">
        <f aca="false">IFERROR(INDEX('Historical Data'!$AH$2:$AH$9,MATCH($A144,'Historical Data'!$BE$2:$BE$9,0)),"")</f>
        <v/>
      </c>
      <c r="W144" s="111" t="str">
        <f aca="false">IFERROR(INDEX('Historical Data'!$BC$2:$BC$9,MATCH($A144,'Historical Data'!$BE$2:$BE$9,0)),"")</f>
        <v/>
      </c>
      <c r="X144" s="110" t="str">
        <f aca="false">IF(B144="","",IF(W144=1,"NR + industry + position",IF(W144=2,"NR + ISO + position",IF(W144=3,"NR + industry",IF(W144=4,"NR + ISO",IF(W144=5,"NR + position",IF(W144=6,"NR only","book baseline"))))))&amp;"  ["&amp;IF(T144=1,"seasoned","unseasoned")&amp;IF(U144=1,", defaulted","")&amp;IF(V144=1,", open","")&amp;"]")</f>
        <v/>
      </c>
    </row>
    <row r="145" customFormat="false" ht="15" hidden="false" customHeight="false" outlineLevel="0" collapsed="false">
      <c r="A145" s="110" t="n">
        <v>141</v>
      </c>
      <c r="B145" s="111" t="str">
        <f aca="false">IFERROR(INDEX('Historical Data'!$A$2:$A$9,MATCH($A145,'Historical Data'!$BE$2:$BE$9,0)),"")</f>
        <v/>
      </c>
      <c r="C145" s="111" t="str">
        <f aca="false">IFERROR(INDEX('Historical Data'!$B$2:$B$9,MATCH($A145,'Historical Data'!$BE$2:$BE$9,0)),"")</f>
        <v/>
      </c>
      <c r="D145" s="111" t="str">
        <f aca="false">IFERROR(INDEX('Historical Data'!$D$2:$D$9,MATCH($A145,'Historical Data'!$BE$2:$BE$9,0)),"")</f>
        <v/>
      </c>
      <c r="E145" s="112" t="str">
        <f aca="false">IFERROR(INDEX('Historical Data'!$E$2:$E$9,MATCH($A145,'Historical Data'!$BE$2:$BE$9,0)),"")</f>
        <v/>
      </c>
      <c r="F145" s="111" t="str">
        <f aca="false">IFERROR(INDEX('Historical Data'!$G$2:$G$9,MATCH($A145,'Historical Data'!$BE$2:$BE$9,0)),"")</f>
        <v/>
      </c>
      <c r="G145" s="111" t="str">
        <f aca="false">IFERROR(INDEX('Historical Data'!$Y$2:$Y$9,MATCH($A145,'Historical Data'!$BE$2:$BE$9,0)),"")</f>
        <v/>
      </c>
      <c r="H145" s="111" t="str">
        <f aca="false">IFERROR(INDEX('Historical Data'!$K$2:$K$9,MATCH($A145,'Historical Data'!$BE$2:$BE$9,0)),"")</f>
        <v/>
      </c>
      <c r="I145" s="111" t="str">
        <f aca="false">IFERROR(INDEX('Historical Data'!$J$2:$J$9,MATCH($A145,'Historical Data'!$BE$2:$BE$9,0)),"")</f>
        <v/>
      </c>
      <c r="J145" s="111" t="str">
        <f aca="false">IFERROR(INDEX('Historical Data'!$L$2:$L$9,MATCH($A145,'Historical Data'!$BE$2:$BE$9,0)),"")</f>
        <v/>
      </c>
      <c r="K145" s="113" t="str">
        <f aca="false">IFERROR(INDEX('Historical Data'!$M$2:$M$9,MATCH($A145,'Historical Data'!$BE$2:$BE$9,0)),"")</f>
        <v/>
      </c>
      <c r="L145" s="114" t="str">
        <f aca="false">IFERROR(INDEX('Historical Data'!$N$2:$N$9,MATCH($A145,'Historical Data'!$BE$2:$BE$9,0)),"")</f>
        <v/>
      </c>
      <c r="M145" s="114" t="str">
        <f aca="false">IFERROR(INDEX('Historical Data'!$Q$2:$Q$9,MATCH($A145,'Historical Data'!$BE$2:$BE$9,0)),"")</f>
        <v/>
      </c>
      <c r="N145" s="115" t="str">
        <f aca="false">IFERROR(INDEX('Historical Data'!$S$2:$S$9,MATCH($A145,'Historical Data'!$BE$2:$BE$9,0)),"")</f>
        <v/>
      </c>
      <c r="O145" s="114" t="str">
        <f aca="false">IFERROR(INDEX('Historical Data'!$AJ$2:$AJ$9,MATCH($A145,'Historical Data'!$BE$2:$BE$9,0)),"")</f>
        <v/>
      </c>
      <c r="P145" s="114" t="str">
        <f aca="false">IFERROR(INDEX('Historical Data'!$AK$2:$AK$9,MATCH($A145,'Historical Data'!$BE$2:$BE$9,0)),"")</f>
        <v/>
      </c>
      <c r="Q145" s="111" t="str">
        <f aca="false">IFERROR(INDEX('Historical Data'!$AA$2:$AA$9,MATCH($A145,'Historical Data'!$BE$2:$BE$9,0)),"")</f>
        <v/>
      </c>
      <c r="R145" s="111" t="str">
        <f aca="false">IFERROR(INDEX('Historical Data'!$AB$2:$AB$9,MATCH($A145,'Historical Data'!$BE$2:$BE$9,0)),"")</f>
        <v/>
      </c>
      <c r="S145" s="111" t="str">
        <f aca="false">IFERROR(INDEX('Historical Data'!$AN$2:$AN$9,MATCH($A145,'Historical Data'!$BE$2:$BE$9,0)),"")</f>
        <v/>
      </c>
      <c r="T145" s="111" t="str">
        <f aca="false">IFERROR(INDEX('Historical Data'!$AC$2:$AC$9,MATCH($A145,'Historical Data'!$BE$2:$BE$9,0)),"")</f>
        <v/>
      </c>
      <c r="U145" s="111" t="str">
        <f aca="false">IFERROR(INDEX('Historical Data'!$AE$2:$AE$9,MATCH($A145,'Historical Data'!$BE$2:$BE$9,0)),"")</f>
        <v/>
      </c>
      <c r="V145" s="111" t="str">
        <f aca="false">IFERROR(INDEX('Historical Data'!$AH$2:$AH$9,MATCH($A145,'Historical Data'!$BE$2:$BE$9,0)),"")</f>
        <v/>
      </c>
      <c r="W145" s="111" t="str">
        <f aca="false">IFERROR(INDEX('Historical Data'!$BC$2:$BC$9,MATCH($A145,'Historical Data'!$BE$2:$BE$9,0)),"")</f>
        <v/>
      </c>
      <c r="X145" s="110" t="str">
        <f aca="false">IF(B145="","",IF(W145=1,"NR + industry + position",IF(W145=2,"NR + ISO + position",IF(W145=3,"NR + industry",IF(W145=4,"NR + ISO",IF(W145=5,"NR + position",IF(W145=6,"NR only","book baseline"))))))&amp;"  ["&amp;IF(T145=1,"seasoned","unseasoned")&amp;IF(U145=1,", defaulted","")&amp;IF(V145=1,", open","")&amp;"]")</f>
        <v/>
      </c>
    </row>
    <row r="146" customFormat="false" ht="15" hidden="false" customHeight="false" outlineLevel="0" collapsed="false">
      <c r="A146" s="110" t="n">
        <v>142</v>
      </c>
      <c r="B146" s="111" t="str">
        <f aca="false">IFERROR(INDEX('Historical Data'!$A$2:$A$9,MATCH($A146,'Historical Data'!$BE$2:$BE$9,0)),"")</f>
        <v/>
      </c>
      <c r="C146" s="111" t="str">
        <f aca="false">IFERROR(INDEX('Historical Data'!$B$2:$B$9,MATCH($A146,'Historical Data'!$BE$2:$BE$9,0)),"")</f>
        <v/>
      </c>
      <c r="D146" s="111" t="str">
        <f aca="false">IFERROR(INDEX('Historical Data'!$D$2:$D$9,MATCH($A146,'Historical Data'!$BE$2:$BE$9,0)),"")</f>
        <v/>
      </c>
      <c r="E146" s="112" t="str">
        <f aca="false">IFERROR(INDEX('Historical Data'!$E$2:$E$9,MATCH($A146,'Historical Data'!$BE$2:$BE$9,0)),"")</f>
        <v/>
      </c>
      <c r="F146" s="111" t="str">
        <f aca="false">IFERROR(INDEX('Historical Data'!$G$2:$G$9,MATCH($A146,'Historical Data'!$BE$2:$BE$9,0)),"")</f>
        <v/>
      </c>
      <c r="G146" s="111" t="str">
        <f aca="false">IFERROR(INDEX('Historical Data'!$Y$2:$Y$9,MATCH($A146,'Historical Data'!$BE$2:$BE$9,0)),"")</f>
        <v/>
      </c>
      <c r="H146" s="111" t="str">
        <f aca="false">IFERROR(INDEX('Historical Data'!$K$2:$K$9,MATCH($A146,'Historical Data'!$BE$2:$BE$9,0)),"")</f>
        <v/>
      </c>
      <c r="I146" s="111" t="str">
        <f aca="false">IFERROR(INDEX('Historical Data'!$J$2:$J$9,MATCH($A146,'Historical Data'!$BE$2:$BE$9,0)),"")</f>
        <v/>
      </c>
      <c r="J146" s="111" t="str">
        <f aca="false">IFERROR(INDEX('Historical Data'!$L$2:$L$9,MATCH($A146,'Historical Data'!$BE$2:$BE$9,0)),"")</f>
        <v/>
      </c>
      <c r="K146" s="113" t="str">
        <f aca="false">IFERROR(INDEX('Historical Data'!$M$2:$M$9,MATCH($A146,'Historical Data'!$BE$2:$BE$9,0)),"")</f>
        <v/>
      </c>
      <c r="L146" s="114" t="str">
        <f aca="false">IFERROR(INDEX('Historical Data'!$N$2:$N$9,MATCH($A146,'Historical Data'!$BE$2:$BE$9,0)),"")</f>
        <v/>
      </c>
      <c r="M146" s="114" t="str">
        <f aca="false">IFERROR(INDEX('Historical Data'!$Q$2:$Q$9,MATCH($A146,'Historical Data'!$BE$2:$BE$9,0)),"")</f>
        <v/>
      </c>
      <c r="N146" s="115" t="str">
        <f aca="false">IFERROR(INDEX('Historical Data'!$S$2:$S$9,MATCH($A146,'Historical Data'!$BE$2:$BE$9,0)),"")</f>
        <v/>
      </c>
      <c r="O146" s="114" t="str">
        <f aca="false">IFERROR(INDEX('Historical Data'!$AJ$2:$AJ$9,MATCH($A146,'Historical Data'!$BE$2:$BE$9,0)),"")</f>
        <v/>
      </c>
      <c r="P146" s="114" t="str">
        <f aca="false">IFERROR(INDEX('Historical Data'!$AK$2:$AK$9,MATCH($A146,'Historical Data'!$BE$2:$BE$9,0)),"")</f>
        <v/>
      </c>
      <c r="Q146" s="111" t="str">
        <f aca="false">IFERROR(INDEX('Historical Data'!$AA$2:$AA$9,MATCH($A146,'Historical Data'!$BE$2:$BE$9,0)),"")</f>
        <v/>
      </c>
      <c r="R146" s="111" t="str">
        <f aca="false">IFERROR(INDEX('Historical Data'!$AB$2:$AB$9,MATCH($A146,'Historical Data'!$BE$2:$BE$9,0)),"")</f>
        <v/>
      </c>
      <c r="S146" s="111" t="str">
        <f aca="false">IFERROR(INDEX('Historical Data'!$AN$2:$AN$9,MATCH($A146,'Historical Data'!$BE$2:$BE$9,0)),"")</f>
        <v/>
      </c>
      <c r="T146" s="111" t="str">
        <f aca="false">IFERROR(INDEX('Historical Data'!$AC$2:$AC$9,MATCH($A146,'Historical Data'!$BE$2:$BE$9,0)),"")</f>
        <v/>
      </c>
      <c r="U146" s="111" t="str">
        <f aca="false">IFERROR(INDEX('Historical Data'!$AE$2:$AE$9,MATCH($A146,'Historical Data'!$BE$2:$BE$9,0)),"")</f>
        <v/>
      </c>
      <c r="V146" s="111" t="str">
        <f aca="false">IFERROR(INDEX('Historical Data'!$AH$2:$AH$9,MATCH($A146,'Historical Data'!$BE$2:$BE$9,0)),"")</f>
        <v/>
      </c>
      <c r="W146" s="111" t="str">
        <f aca="false">IFERROR(INDEX('Historical Data'!$BC$2:$BC$9,MATCH($A146,'Historical Data'!$BE$2:$BE$9,0)),"")</f>
        <v/>
      </c>
      <c r="X146" s="110" t="str">
        <f aca="false">IF(B146="","",IF(W146=1,"NR + industry + position",IF(W146=2,"NR + ISO + position",IF(W146=3,"NR + industry",IF(W146=4,"NR + ISO",IF(W146=5,"NR + position",IF(W146=6,"NR only","book baseline"))))))&amp;"  ["&amp;IF(T146=1,"seasoned","unseasoned")&amp;IF(U146=1,", defaulted","")&amp;IF(V146=1,", open","")&amp;"]")</f>
        <v/>
      </c>
    </row>
    <row r="147" customFormat="false" ht="15" hidden="false" customHeight="false" outlineLevel="0" collapsed="false">
      <c r="A147" s="110" t="n">
        <v>143</v>
      </c>
      <c r="B147" s="111" t="str">
        <f aca="false">IFERROR(INDEX('Historical Data'!$A$2:$A$9,MATCH($A147,'Historical Data'!$BE$2:$BE$9,0)),"")</f>
        <v/>
      </c>
      <c r="C147" s="111" t="str">
        <f aca="false">IFERROR(INDEX('Historical Data'!$B$2:$B$9,MATCH($A147,'Historical Data'!$BE$2:$BE$9,0)),"")</f>
        <v/>
      </c>
      <c r="D147" s="111" t="str">
        <f aca="false">IFERROR(INDEX('Historical Data'!$D$2:$D$9,MATCH($A147,'Historical Data'!$BE$2:$BE$9,0)),"")</f>
        <v/>
      </c>
      <c r="E147" s="112" t="str">
        <f aca="false">IFERROR(INDEX('Historical Data'!$E$2:$E$9,MATCH($A147,'Historical Data'!$BE$2:$BE$9,0)),"")</f>
        <v/>
      </c>
      <c r="F147" s="111" t="str">
        <f aca="false">IFERROR(INDEX('Historical Data'!$G$2:$G$9,MATCH($A147,'Historical Data'!$BE$2:$BE$9,0)),"")</f>
        <v/>
      </c>
      <c r="G147" s="111" t="str">
        <f aca="false">IFERROR(INDEX('Historical Data'!$Y$2:$Y$9,MATCH($A147,'Historical Data'!$BE$2:$BE$9,0)),"")</f>
        <v/>
      </c>
      <c r="H147" s="111" t="str">
        <f aca="false">IFERROR(INDEX('Historical Data'!$K$2:$K$9,MATCH($A147,'Historical Data'!$BE$2:$BE$9,0)),"")</f>
        <v/>
      </c>
      <c r="I147" s="111" t="str">
        <f aca="false">IFERROR(INDEX('Historical Data'!$J$2:$J$9,MATCH($A147,'Historical Data'!$BE$2:$BE$9,0)),"")</f>
        <v/>
      </c>
      <c r="J147" s="111" t="str">
        <f aca="false">IFERROR(INDEX('Historical Data'!$L$2:$L$9,MATCH($A147,'Historical Data'!$BE$2:$BE$9,0)),"")</f>
        <v/>
      </c>
      <c r="K147" s="113" t="str">
        <f aca="false">IFERROR(INDEX('Historical Data'!$M$2:$M$9,MATCH($A147,'Historical Data'!$BE$2:$BE$9,0)),"")</f>
        <v/>
      </c>
      <c r="L147" s="114" t="str">
        <f aca="false">IFERROR(INDEX('Historical Data'!$N$2:$N$9,MATCH($A147,'Historical Data'!$BE$2:$BE$9,0)),"")</f>
        <v/>
      </c>
      <c r="M147" s="114" t="str">
        <f aca="false">IFERROR(INDEX('Historical Data'!$Q$2:$Q$9,MATCH($A147,'Historical Data'!$BE$2:$BE$9,0)),"")</f>
        <v/>
      </c>
      <c r="N147" s="115" t="str">
        <f aca="false">IFERROR(INDEX('Historical Data'!$S$2:$S$9,MATCH($A147,'Historical Data'!$BE$2:$BE$9,0)),"")</f>
        <v/>
      </c>
      <c r="O147" s="114" t="str">
        <f aca="false">IFERROR(INDEX('Historical Data'!$AJ$2:$AJ$9,MATCH($A147,'Historical Data'!$BE$2:$BE$9,0)),"")</f>
        <v/>
      </c>
      <c r="P147" s="114" t="str">
        <f aca="false">IFERROR(INDEX('Historical Data'!$AK$2:$AK$9,MATCH($A147,'Historical Data'!$BE$2:$BE$9,0)),"")</f>
        <v/>
      </c>
      <c r="Q147" s="111" t="str">
        <f aca="false">IFERROR(INDEX('Historical Data'!$AA$2:$AA$9,MATCH($A147,'Historical Data'!$BE$2:$BE$9,0)),"")</f>
        <v/>
      </c>
      <c r="R147" s="111" t="str">
        <f aca="false">IFERROR(INDEX('Historical Data'!$AB$2:$AB$9,MATCH($A147,'Historical Data'!$BE$2:$BE$9,0)),"")</f>
        <v/>
      </c>
      <c r="S147" s="111" t="str">
        <f aca="false">IFERROR(INDEX('Historical Data'!$AN$2:$AN$9,MATCH($A147,'Historical Data'!$BE$2:$BE$9,0)),"")</f>
        <v/>
      </c>
      <c r="T147" s="111" t="str">
        <f aca="false">IFERROR(INDEX('Historical Data'!$AC$2:$AC$9,MATCH($A147,'Historical Data'!$BE$2:$BE$9,0)),"")</f>
        <v/>
      </c>
      <c r="U147" s="111" t="str">
        <f aca="false">IFERROR(INDEX('Historical Data'!$AE$2:$AE$9,MATCH($A147,'Historical Data'!$BE$2:$BE$9,0)),"")</f>
        <v/>
      </c>
      <c r="V147" s="111" t="str">
        <f aca="false">IFERROR(INDEX('Historical Data'!$AH$2:$AH$9,MATCH($A147,'Historical Data'!$BE$2:$BE$9,0)),"")</f>
        <v/>
      </c>
      <c r="W147" s="111" t="str">
        <f aca="false">IFERROR(INDEX('Historical Data'!$BC$2:$BC$9,MATCH($A147,'Historical Data'!$BE$2:$BE$9,0)),"")</f>
        <v/>
      </c>
      <c r="X147" s="110" t="str">
        <f aca="false">IF(B147="","",IF(W147=1,"NR + industry + position",IF(W147=2,"NR + ISO + position",IF(W147=3,"NR + industry",IF(W147=4,"NR + ISO",IF(W147=5,"NR + position",IF(W147=6,"NR only","book baseline"))))))&amp;"  ["&amp;IF(T147=1,"seasoned","unseasoned")&amp;IF(U147=1,", defaulted","")&amp;IF(V147=1,", open","")&amp;"]")</f>
        <v/>
      </c>
    </row>
    <row r="148" customFormat="false" ht="15" hidden="false" customHeight="false" outlineLevel="0" collapsed="false">
      <c r="A148" s="110" t="n">
        <v>144</v>
      </c>
      <c r="B148" s="111" t="str">
        <f aca="false">IFERROR(INDEX('Historical Data'!$A$2:$A$9,MATCH($A148,'Historical Data'!$BE$2:$BE$9,0)),"")</f>
        <v/>
      </c>
      <c r="C148" s="111" t="str">
        <f aca="false">IFERROR(INDEX('Historical Data'!$B$2:$B$9,MATCH($A148,'Historical Data'!$BE$2:$BE$9,0)),"")</f>
        <v/>
      </c>
      <c r="D148" s="111" t="str">
        <f aca="false">IFERROR(INDEX('Historical Data'!$D$2:$D$9,MATCH($A148,'Historical Data'!$BE$2:$BE$9,0)),"")</f>
        <v/>
      </c>
      <c r="E148" s="112" t="str">
        <f aca="false">IFERROR(INDEX('Historical Data'!$E$2:$E$9,MATCH($A148,'Historical Data'!$BE$2:$BE$9,0)),"")</f>
        <v/>
      </c>
      <c r="F148" s="111" t="str">
        <f aca="false">IFERROR(INDEX('Historical Data'!$G$2:$G$9,MATCH($A148,'Historical Data'!$BE$2:$BE$9,0)),"")</f>
        <v/>
      </c>
      <c r="G148" s="111" t="str">
        <f aca="false">IFERROR(INDEX('Historical Data'!$Y$2:$Y$9,MATCH($A148,'Historical Data'!$BE$2:$BE$9,0)),"")</f>
        <v/>
      </c>
      <c r="H148" s="111" t="str">
        <f aca="false">IFERROR(INDEX('Historical Data'!$K$2:$K$9,MATCH($A148,'Historical Data'!$BE$2:$BE$9,0)),"")</f>
        <v/>
      </c>
      <c r="I148" s="111" t="str">
        <f aca="false">IFERROR(INDEX('Historical Data'!$J$2:$J$9,MATCH($A148,'Historical Data'!$BE$2:$BE$9,0)),"")</f>
        <v/>
      </c>
      <c r="J148" s="111" t="str">
        <f aca="false">IFERROR(INDEX('Historical Data'!$L$2:$L$9,MATCH($A148,'Historical Data'!$BE$2:$BE$9,0)),"")</f>
        <v/>
      </c>
      <c r="K148" s="113" t="str">
        <f aca="false">IFERROR(INDEX('Historical Data'!$M$2:$M$9,MATCH($A148,'Historical Data'!$BE$2:$BE$9,0)),"")</f>
        <v/>
      </c>
      <c r="L148" s="114" t="str">
        <f aca="false">IFERROR(INDEX('Historical Data'!$N$2:$N$9,MATCH($A148,'Historical Data'!$BE$2:$BE$9,0)),"")</f>
        <v/>
      </c>
      <c r="M148" s="114" t="str">
        <f aca="false">IFERROR(INDEX('Historical Data'!$Q$2:$Q$9,MATCH($A148,'Historical Data'!$BE$2:$BE$9,0)),"")</f>
        <v/>
      </c>
      <c r="N148" s="115" t="str">
        <f aca="false">IFERROR(INDEX('Historical Data'!$S$2:$S$9,MATCH($A148,'Historical Data'!$BE$2:$BE$9,0)),"")</f>
        <v/>
      </c>
      <c r="O148" s="114" t="str">
        <f aca="false">IFERROR(INDEX('Historical Data'!$AJ$2:$AJ$9,MATCH($A148,'Historical Data'!$BE$2:$BE$9,0)),"")</f>
        <v/>
      </c>
      <c r="P148" s="114" t="str">
        <f aca="false">IFERROR(INDEX('Historical Data'!$AK$2:$AK$9,MATCH($A148,'Historical Data'!$BE$2:$BE$9,0)),"")</f>
        <v/>
      </c>
      <c r="Q148" s="111" t="str">
        <f aca="false">IFERROR(INDEX('Historical Data'!$AA$2:$AA$9,MATCH($A148,'Historical Data'!$BE$2:$BE$9,0)),"")</f>
        <v/>
      </c>
      <c r="R148" s="111" t="str">
        <f aca="false">IFERROR(INDEX('Historical Data'!$AB$2:$AB$9,MATCH($A148,'Historical Data'!$BE$2:$BE$9,0)),"")</f>
        <v/>
      </c>
      <c r="S148" s="111" t="str">
        <f aca="false">IFERROR(INDEX('Historical Data'!$AN$2:$AN$9,MATCH($A148,'Historical Data'!$BE$2:$BE$9,0)),"")</f>
        <v/>
      </c>
      <c r="T148" s="111" t="str">
        <f aca="false">IFERROR(INDEX('Historical Data'!$AC$2:$AC$9,MATCH($A148,'Historical Data'!$BE$2:$BE$9,0)),"")</f>
        <v/>
      </c>
      <c r="U148" s="111" t="str">
        <f aca="false">IFERROR(INDEX('Historical Data'!$AE$2:$AE$9,MATCH($A148,'Historical Data'!$BE$2:$BE$9,0)),"")</f>
        <v/>
      </c>
      <c r="V148" s="111" t="str">
        <f aca="false">IFERROR(INDEX('Historical Data'!$AH$2:$AH$9,MATCH($A148,'Historical Data'!$BE$2:$BE$9,0)),"")</f>
        <v/>
      </c>
      <c r="W148" s="111" t="str">
        <f aca="false">IFERROR(INDEX('Historical Data'!$BC$2:$BC$9,MATCH($A148,'Historical Data'!$BE$2:$BE$9,0)),"")</f>
        <v/>
      </c>
      <c r="X148" s="110" t="str">
        <f aca="false">IF(B148="","",IF(W148=1,"NR + industry + position",IF(W148=2,"NR + ISO + position",IF(W148=3,"NR + industry",IF(W148=4,"NR + ISO",IF(W148=5,"NR + position",IF(W148=6,"NR only","book baseline"))))))&amp;"  ["&amp;IF(T148=1,"seasoned","unseasoned")&amp;IF(U148=1,", defaulted","")&amp;IF(V148=1,", open","")&amp;"]")</f>
        <v/>
      </c>
    </row>
    <row r="149" customFormat="false" ht="15" hidden="false" customHeight="false" outlineLevel="0" collapsed="false">
      <c r="A149" s="110" t="n">
        <v>145</v>
      </c>
      <c r="B149" s="111" t="str">
        <f aca="false">IFERROR(INDEX('Historical Data'!$A$2:$A$9,MATCH($A149,'Historical Data'!$BE$2:$BE$9,0)),"")</f>
        <v/>
      </c>
      <c r="C149" s="111" t="str">
        <f aca="false">IFERROR(INDEX('Historical Data'!$B$2:$B$9,MATCH($A149,'Historical Data'!$BE$2:$BE$9,0)),"")</f>
        <v/>
      </c>
      <c r="D149" s="111" t="str">
        <f aca="false">IFERROR(INDEX('Historical Data'!$D$2:$D$9,MATCH($A149,'Historical Data'!$BE$2:$BE$9,0)),"")</f>
        <v/>
      </c>
      <c r="E149" s="112" t="str">
        <f aca="false">IFERROR(INDEX('Historical Data'!$E$2:$E$9,MATCH($A149,'Historical Data'!$BE$2:$BE$9,0)),"")</f>
        <v/>
      </c>
      <c r="F149" s="111" t="str">
        <f aca="false">IFERROR(INDEX('Historical Data'!$G$2:$G$9,MATCH($A149,'Historical Data'!$BE$2:$BE$9,0)),"")</f>
        <v/>
      </c>
      <c r="G149" s="111" t="str">
        <f aca="false">IFERROR(INDEX('Historical Data'!$Y$2:$Y$9,MATCH($A149,'Historical Data'!$BE$2:$BE$9,0)),"")</f>
        <v/>
      </c>
      <c r="H149" s="111" t="str">
        <f aca="false">IFERROR(INDEX('Historical Data'!$K$2:$K$9,MATCH($A149,'Historical Data'!$BE$2:$BE$9,0)),"")</f>
        <v/>
      </c>
      <c r="I149" s="111" t="str">
        <f aca="false">IFERROR(INDEX('Historical Data'!$J$2:$J$9,MATCH($A149,'Historical Data'!$BE$2:$BE$9,0)),"")</f>
        <v/>
      </c>
      <c r="J149" s="111" t="str">
        <f aca="false">IFERROR(INDEX('Historical Data'!$L$2:$L$9,MATCH($A149,'Historical Data'!$BE$2:$BE$9,0)),"")</f>
        <v/>
      </c>
      <c r="K149" s="113" t="str">
        <f aca="false">IFERROR(INDEX('Historical Data'!$M$2:$M$9,MATCH($A149,'Historical Data'!$BE$2:$BE$9,0)),"")</f>
        <v/>
      </c>
      <c r="L149" s="114" t="str">
        <f aca="false">IFERROR(INDEX('Historical Data'!$N$2:$N$9,MATCH($A149,'Historical Data'!$BE$2:$BE$9,0)),"")</f>
        <v/>
      </c>
      <c r="M149" s="114" t="str">
        <f aca="false">IFERROR(INDEX('Historical Data'!$Q$2:$Q$9,MATCH($A149,'Historical Data'!$BE$2:$BE$9,0)),"")</f>
        <v/>
      </c>
      <c r="N149" s="115" t="str">
        <f aca="false">IFERROR(INDEX('Historical Data'!$S$2:$S$9,MATCH($A149,'Historical Data'!$BE$2:$BE$9,0)),"")</f>
        <v/>
      </c>
      <c r="O149" s="114" t="str">
        <f aca="false">IFERROR(INDEX('Historical Data'!$AJ$2:$AJ$9,MATCH($A149,'Historical Data'!$BE$2:$BE$9,0)),"")</f>
        <v/>
      </c>
      <c r="P149" s="114" t="str">
        <f aca="false">IFERROR(INDEX('Historical Data'!$AK$2:$AK$9,MATCH($A149,'Historical Data'!$BE$2:$BE$9,0)),"")</f>
        <v/>
      </c>
      <c r="Q149" s="111" t="str">
        <f aca="false">IFERROR(INDEX('Historical Data'!$AA$2:$AA$9,MATCH($A149,'Historical Data'!$BE$2:$BE$9,0)),"")</f>
        <v/>
      </c>
      <c r="R149" s="111" t="str">
        <f aca="false">IFERROR(INDEX('Historical Data'!$AB$2:$AB$9,MATCH($A149,'Historical Data'!$BE$2:$BE$9,0)),"")</f>
        <v/>
      </c>
      <c r="S149" s="111" t="str">
        <f aca="false">IFERROR(INDEX('Historical Data'!$AN$2:$AN$9,MATCH($A149,'Historical Data'!$BE$2:$BE$9,0)),"")</f>
        <v/>
      </c>
      <c r="T149" s="111" t="str">
        <f aca="false">IFERROR(INDEX('Historical Data'!$AC$2:$AC$9,MATCH($A149,'Historical Data'!$BE$2:$BE$9,0)),"")</f>
        <v/>
      </c>
      <c r="U149" s="111" t="str">
        <f aca="false">IFERROR(INDEX('Historical Data'!$AE$2:$AE$9,MATCH($A149,'Historical Data'!$BE$2:$BE$9,0)),"")</f>
        <v/>
      </c>
      <c r="V149" s="111" t="str">
        <f aca="false">IFERROR(INDEX('Historical Data'!$AH$2:$AH$9,MATCH($A149,'Historical Data'!$BE$2:$BE$9,0)),"")</f>
        <v/>
      </c>
      <c r="W149" s="111" t="str">
        <f aca="false">IFERROR(INDEX('Historical Data'!$BC$2:$BC$9,MATCH($A149,'Historical Data'!$BE$2:$BE$9,0)),"")</f>
        <v/>
      </c>
      <c r="X149" s="110" t="str">
        <f aca="false">IF(B149="","",IF(W149=1,"NR + industry + position",IF(W149=2,"NR + ISO + position",IF(W149=3,"NR + industry",IF(W149=4,"NR + ISO",IF(W149=5,"NR + position",IF(W149=6,"NR only","book baseline"))))))&amp;"  ["&amp;IF(T149=1,"seasoned","unseasoned")&amp;IF(U149=1,", defaulted","")&amp;IF(V149=1,", open","")&amp;"]")</f>
        <v/>
      </c>
    </row>
    <row r="150" customFormat="false" ht="15" hidden="false" customHeight="false" outlineLevel="0" collapsed="false">
      <c r="A150" s="110" t="n">
        <v>146</v>
      </c>
      <c r="B150" s="111" t="str">
        <f aca="false">IFERROR(INDEX('Historical Data'!$A$2:$A$9,MATCH($A150,'Historical Data'!$BE$2:$BE$9,0)),"")</f>
        <v/>
      </c>
      <c r="C150" s="111" t="str">
        <f aca="false">IFERROR(INDEX('Historical Data'!$B$2:$B$9,MATCH($A150,'Historical Data'!$BE$2:$BE$9,0)),"")</f>
        <v/>
      </c>
      <c r="D150" s="111" t="str">
        <f aca="false">IFERROR(INDEX('Historical Data'!$D$2:$D$9,MATCH($A150,'Historical Data'!$BE$2:$BE$9,0)),"")</f>
        <v/>
      </c>
      <c r="E150" s="112" t="str">
        <f aca="false">IFERROR(INDEX('Historical Data'!$E$2:$E$9,MATCH($A150,'Historical Data'!$BE$2:$BE$9,0)),"")</f>
        <v/>
      </c>
      <c r="F150" s="111" t="str">
        <f aca="false">IFERROR(INDEX('Historical Data'!$G$2:$G$9,MATCH($A150,'Historical Data'!$BE$2:$BE$9,0)),"")</f>
        <v/>
      </c>
      <c r="G150" s="111" t="str">
        <f aca="false">IFERROR(INDEX('Historical Data'!$Y$2:$Y$9,MATCH($A150,'Historical Data'!$BE$2:$BE$9,0)),"")</f>
        <v/>
      </c>
      <c r="H150" s="111" t="str">
        <f aca="false">IFERROR(INDEX('Historical Data'!$K$2:$K$9,MATCH($A150,'Historical Data'!$BE$2:$BE$9,0)),"")</f>
        <v/>
      </c>
      <c r="I150" s="111" t="str">
        <f aca="false">IFERROR(INDEX('Historical Data'!$J$2:$J$9,MATCH($A150,'Historical Data'!$BE$2:$BE$9,0)),"")</f>
        <v/>
      </c>
      <c r="J150" s="111" t="str">
        <f aca="false">IFERROR(INDEX('Historical Data'!$L$2:$L$9,MATCH($A150,'Historical Data'!$BE$2:$BE$9,0)),"")</f>
        <v/>
      </c>
      <c r="K150" s="113" t="str">
        <f aca="false">IFERROR(INDEX('Historical Data'!$M$2:$M$9,MATCH($A150,'Historical Data'!$BE$2:$BE$9,0)),"")</f>
        <v/>
      </c>
      <c r="L150" s="114" t="str">
        <f aca="false">IFERROR(INDEX('Historical Data'!$N$2:$N$9,MATCH($A150,'Historical Data'!$BE$2:$BE$9,0)),"")</f>
        <v/>
      </c>
      <c r="M150" s="114" t="str">
        <f aca="false">IFERROR(INDEX('Historical Data'!$Q$2:$Q$9,MATCH($A150,'Historical Data'!$BE$2:$BE$9,0)),"")</f>
        <v/>
      </c>
      <c r="N150" s="115" t="str">
        <f aca="false">IFERROR(INDEX('Historical Data'!$S$2:$S$9,MATCH($A150,'Historical Data'!$BE$2:$BE$9,0)),"")</f>
        <v/>
      </c>
      <c r="O150" s="114" t="str">
        <f aca="false">IFERROR(INDEX('Historical Data'!$AJ$2:$AJ$9,MATCH($A150,'Historical Data'!$BE$2:$BE$9,0)),"")</f>
        <v/>
      </c>
      <c r="P150" s="114" t="str">
        <f aca="false">IFERROR(INDEX('Historical Data'!$AK$2:$AK$9,MATCH($A150,'Historical Data'!$BE$2:$BE$9,0)),"")</f>
        <v/>
      </c>
      <c r="Q150" s="111" t="str">
        <f aca="false">IFERROR(INDEX('Historical Data'!$AA$2:$AA$9,MATCH($A150,'Historical Data'!$BE$2:$BE$9,0)),"")</f>
        <v/>
      </c>
      <c r="R150" s="111" t="str">
        <f aca="false">IFERROR(INDEX('Historical Data'!$AB$2:$AB$9,MATCH($A150,'Historical Data'!$BE$2:$BE$9,0)),"")</f>
        <v/>
      </c>
      <c r="S150" s="111" t="str">
        <f aca="false">IFERROR(INDEX('Historical Data'!$AN$2:$AN$9,MATCH($A150,'Historical Data'!$BE$2:$BE$9,0)),"")</f>
        <v/>
      </c>
      <c r="T150" s="111" t="str">
        <f aca="false">IFERROR(INDEX('Historical Data'!$AC$2:$AC$9,MATCH($A150,'Historical Data'!$BE$2:$BE$9,0)),"")</f>
        <v/>
      </c>
      <c r="U150" s="111" t="str">
        <f aca="false">IFERROR(INDEX('Historical Data'!$AE$2:$AE$9,MATCH($A150,'Historical Data'!$BE$2:$BE$9,0)),"")</f>
        <v/>
      </c>
      <c r="V150" s="111" t="str">
        <f aca="false">IFERROR(INDEX('Historical Data'!$AH$2:$AH$9,MATCH($A150,'Historical Data'!$BE$2:$BE$9,0)),"")</f>
        <v/>
      </c>
      <c r="W150" s="111" t="str">
        <f aca="false">IFERROR(INDEX('Historical Data'!$BC$2:$BC$9,MATCH($A150,'Historical Data'!$BE$2:$BE$9,0)),"")</f>
        <v/>
      </c>
      <c r="X150" s="110" t="str">
        <f aca="false">IF(B150="","",IF(W150=1,"NR + industry + position",IF(W150=2,"NR + ISO + position",IF(W150=3,"NR + industry",IF(W150=4,"NR + ISO",IF(W150=5,"NR + position",IF(W150=6,"NR only","book baseline"))))))&amp;"  ["&amp;IF(T150=1,"seasoned","unseasoned")&amp;IF(U150=1,", defaulted","")&amp;IF(V150=1,", open","")&amp;"]")</f>
        <v/>
      </c>
    </row>
    <row r="151" customFormat="false" ht="15" hidden="false" customHeight="false" outlineLevel="0" collapsed="false">
      <c r="A151" s="110" t="n">
        <v>147</v>
      </c>
      <c r="B151" s="111" t="str">
        <f aca="false">IFERROR(INDEX('Historical Data'!$A$2:$A$9,MATCH($A151,'Historical Data'!$BE$2:$BE$9,0)),"")</f>
        <v/>
      </c>
      <c r="C151" s="111" t="str">
        <f aca="false">IFERROR(INDEX('Historical Data'!$B$2:$B$9,MATCH($A151,'Historical Data'!$BE$2:$BE$9,0)),"")</f>
        <v/>
      </c>
      <c r="D151" s="111" t="str">
        <f aca="false">IFERROR(INDEX('Historical Data'!$D$2:$D$9,MATCH($A151,'Historical Data'!$BE$2:$BE$9,0)),"")</f>
        <v/>
      </c>
      <c r="E151" s="112" t="str">
        <f aca="false">IFERROR(INDEX('Historical Data'!$E$2:$E$9,MATCH($A151,'Historical Data'!$BE$2:$BE$9,0)),"")</f>
        <v/>
      </c>
      <c r="F151" s="111" t="str">
        <f aca="false">IFERROR(INDEX('Historical Data'!$G$2:$G$9,MATCH($A151,'Historical Data'!$BE$2:$BE$9,0)),"")</f>
        <v/>
      </c>
      <c r="G151" s="111" t="str">
        <f aca="false">IFERROR(INDEX('Historical Data'!$Y$2:$Y$9,MATCH($A151,'Historical Data'!$BE$2:$BE$9,0)),"")</f>
        <v/>
      </c>
      <c r="H151" s="111" t="str">
        <f aca="false">IFERROR(INDEX('Historical Data'!$K$2:$K$9,MATCH($A151,'Historical Data'!$BE$2:$BE$9,0)),"")</f>
        <v/>
      </c>
      <c r="I151" s="111" t="str">
        <f aca="false">IFERROR(INDEX('Historical Data'!$J$2:$J$9,MATCH($A151,'Historical Data'!$BE$2:$BE$9,0)),"")</f>
        <v/>
      </c>
      <c r="J151" s="111" t="str">
        <f aca="false">IFERROR(INDEX('Historical Data'!$L$2:$L$9,MATCH($A151,'Historical Data'!$BE$2:$BE$9,0)),"")</f>
        <v/>
      </c>
      <c r="K151" s="113" t="str">
        <f aca="false">IFERROR(INDEX('Historical Data'!$M$2:$M$9,MATCH($A151,'Historical Data'!$BE$2:$BE$9,0)),"")</f>
        <v/>
      </c>
      <c r="L151" s="114" t="str">
        <f aca="false">IFERROR(INDEX('Historical Data'!$N$2:$N$9,MATCH($A151,'Historical Data'!$BE$2:$BE$9,0)),"")</f>
        <v/>
      </c>
      <c r="M151" s="114" t="str">
        <f aca="false">IFERROR(INDEX('Historical Data'!$Q$2:$Q$9,MATCH($A151,'Historical Data'!$BE$2:$BE$9,0)),"")</f>
        <v/>
      </c>
      <c r="N151" s="115" t="str">
        <f aca="false">IFERROR(INDEX('Historical Data'!$S$2:$S$9,MATCH($A151,'Historical Data'!$BE$2:$BE$9,0)),"")</f>
        <v/>
      </c>
      <c r="O151" s="114" t="str">
        <f aca="false">IFERROR(INDEX('Historical Data'!$AJ$2:$AJ$9,MATCH($A151,'Historical Data'!$BE$2:$BE$9,0)),"")</f>
        <v/>
      </c>
      <c r="P151" s="114" t="str">
        <f aca="false">IFERROR(INDEX('Historical Data'!$AK$2:$AK$9,MATCH($A151,'Historical Data'!$BE$2:$BE$9,0)),"")</f>
        <v/>
      </c>
      <c r="Q151" s="111" t="str">
        <f aca="false">IFERROR(INDEX('Historical Data'!$AA$2:$AA$9,MATCH($A151,'Historical Data'!$BE$2:$BE$9,0)),"")</f>
        <v/>
      </c>
      <c r="R151" s="111" t="str">
        <f aca="false">IFERROR(INDEX('Historical Data'!$AB$2:$AB$9,MATCH($A151,'Historical Data'!$BE$2:$BE$9,0)),"")</f>
        <v/>
      </c>
      <c r="S151" s="111" t="str">
        <f aca="false">IFERROR(INDEX('Historical Data'!$AN$2:$AN$9,MATCH($A151,'Historical Data'!$BE$2:$BE$9,0)),"")</f>
        <v/>
      </c>
      <c r="T151" s="111" t="str">
        <f aca="false">IFERROR(INDEX('Historical Data'!$AC$2:$AC$9,MATCH($A151,'Historical Data'!$BE$2:$BE$9,0)),"")</f>
        <v/>
      </c>
      <c r="U151" s="111" t="str">
        <f aca="false">IFERROR(INDEX('Historical Data'!$AE$2:$AE$9,MATCH($A151,'Historical Data'!$BE$2:$BE$9,0)),"")</f>
        <v/>
      </c>
      <c r="V151" s="111" t="str">
        <f aca="false">IFERROR(INDEX('Historical Data'!$AH$2:$AH$9,MATCH($A151,'Historical Data'!$BE$2:$BE$9,0)),"")</f>
        <v/>
      </c>
      <c r="W151" s="111" t="str">
        <f aca="false">IFERROR(INDEX('Historical Data'!$BC$2:$BC$9,MATCH($A151,'Historical Data'!$BE$2:$BE$9,0)),"")</f>
        <v/>
      </c>
      <c r="X151" s="110" t="str">
        <f aca="false">IF(B151="","",IF(W151=1,"NR + industry + position",IF(W151=2,"NR + ISO + position",IF(W151=3,"NR + industry",IF(W151=4,"NR + ISO",IF(W151=5,"NR + position",IF(W151=6,"NR only","book baseline"))))))&amp;"  ["&amp;IF(T151=1,"seasoned","unseasoned")&amp;IF(U151=1,", defaulted","")&amp;IF(V151=1,", open","")&amp;"]")</f>
        <v/>
      </c>
    </row>
    <row r="152" customFormat="false" ht="15" hidden="false" customHeight="false" outlineLevel="0" collapsed="false">
      <c r="A152" s="110" t="n">
        <v>148</v>
      </c>
      <c r="B152" s="111" t="str">
        <f aca="false">IFERROR(INDEX('Historical Data'!$A$2:$A$9,MATCH($A152,'Historical Data'!$BE$2:$BE$9,0)),"")</f>
        <v/>
      </c>
      <c r="C152" s="111" t="str">
        <f aca="false">IFERROR(INDEX('Historical Data'!$B$2:$B$9,MATCH($A152,'Historical Data'!$BE$2:$BE$9,0)),"")</f>
        <v/>
      </c>
      <c r="D152" s="111" t="str">
        <f aca="false">IFERROR(INDEX('Historical Data'!$D$2:$D$9,MATCH($A152,'Historical Data'!$BE$2:$BE$9,0)),"")</f>
        <v/>
      </c>
      <c r="E152" s="112" t="str">
        <f aca="false">IFERROR(INDEX('Historical Data'!$E$2:$E$9,MATCH($A152,'Historical Data'!$BE$2:$BE$9,0)),"")</f>
        <v/>
      </c>
      <c r="F152" s="111" t="str">
        <f aca="false">IFERROR(INDEX('Historical Data'!$G$2:$G$9,MATCH($A152,'Historical Data'!$BE$2:$BE$9,0)),"")</f>
        <v/>
      </c>
      <c r="G152" s="111" t="str">
        <f aca="false">IFERROR(INDEX('Historical Data'!$Y$2:$Y$9,MATCH($A152,'Historical Data'!$BE$2:$BE$9,0)),"")</f>
        <v/>
      </c>
      <c r="H152" s="111" t="str">
        <f aca="false">IFERROR(INDEX('Historical Data'!$K$2:$K$9,MATCH($A152,'Historical Data'!$BE$2:$BE$9,0)),"")</f>
        <v/>
      </c>
      <c r="I152" s="111" t="str">
        <f aca="false">IFERROR(INDEX('Historical Data'!$J$2:$J$9,MATCH($A152,'Historical Data'!$BE$2:$BE$9,0)),"")</f>
        <v/>
      </c>
      <c r="J152" s="111" t="str">
        <f aca="false">IFERROR(INDEX('Historical Data'!$L$2:$L$9,MATCH($A152,'Historical Data'!$BE$2:$BE$9,0)),"")</f>
        <v/>
      </c>
      <c r="K152" s="113" t="str">
        <f aca="false">IFERROR(INDEX('Historical Data'!$M$2:$M$9,MATCH($A152,'Historical Data'!$BE$2:$BE$9,0)),"")</f>
        <v/>
      </c>
      <c r="L152" s="114" t="str">
        <f aca="false">IFERROR(INDEX('Historical Data'!$N$2:$N$9,MATCH($A152,'Historical Data'!$BE$2:$BE$9,0)),"")</f>
        <v/>
      </c>
      <c r="M152" s="114" t="str">
        <f aca="false">IFERROR(INDEX('Historical Data'!$Q$2:$Q$9,MATCH($A152,'Historical Data'!$BE$2:$BE$9,0)),"")</f>
        <v/>
      </c>
      <c r="N152" s="115" t="str">
        <f aca="false">IFERROR(INDEX('Historical Data'!$S$2:$S$9,MATCH($A152,'Historical Data'!$BE$2:$BE$9,0)),"")</f>
        <v/>
      </c>
      <c r="O152" s="114" t="str">
        <f aca="false">IFERROR(INDEX('Historical Data'!$AJ$2:$AJ$9,MATCH($A152,'Historical Data'!$BE$2:$BE$9,0)),"")</f>
        <v/>
      </c>
      <c r="P152" s="114" t="str">
        <f aca="false">IFERROR(INDEX('Historical Data'!$AK$2:$AK$9,MATCH($A152,'Historical Data'!$BE$2:$BE$9,0)),"")</f>
        <v/>
      </c>
      <c r="Q152" s="111" t="str">
        <f aca="false">IFERROR(INDEX('Historical Data'!$AA$2:$AA$9,MATCH($A152,'Historical Data'!$BE$2:$BE$9,0)),"")</f>
        <v/>
      </c>
      <c r="R152" s="111" t="str">
        <f aca="false">IFERROR(INDEX('Historical Data'!$AB$2:$AB$9,MATCH($A152,'Historical Data'!$BE$2:$BE$9,0)),"")</f>
        <v/>
      </c>
      <c r="S152" s="111" t="str">
        <f aca="false">IFERROR(INDEX('Historical Data'!$AN$2:$AN$9,MATCH($A152,'Historical Data'!$BE$2:$BE$9,0)),"")</f>
        <v/>
      </c>
      <c r="T152" s="111" t="str">
        <f aca="false">IFERROR(INDEX('Historical Data'!$AC$2:$AC$9,MATCH($A152,'Historical Data'!$BE$2:$BE$9,0)),"")</f>
        <v/>
      </c>
      <c r="U152" s="111" t="str">
        <f aca="false">IFERROR(INDEX('Historical Data'!$AE$2:$AE$9,MATCH($A152,'Historical Data'!$BE$2:$BE$9,0)),"")</f>
        <v/>
      </c>
      <c r="V152" s="111" t="str">
        <f aca="false">IFERROR(INDEX('Historical Data'!$AH$2:$AH$9,MATCH($A152,'Historical Data'!$BE$2:$BE$9,0)),"")</f>
        <v/>
      </c>
      <c r="W152" s="111" t="str">
        <f aca="false">IFERROR(INDEX('Historical Data'!$BC$2:$BC$9,MATCH($A152,'Historical Data'!$BE$2:$BE$9,0)),"")</f>
        <v/>
      </c>
      <c r="X152" s="110" t="str">
        <f aca="false">IF(B152="","",IF(W152=1,"NR + industry + position",IF(W152=2,"NR + ISO + position",IF(W152=3,"NR + industry",IF(W152=4,"NR + ISO",IF(W152=5,"NR + position",IF(W152=6,"NR only","book baseline"))))))&amp;"  ["&amp;IF(T152=1,"seasoned","unseasoned")&amp;IF(U152=1,", defaulted","")&amp;IF(V152=1,", open","")&amp;"]")</f>
        <v/>
      </c>
    </row>
    <row r="153" customFormat="false" ht="15" hidden="false" customHeight="false" outlineLevel="0" collapsed="false">
      <c r="A153" s="110" t="n">
        <v>149</v>
      </c>
      <c r="B153" s="111" t="str">
        <f aca="false">IFERROR(INDEX('Historical Data'!$A$2:$A$9,MATCH($A153,'Historical Data'!$BE$2:$BE$9,0)),"")</f>
        <v/>
      </c>
      <c r="C153" s="111" t="str">
        <f aca="false">IFERROR(INDEX('Historical Data'!$B$2:$B$9,MATCH($A153,'Historical Data'!$BE$2:$BE$9,0)),"")</f>
        <v/>
      </c>
      <c r="D153" s="111" t="str">
        <f aca="false">IFERROR(INDEX('Historical Data'!$D$2:$D$9,MATCH($A153,'Historical Data'!$BE$2:$BE$9,0)),"")</f>
        <v/>
      </c>
      <c r="E153" s="112" t="str">
        <f aca="false">IFERROR(INDEX('Historical Data'!$E$2:$E$9,MATCH($A153,'Historical Data'!$BE$2:$BE$9,0)),"")</f>
        <v/>
      </c>
      <c r="F153" s="111" t="str">
        <f aca="false">IFERROR(INDEX('Historical Data'!$G$2:$G$9,MATCH($A153,'Historical Data'!$BE$2:$BE$9,0)),"")</f>
        <v/>
      </c>
      <c r="G153" s="111" t="str">
        <f aca="false">IFERROR(INDEX('Historical Data'!$Y$2:$Y$9,MATCH($A153,'Historical Data'!$BE$2:$BE$9,0)),"")</f>
        <v/>
      </c>
      <c r="H153" s="111" t="str">
        <f aca="false">IFERROR(INDEX('Historical Data'!$K$2:$K$9,MATCH($A153,'Historical Data'!$BE$2:$BE$9,0)),"")</f>
        <v/>
      </c>
      <c r="I153" s="111" t="str">
        <f aca="false">IFERROR(INDEX('Historical Data'!$J$2:$J$9,MATCH($A153,'Historical Data'!$BE$2:$BE$9,0)),"")</f>
        <v/>
      </c>
      <c r="J153" s="111" t="str">
        <f aca="false">IFERROR(INDEX('Historical Data'!$L$2:$L$9,MATCH($A153,'Historical Data'!$BE$2:$BE$9,0)),"")</f>
        <v/>
      </c>
      <c r="K153" s="113" t="str">
        <f aca="false">IFERROR(INDEX('Historical Data'!$M$2:$M$9,MATCH($A153,'Historical Data'!$BE$2:$BE$9,0)),"")</f>
        <v/>
      </c>
      <c r="L153" s="114" t="str">
        <f aca="false">IFERROR(INDEX('Historical Data'!$N$2:$N$9,MATCH($A153,'Historical Data'!$BE$2:$BE$9,0)),"")</f>
        <v/>
      </c>
      <c r="M153" s="114" t="str">
        <f aca="false">IFERROR(INDEX('Historical Data'!$Q$2:$Q$9,MATCH($A153,'Historical Data'!$BE$2:$BE$9,0)),"")</f>
        <v/>
      </c>
      <c r="N153" s="115" t="str">
        <f aca="false">IFERROR(INDEX('Historical Data'!$S$2:$S$9,MATCH($A153,'Historical Data'!$BE$2:$BE$9,0)),"")</f>
        <v/>
      </c>
      <c r="O153" s="114" t="str">
        <f aca="false">IFERROR(INDEX('Historical Data'!$AJ$2:$AJ$9,MATCH($A153,'Historical Data'!$BE$2:$BE$9,0)),"")</f>
        <v/>
      </c>
      <c r="P153" s="114" t="str">
        <f aca="false">IFERROR(INDEX('Historical Data'!$AK$2:$AK$9,MATCH($A153,'Historical Data'!$BE$2:$BE$9,0)),"")</f>
        <v/>
      </c>
      <c r="Q153" s="111" t="str">
        <f aca="false">IFERROR(INDEX('Historical Data'!$AA$2:$AA$9,MATCH($A153,'Historical Data'!$BE$2:$BE$9,0)),"")</f>
        <v/>
      </c>
      <c r="R153" s="111" t="str">
        <f aca="false">IFERROR(INDEX('Historical Data'!$AB$2:$AB$9,MATCH($A153,'Historical Data'!$BE$2:$BE$9,0)),"")</f>
        <v/>
      </c>
      <c r="S153" s="111" t="str">
        <f aca="false">IFERROR(INDEX('Historical Data'!$AN$2:$AN$9,MATCH($A153,'Historical Data'!$BE$2:$BE$9,0)),"")</f>
        <v/>
      </c>
      <c r="T153" s="111" t="str">
        <f aca="false">IFERROR(INDEX('Historical Data'!$AC$2:$AC$9,MATCH($A153,'Historical Data'!$BE$2:$BE$9,0)),"")</f>
        <v/>
      </c>
      <c r="U153" s="111" t="str">
        <f aca="false">IFERROR(INDEX('Historical Data'!$AE$2:$AE$9,MATCH($A153,'Historical Data'!$BE$2:$BE$9,0)),"")</f>
        <v/>
      </c>
      <c r="V153" s="111" t="str">
        <f aca="false">IFERROR(INDEX('Historical Data'!$AH$2:$AH$9,MATCH($A153,'Historical Data'!$BE$2:$BE$9,0)),"")</f>
        <v/>
      </c>
      <c r="W153" s="111" t="str">
        <f aca="false">IFERROR(INDEX('Historical Data'!$BC$2:$BC$9,MATCH($A153,'Historical Data'!$BE$2:$BE$9,0)),"")</f>
        <v/>
      </c>
      <c r="X153" s="110" t="str">
        <f aca="false">IF(B153="","",IF(W153=1,"NR + industry + position",IF(W153=2,"NR + ISO + position",IF(W153=3,"NR + industry",IF(W153=4,"NR + ISO",IF(W153=5,"NR + position",IF(W153=6,"NR only","book baseline"))))))&amp;"  ["&amp;IF(T153=1,"seasoned","unseasoned")&amp;IF(U153=1,", defaulted","")&amp;IF(V153=1,", open","")&amp;"]")</f>
        <v/>
      </c>
    </row>
    <row r="154" customFormat="false" ht="15" hidden="false" customHeight="false" outlineLevel="0" collapsed="false">
      <c r="A154" s="110" t="n">
        <v>150</v>
      </c>
      <c r="B154" s="111" t="str">
        <f aca="false">IFERROR(INDEX('Historical Data'!$A$2:$A$9,MATCH($A154,'Historical Data'!$BE$2:$BE$9,0)),"")</f>
        <v/>
      </c>
      <c r="C154" s="111" t="str">
        <f aca="false">IFERROR(INDEX('Historical Data'!$B$2:$B$9,MATCH($A154,'Historical Data'!$BE$2:$BE$9,0)),"")</f>
        <v/>
      </c>
      <c r="D154" s="111" t="str">
        <f aca="false">IFERROR(INDEX('Historical Data'!$D$2:$D$9,MATCH($A154,'Historical Data'!$BE$2:$BE$9,0)),"")</f>
        <v/>
      </c>
      <c r="E154" s="112" t="str">
        <f aca="false">IFERROR(INDEX('Historical Data'!$E$2:$E$9,MATCH($A154,'Historical Data'!$BE$2:$BE$9,0)),"")</f>
        <v/>
      </c>
      <c r="F154" s="111" t="str">
        <f aca="false">IFERROR(INDEX('Historical Data'!$G$2:$G$9,MATCH($A154,'Historical Data'!$BE$2:$BE$9,0)),"")</f>
        <v/>
      </c>
      <c r="G154" s="111" t="str">
        <f aca="false">IFERROR(INDEX('Historical Data'!$Y$2:$Y$9,MATCH($A154,'Historical Data'!$BE$2:$BE$9,0)),"")</f>
        <v/>
      </c>
      <c r="H154" s="111" t="str">
        <f aca="false">IFERROR(INDEX('Historical Data'!$K$2:$K$9,MATCH($A154,'Historical Data'!$BE$2:$BE$9,0)),"")</f>
        <v/>
      </c>
      <c r="I154" s="111" t="str">
        <f aca="false">IFERROR(INDEX('Historical Data'!$J$2:$J$9,MATCH($A154,'Historical Data'!$BE$2:$BE$9,0)),"")</f>
        <v/>
      </c>
      <c r="J154" s="111" t="str">
        <f aca="false">IFERROR(INDEX('Historical Data'!$L$2:$L$9,MATCH($A154,'Historical Data'!$BE$2:$BE$9,0)),"")</f>
        <v/>
      </c>
      <c r="K154" s="113" t="str">
        <f aca="false">IFERROR(INDEX('Historical Data'!$M$2:$M$9,MATCH($A154,'Historical Data'!$BE$2:$BE$9,0)),"")</f>
        <v/>
      </c>
      <c r="L154" s="114" t="str">
        <f aca="false">IFERROR(INDEX('Historical Data'!$N$2:$N$9,MATCH($A154,'Historical Data'!$BE$2:$BE$9,0)),"")</f>
        <v/>
      </c>
      <c r="M154" s="114" t="str">
        <f aca="false">IFERROR(INDEX('Historical Data'!$Q$2:$Q$9,MATCH($A154,'Historical Data'!$BE$2:$BE$9,0)),"")</f>
        <v/>
      </c>
      <c r="N154" s="115" t="str">
        <f aca="false">IFERROR(INDEX('Historical Data'!$S$2:$S$9,MATCH($A154,'Historical Data'!$BE$2:$BE$9,0)),"")</f>
        <v/>
      </c>
      <c r="O154" s="114" t="str">
        <f aca="false">IFERROR(INDEX('Historical Data'!$AJ$2:$AJ$9,MATCH($A154,'Historical Data'!$BE$2:$BE$9,0)),"")</f>
        <v/>
      </c>
      <c r="P154" s="114" t="str">
        <f aca="false">IFERROR(INDEX('Historical Data'!$AK$2:$AK$9,MATCH($A154,'Historical Data'!$BE$2:$BE$9,0)),"")</f>
        <v/>
      </c>
      <c r="Q154" s="111" t="str">
        <f aca="false">IFERROR(INDEX('Historical Data'!$AA$2:$AA$9,MATCH($A154,'Historical Data'!$BE$2:$BE$9,0)),"")</f>
        <v/>
      </c>
      <c r="R154" s="111" t="str">
        <f aca="false">IFERROR(INDEX('Historical Data'!$AB$2:$AB$9,MATCH($A154,'Historical Data'!$BE$2:$BE$9,0)),"")</f>
        <v/>
      </c>
      <c r="S154" s="111" t="str">
        <f aca="false">IFERROR(INDEX('Historical Data'!$AN$2:$AN$9,MATCH($A154,'Historical Data'!$BE$2:$BE$9,0)),"")</f>
        <v/>
      </c>
      <c r="T154" s="111" t="str">
        <f aca="false">IFERROR(INDEX('Historical Data'!$AC$2:$AC$9,MATCH($A154,'Historical Data'!$BE$2:$BE$9,0)),"")</f>
        <v/>
      </c>
      <c r="U154" s="111" t="str">
        <f aca="false">IFERROR(INDEX('Historical Data'!$AE$2:$AE$9,MATCH($A154,'Historical Data'!$BE$2:$BE$9,0)),"")</f>
        <v/>
      </c>
      <c r="V154" s="111" t="str">
        <f aca="false">IFERROR(INDEX('Historical Data'!$AH$2:$AH$9,MATCH($A154,'Historical Data'!$BE$2:$BE$9,0)),"")</f>
        <v/>
      </c>
      <c r="W154" s="111" t="str">
        <f aca="false">IFERROR(INDEX('Historical Data'!$BC$2:$BC$9,MATCH($A154,'Historical Data'!$BE$2:$BE$9,0)),"")</f>
        <v/>
      </c>
      <c r="X154" s="110" t="str">
        <f aca="false">IF(B154="","",IF(W154=1,"NR + industry + position",IF(W154=2,"NR + ISO + position",IF(W154=3,"NR + industry",IF(W154=4,"NR + ISO",IF(W154=5,"NR + position",IF(W154=6,"NR only","book baseline"))))))&amp;"  ["&amp;IF(T154=1,"seasoned","unseasoned")&amp;IF(U154=1,", defaulted","")&amp;IF(V154=1,", open","")&amp;"]")</f>
        <v/>
      </c>
    </row>
    <row r="155" customFormat="false" ht="15" hidden="false" customHeight="false" outlineLevel="0" collapsed="false">
      <c r="A155" s="110" t="n">
        <v>151</v>
      </c>
      <c r="B155" s="111" t="str">
        <f aca="false">IFERROR(INDEX('Historical Data'!$A$2:$A$9,MATCH($A155,'Historical Data'!$BE$2:$BE$9,0)),"")</f>
        <v/>
      </c>
      <c r="C155" s="111" t="str">
        <f aca="false">IFERROR(INDEX('Historical Data'!$B$2:$B$9,MATCH($A155,'Historical Data'!$BE$2:$BE$9,0)),"")</f>
        <v/>
      </c>
      <c r="D155" s="111" t="str">
        <f aca="false">IFERROR(INDEX('Historical Data'!$D$2:$D$9,MATCH($A155,'Historical Data'!$BE$2:$BE$9,0)),"")</f>
        <v/>
      </c>
      <c r="E155" s="112" t="str">
        <f aca="false">IFERROR(INDEX('Historical Data'!$E$2:$E$9,MATCH($A155,'Historical Data'!$BE$2:$BE$9,0)),"")</f>
        <v/>
      </c>
      <c r="F155" s="111" t="str">
        <f aca="false">IFERROR(INDEX('Historical Data'!$G$2:$G$9,MATCH($A155,'Historical Data'!$BE$2:$BE$9,0)),"")</f>
        <v/>
      </c>
      <c r="G155" s="111" t="str">
        <f aca="false">IFERROR(INDEX('Historical Data'!$Y$2:$Y$9,MATCH($A155,'Historical Data'!$BE$2:$BE$9,0)),"")</f>
        <v/>
      </c>
      <c r="H155" s="111" t="str">
        <f aca="false">IFERROR(INDEX('Historical Data'!$K$2:$K$9,MATCH($A155,'Historical Data'!$BE$2:$BE$9,0)),"")</f>
        <v/>
      </c>
      <c r="I155" s="111" t="str">
        <f aca="false">IFERROR(INDEX('Historical Data'!$J$2:$J$9,MATCH($A155,'Historical Data'!$BE$2:$BE$9,0)),"")</f>
        <v/>
      </c>
      <c r="J155" s="111" t="str">
        <f aca="false">IFERROR(INDEX('Historical Data'!$L$2:$L$9,MATCH($A155,'Historical Data'!$BE$2:$BE$9,0)),"")</f>
        <v/>
      </c>
      <c r="K155" s="113" t="str">
        <f aca="false">IFERROR(INDEX('Historical Data'!$M$2:$M$9,MATCH($A155,'Historical Data'!$BE$2:$BE$9,0)),"")</f>
        <v/>
      </c>
      <c r="L155" s="114" t="str">
        <f aca="false">IFERROR(INDEX('Historical Data'!$N$2:$N$9,MATCH($A155,'Historical Data'!$BE$2:$BE$9,0)),"")</f>
        <v/>
      </c>
      <c r="M155" s="114" t="str">
        <f aca="false">IFERROR(INDEX('Historical Data'!$Q$2:$Q$9,MATCH($A155,'Historical Data'!$BE$2:$BE$9,0)),"")</f>
        <v/>
      </c>
      <c r="N155" s="115" t="str">
        <f aca="false">IFERROR(INDEX('Historical Data'!$S$2:$S$9,MATCH($A155,'Historical Data'!$BE$2:$BE$9,0)),"")</f>
        <v/>
      </c>
      <c r="O155" s="114" t="str">
        <f aca="false">IFERROR(INDEX('Historical Data'!$AJ$2:$AJ$9,MATCH($A155,'Historical Data'!$BE$2:$BE$9,0)),"")</f>
        <v/>
      </c>
      <c r="P155" s="114" t="str">
        <f aca="false">IFERROR(INDEX('Historical Data'!$AK$2:$AK$9,MATCH($A155,'Historical Data'!$BE$2:$BE$9,0)),"")</f>
        <v/>
      </c>
      <c r="Q155" s="111" t="str">
        <f aca="false">IFERROR(INDEX('Historical Data'!$AA$2:$AA$9,MATCH($A155,'Historical Data'!$BE$2:$BE$9,0)),"")</f>
        <v/>
      </c>
      <c r="R155" s="111" t="str">
        <f aca="false">IFERROR(INDEX('Historical Data'!$AB$2:$AB$9,MATCH($A155,'Historical Data'!$BE$2:$BE$9,0)),"")</f>
        <v/>
      </c>
      <c r="S155" s="111" t="str">
        <f aca="false">IFERROR(INDEX('Historical Data'!$AN$2:$AN$9,MATCH($A155,'Historical Data'!$BE$2:$BE$9,0)),"")</f>
        <v/>
      </c>
      <c r="T155" s="111" t="str">
        <f aca="false">IFERROR(INDEX('Historical Data'!$AC$2:$AC$9,MATCH($A155,'Historical Data'!$BE$2:$BE$9,0)),"")</f>
        <v/>
      </c>
      <c r="U155" s="111" t="str">
        <f aca="false">IFERROR(INDEX('Historical Data'!$AE$2:$AE$9,MATCH($A155,'Historical Data'!$BE$2:$BE$9,0)),"")</f>
        <v/>
      </c>
      <c r="V155" s="111" t="str">
        <f aca="false">IFERROR(INDEX('Historical Data'!$AH$2:$AH$9,MATCH($A155,'Historical Data'!$BE$2:$BE$9,0)),"")</f>
        <v/>
      </c>
      <c r="W155" s="111" t="str">
        <f aca="false">IFERROR(INDEX('Historical Data'!$BC$2:$BC$9,MATCH($A155,'Historical Data'!$BE$2:$BE$9,0)),"")</f>
        <v/>
      </c>
      <c r="X155" s="110" t="str">
        <f aca="false">IF(B155="","",IF(W155=1,"NR + industry + position",IF(W155=2,"NR + ISO + position",IF(W155=3,"NR + industry",IF(W155=4,"NR + ISO",IF(W155=5,"NR + position",IF(W155=6,"NR only","book baseline"))))))&amp;"  ["&amp;IF(T155=1,"seasoned","unseasoned")&amp;IF(U155=1,", defaulted","")&amp;IF(V155=1,", open","")&amp;"]")</f>
        <v/>
      </c>
    </row>
    <row r="156" customFormat="false" ht="15" hidden="false" customHeight="false" outlineLevel="0" collapsed="false">
      <c r="A156" s="110" t="n">
        <v>152</v>
      </c>
      <c r="B156" s="111" t="str">
        <f aca="false">IFERROR(INDEX('Historical Data'!$A$2:$A$9,MATCH($A156,'Historical Data'!$BE$2:$BE$9,0)),"")</f>
        <v/>
      </c>
      <c r="C156" s="111" t="str">
        <f aca="false">IFERROR(INDEX('Historical Data'!$B$2:$B$9,MATCH($A156,'Historical Data'!$BE$2:$BE$9,0)),"")</f>
        <v/>
      </c>
      <c r="D156" s="111" t="str">
        <f aca="false">IFERROR(INDEX('Historical Data'!$D$2:$D$9,MATCH($A156,'Historical Data'!$BE$2:$BE$9,0)),"")</f>
        <v/>
      </c>
      <c r="E156" s="112" t="str">
        <f aca="false">IFERROR(INDEX('Historical Data'!$E$2:$E$9,MATCH($A156,'Historical Data'!$BE$2:$BE$9,0)),"")</f>
        <v/>
      </c>
      <c r="F156" s="111" t="str">
        <f aca="false">IFERROR(INDEX('Historical Data'!$G$2:$G$9,MATCH($A156,'Historical Data'!$BE$2:$BE$9,0)),"")</f>
        <v/>
      </c>
      <c r="G156" s="111" t="str">
        <f aca="false">IFERROR(INDEX('Historical Data'!$Y$2:$Y$9,MATCH($A156,'Historical Data'!$BE$2:$BE$9,0)),"")</f>
        <v/>
      </c>
      <c r="H156" s="111" t="str">
        <f aca="false">IFERROR(INDEX('Historical Data'!$K$2:$K$9,MATCH($A156,'Historical Data'!$BE$2:$BE$9,0)),"")</f>
        <v/>
      </c>
      <c r="I156" s="111" t="str">
        <f aca="false">IFERROR(INDEX('Historical Data'!$J$2:$J$9,MATCH($A156,'Historical Data'!$BE$2:$BE$9,0)),"")</f>
        <v/>
      </c>
      <c r="J156" s="111" t="str">
        <f aca="false">IFERROR(INDEX('Historical Data'!$L$2:$L$9,MATCH($A156,'Historical Data'!$BE$2:$BE$9,0)),"")</f>
        <v/>
      </c>
      <c r="K156" s="113" t="str">
        <f aca="false">IFERROR(INDEX('Historical Data'!$M$2:$M$9,MATCH($A156,'Historical Data'!$BE$2:$BE$9,0)),"")</f>
        <v/>
      </c>
      <c r="L156" s="114" t="str">
        <f aca="false">IFERROR(INDEX('Historical Data'!$N$2:$N$9,MATCH($A156,'Historical Data'!$BE$2:$BE$9,0)),"")</f>
        <v/>
      </c>
      <c r="M156" s="114" t="str">
        <f aca="false">IFERROR(INDEX('Historical Data'!$Q$2:$Q$9,MATCH($A156,'Historical Data'!$BE$2:$BE$9,0)),"")</f>
        <v/>
      </c>
      <c r="N156" s="115" t="str">
        <f aca="false">IFERROR(INDEX('Historical Data'!$S$2:$S$9,MATCH($A156,'Historical Data'!$BE$2:$BE$9,0)),"")</f>
        <v/>
      </c>
      <c r="O156" s="114" t="str">
        <f aca="false">IFERROR(INDEX('Historical Data'!$AJ$2:$AJ$9,MATCH($A156,'Historical Data'!$BE$2:$BE$9,0)),"")</f>
        <v/>
      </c>
      <c r="P156" s="114" t="str">
        <f aca="false">IFERROR(INDEX('Historical Data'!$AK$2:$AK$9,MATCH($A156,'Historical Data'!$BE$2:$BE$9,0)),"")</f>
        <v/>
      </c>
      <c r="Q156" s="111" t="str">
        <f aca="false">IFERROR(INDEX('Historical Data'!$AA$2:$AA$9,MATCH($A156,'Historical Data'!$BE$2:$BE$9,0)),"")</f>
        <v/>
      </c>
      <c r="R156" s="111" t="str">
        <f aca="false">IFERROR(INDEX('Historical Data'!$AB$2:$AB$9,MATCH($A156,'Historical Data'!$BE$2:$BE$9,0)),"")</f>
        <v/>
      </c>
      <c r="S156" s="111" t="str">
        <f aca="false">IFERROR(INDEX('Historical Data'!$AN$2:$AN$9,MATCH($A156,'Historical Data'!$BE$2:$BE$9,0)),"")</f>
        <v/>
      </c>
      <c r="T156" s="111" t="str">
        <f aca="false">IFERROR(INDEX('Historical Data'!$AC$2:$AC$9,MATCH($A156,'Historical Data'!$BE$2:$BE$9,0)),"")</f>
        <v/>
      </c>
      <c r="U156" s="111" t="str">
        <f aca="false">IFERROR(INDEX('Historical Data'!$AE$2:$AE$9,MATCH($A156,'Historical Data'!$BE$2:$BE$9,0)),"")</f>
        <v/>
      </c>
      <c r="V156" s="111" t="str">
        <f aca="false">IFERROR(INDEX('Historical Data'!$AH$2:$AH$9,MATCH($A156,'Historical Data'!$BE$2:$BE$9,0)),"")</f>
        <v/>
      </c>
      <c r="W156" s="111" t="str">
        <f aca="false">IFERROR(INDEX('Historical Data'!$BC$2:$BC$9,MATCH($A156,'Historical Data'!$BE$2:$BE$9,0)),"")</f>
        <v/>
      </c>
      <c r="X156" s="110" t="str">
        <f aca="false">IF(B156="","",IF(W156=1,"NR + industry + position",IF(W156=2,"NR + ISO + position",IF(W156=3,"NR + industry",IF(W156=4,"NR + ISO",IF(W156=5,"NR + position",IF(W156=6,"NR only","book baseline"))))))&amp;"  ["&amp;IF(T156=1,"seasoned","unseasoned")&amp;IF(U156=1,", defaulted","")&amp;IF(V156=1,", open","")&amp;"]")</f>
        <v/>
      </c>
    </row>
    <row r="157" customFormat="false" ht="15" hidden="false" customHeight="false" outlineLevel="0" collapsed="false">
      <c r="A157" s="110" t="n">
        <v>153</v>
      </c>
      <c r="B157" s="111" t="str">
        <f aca="false">IFERROR(INDEX('Historical Data'!$A$2:$A$9,MATCH($A157,'Historical Data'!$BE$2:$BE$9,0)),"")</f>
        <v/>
      </c>
      <c r="C157" s="111" t="str">
        <f aca="false">IFERROR(INDEX('Historical Data'!$B$2:$B$9,MATCH($A157,'Historical Data'!$BE$2:$BE$9,0)),"")</f>
        <v/>
      </c>
      <c r="D157" s="111" t="str">
        <f aca="false">IFERROR(INDEX('Historical Data'!$D$2:$D$9,MATCH($A157,'Historical Data'!$BE$2:$BE$9,0)),"")</f>
        <v/>
      </c>
      <c r="E157" s="112" t="str">
        <f aca="false">IFERROR(INDEX('Historical Data'!$E$2:$E$9,MATCH($A157,'Historical Data'!$BE$2:$BE$9,0)),"")</f>
        <v/>
      </c>
      <c r="F157" s="111" t="str">
        <f aca="false">IFERROR(INDEX('Historical Data'!$G$2:$G$9,MATCH($A157,'Historical Data'!$BE$2:$BE$9,0)),"")</f>
        <v/>
      </c>
      <c r="G157" s="111" t="str">
        <f aca="false">IFERROR(INDEX('Historical Data'!$Y$2:$Y$9,MATCH($A157,'Historical Data'!$BE$2:$BE$9,0)),"")</f>
        <v/>
      </c>
      <c r="H157" s="111" t="str">
        <f aca="false">IFERROR(INDEX('Historical Data'!$K$2:$K$9,MATCH($A157,'Historical Data'!$BE$2:$BE$9,0)),"")</f>
        <v/>
      </c>
      <c r="I157" s="111" t="str">
        <f aca="false">IFERROR(INDEX('Historical Data'!$J$2:$J$9,MATCH($A157,'Historical Data'!$BE$2:$BE$9,0)),"")</f>
        <v/>
      </c>
      <c r="J157" s="111" t="str">
        <f aca="false">IFERROR(INDEX('Historical Data'!$L$2:$L$9,MATCH($A157,'Historical Data'!$BE$2:$BE$9,0)),"")</f>
        <v/>
      </c>
      <c r="K157" s="113" t="str">
        <f aca="false">IFERROR(INDEX('Historical Data'!$M$2:$M$9,MATCH($A157,'Historical Data'!$BE$2:$BE$9,0)),"")</f>
        <v/>
      </c>
      <c r="L157" s="114" t="str">
        <f aca="false">IFERROR(INDEX('Historical Data'!$N$2:$N$9,MATCH($A157,'Historical Data'!$BE$2:$BE$9,0)),"")</f>
        <v/>
      </c>
      <c r="M157" s="114" t="str">
        <f aca="false">IFERROR(INDEX('Historical Data'!$Q$2:$Q$9,MATCH($A157,'Historical Data'!$BE$2:$BE$9,0)),"")</f>
        <v/>
      </c>
      <c r="N157" s="115" t="str">
        <f aca="false">IFERROR(INDEX('Historical Data'!$S$2:$S$9,MATCH($A157,'Historical Data'!$BE$2:$BE$9,0)),"")</f>
        <v/>
      </c>
      <c r="O157" s="114" t="str">
        <f aca="false">IFERROR(INDEX('Historical Data'!$AJ$2:$AJ$9,MATCH($A157,'Historical Data'!$BE$2:$BE$9,0)),"")</f>
        <v/>
      </c>
      <c r="P157" s="114" t="str">
        <f aca="false">IFERROR(INDEX('Historical Data'!$AK$2:$AK$9,MATCH($A157,'Historical Data'!$BE$2:$BE$9,0)),"")</f>
        <v/>
      </c>
      <c r="Q157" s="111" t="str">
        <f aca="false">IFERROR(INDEX('Historical Data'!$AA$2:$AA$9,MATCH($A157,'Historical Data'!$BE$2:$BE$9,0)),"")</f>
        <v/>
      </c>
      <c r="R157" s="111" t="str">
        <f aca="false">IFERROR(INDEX('Historical Data'!$AB$2:$AB$9,MATCH($A157,'Historical Data'!$BE$2:$BE$9,0)),"")</f>
        <v/>
      </c>
      <c r="S157" s="111" t="str">
        <f aca="false">IFERROR(INDEX('Historical Data'!$AN$2:$AN$9,MATCH($A157,'Historical Data'!$BE$2:$BE$9,0)),"")</f>
        <v/>
      </c>
      <c r="T157" s="111" t="str">
        <f aca="false">IFERROR(INDEX('Historical Data'!$AC$2:$AC$9,MATCH($A157,'Historical Data'!$BE$2:$BE$9,0)),"")</f>
        <v/>
      </c>
      <c r="U157" s="111" t="str">
        <f aca="false">IFERROR(INDEX('Historical Data'!$AE$2:$AE$9,MATCH($A157,'Historical Data'!$BE$2:$BE$9,0)),"")</f>
        <v/>
      </c>
      <c r="V157" s="111" t="str">
        <f aca="false">IFERROR(INDEX('Historical Data'!$AH$2:$AH$9,MATCH($A157,'Historical Data'!$BE$2:$BE$9,0)),"")</f>
        <v/>
      </c>
      <c r="W157" s="111" t="str">
        <f aca="false">IFERROR(INDEX('Historical Data'!$BC$2:$BC$9,MATCH($A157,'Historical Data'!$BE$2:$BE$9,0)),"")</f>
        <v/>
      </c>
      <c r="X157" s="110" t="str">
        <f aca="false">IF(B157="","",IF(W157=1,"NR + industry + position",IF(W157=2,"NR + ISO + position",IF(W157=3,"NR + industry",IF(W157=4,"NR + ISO",IF(W157=5,"NR + position",IF(W157=6,"NR only","book baseline"))))))&amp;"  ["&amp;IF(T157=1,"seasoned","unseasoned")&amp;IF(U157=1,", defaulted","")&amp;IF(V157=1,", open","")&amp;"]")</f>
        <v/>
      </c>
    </row>
    <row r="158" customFormat="false" ht="15" hidden="false" customHeight="false" outlineLevel="0" collapsed="false">
      <c r="A158" s="110" t="n">
        <v>154</v>
      </c>
      <c r="B158" s="111" t="str">
        <f aca="false">IFERROR(INDEX('Historical Data'!$A$2:$A$9,MATCH($A158,'Historical Data'!$BE$2:$BE$9,0)),"")</f>
        <v/>
      </c>
      <c r="C158" s="111" t="str">
        <f aca="false">IFERROR(INDEX('Historical Data'!$B$2:$B$9,MATCH($A158,'Historical Data'!$BE$2:$BE$9,0)),"")</f>
        <v/>
      </c>
      <c r="D158" s="111" t="str">
        <f aca="false">IFERROR(INDEX('Historical Data'!$D$2:$D$9,MATCH($A158,'Historical Data'!$BE$2:$BE$9,0)),"")</f>
        <v/>
      </c>
      <c r="E158" s="112" t="str">
        <f aca="false">IFERROR(INDEX('Historical Data'!$E$2:$E$9,MATCH($A158,'Historical Data'!$BE$2:$BE$9,0)),"")</f>
        <v/>
      </c>
      <c r="F158" s="111" t="str">
        <f aca="false">IFERROR(INDEX('Historical Data'!$G$2:$G$9,MATCH($A158,'Historical Data'!$BE$2:$BE$9,0)),"")</f>
        <v/>
      </c>
      <c r="G158" s="111" t="str">
        <f aca="false">IFERROR(INDEX('Historical Data'!$Y$2:$Y$9,MATCH($A158,'Historical Data'!$BE$2:$BE$9,0)),"")</f>
        <v/>
      </c>
      <c r="H158" s="111" t="str">
        <f aca="false">IFERROR(INDEX('Historical Data'!$K$2:$K$9,MATCH($A158,'Historical Data'!$BE$2:$BE$9,0)),"")</f>
        <v/>
      </c>
      <c r="I158" s="111" t="str">
        <f aca="false">IFERROR(INDEX('Historical Data'!$J$2:$J$9,MATCH($A158,'Historical Data'!$BE$2:$BE$9,0)),"")</f>
        <v/>
      </c>
      <c r="J158" s="111" t="str">
        <f aca="false">IFERROR(INDEX('Historical Data'!$L$2:$L$9,MATCH($A158,'Historical Data'!$BE$2:$BE$9,0)),"")</f>
        <v/>
      </c>
      <c r="K158" s="113" t="str">
        <f aca="false">IFERROR(INDEX('Historical Data'!$M$2:$M$9,MATCH($A158,'Historical Data'!$BE$2:$BE$9,0)),"")</f>
        <v/>
      </c>
      <c r="L158" s="114" t="str">
        <f aca="false">IFERROR(INDEX('Historical Data'!$N$2:$N$9,MATCH($A158,'Historical Data'!$BE$2:$BE$9,0)),"")</f>
        <v/>
      </c>
      <c r="M158" s="114" t="str">
        <f aca="false">IFERROR(INDEX('Historical Data'!$Q$2:$Q$9,MATCH($A158,'Historical Data'!$BE$2:$BE$9,0)),"")</f>
        <v/>
      </c>
      <c r="N158" s="115" t="str">
        <f aca="false">IFERROR(INDEX('Historical Data'!$S$2:$S$9,MATCH($A158,'Historical Data'!$BE$2:$BE$9,0)),"")</f>
        <v/>
      </c>
      <c r="O158" s="114" t="str">
        <f aca="false">IFERROR(INDEX('Historical Data'!$AJ$2:$AJ$9,MATCH($A158,'Historical Data'!$BE$2:$BE$9,0)),"")</f>
        <v/>
      </c>
      <c r="P158" s="114" t="str">
        <f aca="false">IFERROR(INDEX('Historical Data'!$AK$2:$AK$9,MATCH($A158,'Historical Data'!$BE$2:$BE$9,0)),"")</f>
        <v/>
      </c>
      <c r="Q158" s="111" t="str">
        <f aca="false">IFERROR(INDEX('Historical Data'!$AA$2:$AA$9,MATCH($A158,'Historical Data'!$BE$2:$BE$9,0)),"")</f>
        <v/>
      </c>
      <c r="R158" s="111" t="str">
        <f aca="false">IFERROR(INDEX('Historical Data'!$AB$2:$AB$9,MATCH($A158,'Historical Data'!$BE$2:$BE$9,0)),"")</f>
        <v/>
      </c>
      <c r="S158" s="111" t="str">
        <f aca="false">IFERROR(INDEX('Historical Data'!$AN$2:$AN$9,MATCH($A158,'Historical Data'!$BE$2:$BE$9,0)),"")</f>
        <v/>
      </c>
      <c r="T158" s="111" t="str">
        <f aca="false">IFERROR(INDEX('Historical Data'!$AC$2:$AC$9,MATCH($A158,'Historical Data'!$BE$2:$BE$9,0)),"")</f>
        <v/>
      </c>
      <c r="U158" s="111" t="str">
        <f aca="false">IFERROR(INDEX('Historical Data'!$AE$2:$AE$9,MATCH($A158,'Historical Data'!$BE$2:$BE$9,0)),"")</f>
        <v/>
      </c>
      <c r="V158" s="111" t="str">
        <f aca="false">IFERROR(INDEX('Historical Data'!$AH$2:$AH$9,MATCH($A158,'Historical Data'!$BE$2:$BE$9,0)),"")</f>
        <v/>
      </c>
      <c r="W158" s="111" t="str">
        <f aca="false">IFERROR(INDEX('Historical Data'!$BC$2:$BC$9,MATCH($A158,'Historical Data'!$BE$2:$BE$9,0)),"")</f>
        <v/>
      </c>
      <c r="X158" s="110" t="str">
        <f aca="false">IF(B158="","",IF(W158=1,"NR + industry + position",IF(W158=2,"NR + ISO + position",IF(W158=3,"NR + industry",IF(W158=4,"NR + ISO",IF(W158=5,"NR + position",IF(W158=6,"NR only","book baseline"))))))&amp;"  ["&amp;IF(T158=1,"seasoned","unseasoned")&amp;IF(U158=1,", defaulted","")&amp;IF(V158=1,", open","")&amp;"]")</f>
        <v/>
      </c>
    </row>
    <row r="159" customFormat="false" ht="15" hidden="false" customHeight="false" outlineLevel="0" collapsed="false">
      <c r="A159" s="110" t="n">
        <v>155</v>
      </c>
      <c r="B159" s="111" t="str">
        <f aca="false">IFERROR(INDEX('Historical Data'!$A$2:$A$9,MATCH($A159,'Historical Data'!$BE$2:$BE$9,0)),"")</f>
        <v/>
      </c>
      <c r="C159" s="111" t="str">
        <f aca="false">IFERROR(INDEX('Historical Data'!$B$2:$B$9,MATCH($A159,'Historical Data'!$BE$2:$BE$9,0)),"")</f>
        <v/>
      </c>
      <c r="D159" s="111" t="str">
        <f aca="false">IFERROR(INDEX('Historical Data'!$D$2:$D$9,MATCH($A159,'Historical Data'!$BE$2:$BE$9,0)),"")</f>
        <v/>
      </c>
      <c r="E159" s="112" t="str">
        <f aca="false">IFERROR(INDEX('Historical Data'!$E$2:$E$9,MATCH($A159,'Historical Data'!$BE$2:$BE$9,0)),"")</f>
        <v/>
      </c>
      <c r="F159" s="111" t="str">
        <f aca="false">IFERROR(INDEX('Historical Data'!$G$2:$G$9,MATCH($A159,'Historical Data'!$BE$2:$BE$9,0)),"")</f>
        <v/>
      </c>
      <c r="G159" s="111" t="str">
        <f aca="false">IFERROR(INDEX('Historical Data'!$Y$2:$Y$9,MATCH($A159,'Historical Data'!$BE$2:$BE$9,0)),"")</f>
        <v/>
      </c>
      <c r="H159" s="111" t="str">
        <f aca="false">IFERROR(INDEX('Historical Data'!$K$2:$K$9,MATCH($A159,'Historical Data'!$BE$2:$BE$9,0)),"")</f>
        <v/>
      </c>
      <c r="I159" s="111" t="str">
        <f aca="false">IFERROR(INDEX('Historical Data'!$J$2:$J$9,MATCH($A159,'Historical Data'!$BE$2:$BE$9,0)),"")</f>
        <v/>
      </c>
      <c r="J159" s="111" t="str">
        <f aca="false">IFERROR(INDEX('Historical Data'!$L$2:$L$9,MATCH($A159,'Historical Data'!$BE$2:$BE$9,0)),"")</f>
        <v/>
      </c>
      <c r="K159" s="113" t="str">
        <f aca="false">IFERROR(INDEX('Historical Data'!$M$2:$M$9,MATCH($A159,'Historical Data'!$BE$2:$BE$9,0)),"")</f>
        <v/>
      </c>
      <c r="L159" s="114" t="str">
        <f aca="false">IFERROR(INDEX('Historical Data'!$N$2:$N$9,MATCH($A159,'Historical Data'!$BE$2:$BE$9,0)),"")</f>
        <v/>
      </c>
      <c r="M159" s="114" t="str">
        <f aca="false">IFERROR(INDEX('Historical Data'!$Q$2:$Q$9,MATCH($A159,'Historical Data'!$BE$2:$BE$9,0)),"")</f>
        <v/>
      </c>
      <c r="N159" s="115" t="str">
        <f aca="false">IFERROR(INDEX('Historical Data'!$S$2:$S$9,MATCH($A159,'Historical Data'!$BE$2:$BE$9,0)),"")</f>
        <v/>
      </c>
      <c r="O159" s="114" t="str">
        <f aca="false">IFERROR(INDEX('Historical Data'!$AJ$2:$AJ$9,MATCH($A159,'Historical Data'!$BE$2:$BE$9,0)),"")</f>
        <v/>
      </c>
      <c r="P159" s="114" t="str">
        <f aca="false">IFERROR(INDEX('Historical Data'!$AK$2:$AK$9,MATCH($A159,'Historical Data'!$BE$2:$BE$9,0)),"")</f>
        <v/>
      </c>
      <c r="Q159" s="111" t="str">
        <f aca="false">IFERROR(INDEX('Historical Data'!$AA$2:$AA$9,MATCH($A159,'Historical Data'!$BE$2:$BE$9,0)),"")</f>
        <v/>
      </c>
      <c r="R159" s="111" t="str">
        <f aca="false">IFERROR(INDEX('Historical Data'!$AB$2:$AB$9,MATCH($A159,'Historical Data'!$BE$2:$BE$9,0)),"")</f>
        <v/>
      </c>
      <c r="S159" s="111" t="str">
        <f aca="false">IFERROR(INDEX('Historical Data'!$AN$2:$AN$9,MATCH($A159,'Historical Data'!$BE$2:$BE$9,0)),"")</f>
        <v/>
      </c>
      <c r="T159" s="111" t="str">
        <f aca="false">IFERROR(INDEX('Historical Data'!$AC$2:$AC$9,MATCH($A159,'Historical Data'!$BE$2:$BE$9,0)),"")</f>
        <v/>
      </c>
      <c r="U159" s="111" t="str">
        <f aca="false">IFERROR(INDEX('Historical Data'!$AE$2:$AE$9,MATCH($A159,'Historical Data'!$BE$2:$BE$9,0)),"")</f>
        <v/>
      </c>
      <c r="V159" s="111" t="str">
        <f aca="false">IFERROR(INDEX('Historical Data'!$AH$2:$AH$9,MATCH($A159,'Historical Data'!$BE$2:$BE$9,0)),"")</f>
        <v/>
      </c>
      <c r="W159" s="111" t="str">
        <f aca="false">IFERROR(INDEX('Historical Data'!$BC$2:$BC$9,MATCH($A159,'Historical Data'!$BE$2:$BE$9,0)),"")</f>
        <v/>
      </c>
      <c r="X159" s="110" t="str">
        <f aca="false">IF(B159="","",IF(W159=1,"NR + industry + position",IF(W159=2,"NR + ISO + position",IF(W159=3,"NR + industry",IF(W159=4,"NR + ISO",IF(W159=5,"NR + position",IF(W159=6,"NR only","book baseline"))))))&amp;"  ["&amp;IF(T159=1,"seasoned","unseasoned")&amp;IF(U159=1,", defaulted","")&amp;IF(V159=1,", open","")&amp;"]")</f>
        <v/>
      </c>
    </row>
    <row r="160" customFormat="false" ht="15" hidden="false" customHeight="false" outlineLevel="0" collapsed="false">
      <c r="A160" s="110" t="n">
        <v>156</v>
      </c>
      <c r="B160" s="111" t="str">
        <f aca="false">IFERROR(INDEX('Historical Data'!$A$2:$A$9,MATCH($A160,'Historical Data'!$BE$2:$BE$9,0)),"")</f>
        <v/>
      </c>
      <c r="C160" s="111" t="str">
        <f aca="false">IFERROR(INDEX('Historical Data'!$B$2:$B$9,MATCH($A160,'Historical Data'!$BE$2:$BE$9,0)),"")</f>
        <v/>
      </c>
      <c r="D160" s="111" t="str">
        <f aca="false">IFERROR(INDEX('Historical Data'!$D$2:$D$9,MATCH($A160,'Historical Data'!$BE$2:$BE$9,0)),"")</f>
        <v/>
      </c>
      <c r="E160" s="112" t="str">
        <f aca="false">IFERROR(INDEX('Historical Data'!$E$2:$E$9,MATCH($A160,'Historical Data'!$BE$2:$BE$9,0)),"")</f>
        <v/>
      </c>
      <c r="F160" s="111" t="str">
        <f aca="false">IFERROR(INDEX('Historical Data'!$G$2:$G$9,MATCH($A160,'Historical Data'!$BE$2:$BE$9,0)),"")</f>
        <v/>
      </c>
      <c r="G160" s="111" t="str">
        <f aca="false">IFERROR(INDEX('Historical Data'!$Y$2:$Y$9,MATCH($A160,'Historical Data'!$BE$2:$BE$9,0)),"")</f>
        <v/>
      </c>
      <c r="H160" s="111" t="str">
        <f aca="false">IFERROR(INDEX('Historical Data'!$K$2:$K$9,MATCH($A160,'Historical Data'!$BE$2:$BE$9,0)),"")</f>
        <v/>
      </c>
      <c r="I160" s="111" t="str">
        <f aca="false">IFERROR(INDEX('Historical Data'!$J$2:$J$9,MATCH($A160,'Historical Data'!$BE$2:$BE$9,0)),"")</f>
        <v/>
      </c>
      <c r="J160" s="111" t="str">
        <f aca="false">IFERROR(INDEX('Historical Data'!$L$2:$L$9,MATCH($A160,'Historical Data'!$BE$2:$BE$9,0)),"")</f>
        <v/>
      </c>
      <c r="K160" s="113" t="str">
        <f aca="false">IFERROR(INDEX('Historical Data'!$M$2:$M$9,MATCH($A160,'Historical Data'!$BE$2:$BE$9,0)),"")</f>
        <v/>
      </c>
      <c r="L160" s="114" t="str">
        <f aca="false">IFERROR(INDEX('Historical Data'!$N$2:$N$9,MATCH($A160,'Historical Data'!$BE$2:$BE$9,0)),"")</f>
        <v/>
      </c>
      <c r="M160" s="114" t="str">
        <f aca="false">IFERROR(INDEX('Historical Data'!$Q$2:$Q$9,MATCH($A160,'Historical Data'!$BE$2:$BE$9,0)),"")</f>
        <v/>
      </c>
      <c r="N160" s="115" t="str">
        <f aca="false">IFERROR(INDEX('Historical Data'!$S$2:$S$9,MATCH($A160,'Historical Data'!$BE$2:$BE$9,0)),"")</f>
        <v/>
      </c>
      <c r="O160" s="114" t="str">
        <f aca="false">IFERROR(INDEX('Historical Data'!$AJ$2:$AJ$9,MATCH($A160,'Historical Data'!$BE$2:$BE$9,0)),"")</f>
        <v/>
      </c>
      <c r="P160" s="114" t="str">
        <f aca="false">IFERROR(INDEX('Historical Data'!$AK$2:$AK$9,MATCH($A160,'Historical Data'!$BE$2:$BE$9,0)),"")</f>
        <v/>
      </c>
      <c r="Q160" s="111" t="str">
        <f aca="false">IFERROR(INDEX('Historical Data'!$AA$2:$AA$9,MATCH($A160,'Historical Data'!$BE$2:$BE$9,0)),"")</f>
        <v/>
      </c>
      <c r="R160" s="111" t="str">
        <f aca="false">IFERROR(INDEX('Historical Data'!$AB$2:$AB$9,MATCH($A160,'Historical Data'!$BE$2:$BE$9,0)),"")</f>
        <v/>
      </c>
      <c r="S160" s="111" t="str">
        <f aca="false">IFERROR(INDEX('Historical Data'!$AN$2:$AN$9,MATCH($A160,'Historical Data'!$BE$2:$BE$9,0)),"")</f>
        <v/>
      </c>
      <c r="T160" s="111" t="str">
        <f aca="false">IFERROR(INDEX('Historical Data'!$AC$2:$AC$9,MATCH($A160,'Historical Data'!$BE$2:$BE$9,0)),"")</f>
        <v/>
      </c>
      <c r="U160" s="111" t="str">
        <f aca="false">IFERROR(INDEX('Historical Data'!$AE$2:$AE$9,MATCH($A160,'Historical Data'!$BE$2:$BE$9,0)),"")</f>
        <v/>
      </c>
      <c r="V160" s="111" t="str">
        <f aca="false">IFERROR(INDEX('Historical Data'!$AH$2:$AH$9,MATCH($A160,'Historical Data'!$BE$2:$BE$9,0)),"")</f>
        <v/>
      </c>
      <c r="W160" s="111" t="str">
        <f aca="false">IFERROR(INDEX('Historical Data'!$BC$2:$BC$9,MATCH($A160,'Historical Data'!$BE$2:$BE$9,0)),"")</f>
        <v/>
      </c>
      <c r="X160" s="110" t="str">
        <f aca="false">IF(B160="","",IF(W160=1,"NR + industry + position",IF(W160=2,"NR + ISO + position",IF(W160=3,"NR + industry",IF(W160=4,"NR + ISO",IF(W160=5,"NR + position",IF(W160=6,"NR only","book baseline"))))))&amp;"  ["&amp;IF(T160=1,"seasoned","unseasoned")&amp;IF(U160=1,", defaulted","")&amp;IF(V160=1,", open","")&amp;"]")</f>
        <v/>
      </c>
    </row>
    <row r="161" customFormat="false" ht="15" hidden="false" customHeight="false" outlineLevel="0" collapsed="false">
      <c r="A161" s="110" t="n">
        <v>157</v>
      </c>
      <c r="B161" s="111" t="str">
        <f aca="false">IFERROR(INDEX('Historical Data'!$A$2:$A$9,MATCH($A161,'Historical Data'!$BE$2:$BE$9,0)),"")</f>
        <v/>
      </c>
      <c r="C161" s="111" t="str">
        <f aca="false">IFERROR(INDEX('Historical Data'!$B$2:$B$9,MATCH($A161,'Historical Data'!$BE$2:$BE$9,0)),"")</f>
        <v/>
      </c>
      <c r="D161" s="111" t="str">
        <f aca="false">IFERROR(INDEX('Historical Data'!$D$2:$D$9,MATCH($A161,'Historical Data'!$BE$2:$BE$9,0)),"")</f>
        <v/>
      </c>
      <c r="E161" s="112" t="str">
        <f aca="false">IFERROR(INDEX('Historical Data'!$E$2:$E$9,MATCH($A161,'Historical Data'!$BE$2:$BE$9,0)),"")</f>
        <v/>
      </c>
      <c r="F161" s="111" t="str">
        <f aca="false">IFERROR(INDEX('Historical Data'!$G$2:$G$9,MATCH($A161,'Historical Data'!$BE$2:$BE$9,0)),"")</f>
        <v/>
      </c>
      <c r="G161" s="111" t="str">
        <f aca="false">IFERROR(INDEX('Historical Data'!$Y$2:$Y$9,MATCH($A161,'Historical Data'!$BE$2:$BE$9,0)),"")</f>
        <v/>
      </c>
      <c r="H161" s="111" t="str">
        <f aca="false">IFERROR(INDEX('Historical Data'!$K$2:$K$9,MATCH($A161,'Historical Data'!$BE$2:$BE$9,0)),"")</f>
        <v/>
      </c>
      <c r="I161" s="111" t="str">
        <f aca="false">IFERROR(INDEX('Historical Data'!$J$2:$J$9,MATCH($A161,'Historical Data'!$BE$2:$BE$9,0)),"")</f>
        <v/>
      </c>
      <c r="J161" s="111" t="str">
        <f aca="false">IFERROR(INDEX('Historical Data'!$L$2:$L$9,MATCH($A161,'Historical Data'!$BE$2:$BE$9,0)),"")</f>
        <v/>
      </c>
      <c r="K161" s="113" t="str">
        <f aca="false">IFERROR(INDEX('Historical Data'!$M$2:$M$9,MATCH($A161,'Historical Data'!$BE$2:$BE$9,0)),"")</f>
        <v/>
      </c>
      <c r="L161" s="114" t="str">
        <f aca="false">IFERROR(INDEX('Historical Data'!$N$2:$N$9,MATCH($A161,'Historical Data'!$BE$2:$BE$9,0)),"")</f>
        <v/>
      </c>
      <c r="M161" s="114" t="str">
        <f aca="false">IFERROR(INDEX('Historical Data'!$Q$2:$Q$9,MATCH($A161,'Historical Data'!$BE$2:$BE$9,0)),"")</f>
        <v/>
      </c>
      <c r="N161" s="115" t="str">
        <f aca="false">IFERROR(INDEX('Historical Data'!$S$2:$S$9,MATCH($A161,'Historical Data'!$BE$2:$BE$9,0)),"")</f>
        <v/>
      </c>
      <c r="O161" s="114" t="str">
        <f aca="false">IFERROR(INDEX('Historical Data'!$AJ$2:$AJ$9,MATCH($A161,'Historical Data'!$BE$2:$BE$9,0)),"")</f>
        <v/>
      </c>
      <c r="P161" s="114" t="str">
        <f aca="false">IFERROR(INDEX('Historical Data'!$AK$2:$AK$9,MATCH($A161,'Historical Data'!$BE$2:$BE$9,0)),"")</f>
        <v/>
      </c>
      <c r="Q161" s="111" t="str">
        <f aca="false">IFERROR(INDEX('Historical Data'!$AA$2:$AA$9,MATCH($A161,'Historical Data'!$BE$2:$BE$9,0)),"")</f>
        <v/>
      </c>
      <c r="R161" s="111" t="str">
        <f aca="false">IFERROR(INDEX('Historical Data'!$AB$2:$AB$9,MATCH($A161,'Historical Data'!$BE$2:$BE$9,0)),"")</f>
        <v/>
      </c>
      <c r="S161" s="111" t="str">
        <f aca="false">IFERROR(INDEX('Historical Data'!$AN$2:$AN$9,MATCH($A161,'Historical Data'!$BE$2:$BE$9,0)),"")</f>
        <v/>
      </c>
      <c r="T161" s="111" t="str">
        <f aca="false">IFERROR(INDEX('Historical Data'!$AC$2:$AC$9,MATCH($A161,'Historical Data'!$BE$2:$BE$9,0)),"")</f>
        <v/>
      </c>
      <c r="U161" s="111" t="str">
        <f aca="false">IFERROR(INDEX('Historical Data'!$AE$2:$AE$9,MATCH($A161,'Historical Data'!$BE$2:$BE$9,0)),"")</f>
        <v/>
      </c>
      <c r="V161" s="111" t="str">
        <f aca="false">IFERROR(INDEX('Historical Data'!$AH$2:$AH$9,MATCH($A161,'Historical Data'!$BE$2:$BE$9,0)),"")</f>
        <v/>
      </c>
      <c r="W161" s="111" t="str">
        <f aca="false">IFERROR(INDEX('Historical Data'!$BC$2:$BC$9,MATCH($A161,'Historical Data'!$BE$2:$BE$9,0)),"")</f>
        <v/>
      </c>
      <c r="X161" s="110" t="str">
        <f aca="false">IF(B161="","",IF(W161=1,"NR + industry + position",IF(W161=2,"NR + ISO + position",IF(W161=3,"NR + industry",IF(W161=4,"NR + ISO",IF(W161=5,"NR + position",IF(W161=6,"NR only","book baseline"))))))&amp;"  ["&amp;IF(T161=1,"seasoned","unseasoned")&amp;IF(U161=1,", defaulted","")&amp;IF(V161=1,", open","")&amp;"]")</f>
        <v/>
      </c>
    </row>
    <row r="162" customFormat="false" ht="15" hidden="false" customHeight="false" outlineLevel="0" collapsed="false">
      <c r="A162" s="110" t="n">
        <v>158</v>
      </c>
      <c r="B162" s="111" t="str">
        <f aca="false">IFERROR(INDEX('Historical Data'!$A$2:$A$9,MATCH($A162,'Historical Data'!$BE$2:$BE$9,0)),"")</f>
        <v/>
      </c>
      <c r="C162" s="111" t="str">
        <f aca="false">IFERROR(INDEX('Historical Data'!$B$2:$B$9,MATCH($A162,'Historical Data'!$BE$2:$BE$9,0)),"")</f>
        <v/>
      </c>
      <c r="D162" s="111" t="str">
        <f aca="false">IFERROR(INDEX('Historical Data'!$D$2:$D$9,MATCH($A162,'Historical Data'!$BE$2:$BE$9,0)),"")</f>
        <v/>
      </c>
      <c r="E162" s="112" t="str">
        <f aca="false">IFERROR(INDEX('Historical Data'!$E$2:$E$9,MATCH($A162,'Historical Data'!$BE$2:$BE$9,0)),"")</f>
        <v/>
      </c>
      <c r="F162" s="111" t="str">
        <f aca="false">IFERROR(INDEX('Historical Data'!$G$2:$G$9,MATCH($A162,'Historical Data'!$BE$2:$BE$9,0)),"")</f>
        <v/>
      </c>
      <c r="G162" s="111" t="str">
        <f aca="false">IFERROR(INDEX('Historical Data'!$Y$2:$Y$9,MATCH($A162,'Historical Data'!$BE$2:$BE$9,0)),"")</f>
        <v/>
      </c>
      <c r="H162" s="111" t="str">
        <f aca="false">IFERROR(INDEX('Historical Data'!$K$2:$K$9,MATCH($A162,'Historical Data'!$BE$2:$BE$9,0)),"")</f>
        <v/>
      </c>
      <c r="I162" s="111" t="str">
        <f aca="false">IFERROR(INDEX('Historical Data'!$J$2:$J$9,MATCH($A162,'Historical Data'!$BE$2:$BE$9,0)),"")</f>
        <v/>
      </c>
      <c r="J162" s="111" t="str">
        <f aca="false">IFERROR(INDEX('Historical Data'!$L$2:$L$9,MATCH($A162,'Historical Data'!$BE$2:$BE$9,0)),"")</f>
        <v/>
      </c>
      <c r="K162" s="113" t="str">
        <f aca="false">IFERROR(INDEX('Historical Data'!$M$2:$M$9,MATCH($A162,'Historical Data'!$BE$2:$BE$9,0)),"")</f>
        <v/>
      </c>
      <c r="L162" s="114" t="str">
        <f aca="false">IFERROR(INDEX('Historical Data'!$N$2:$N$9,MATCH($A162,'Historical Data'!$BE$2:$BE$9,0)),"")</f>
        <v/>
      </c>
      <c r="M162" s="114" t="str">
        <f aca="false">IFERROR(INDEX('Historical Data'!$Q$2:$Q$9,MATCH($A162,'Historical Data'!$BE$2:$BE$9,0)),"")</f>
        <v/>
      </c>
      <c r="N162" s="115" t="str">
        <f aca="false">IFERROR(INDEX('Historical Data'!$S$2:$S$9,MATCH($A162,'Historical Data'!$BE$2:$BE$9,0)),"")</f>
        <v/>
      </c>
      <c r="O162" s="114" t="str">
        <f aca="false">IFERROR(INDEX('Historical Data'!$AJ$2:$AJ$9,MATCH($A162,'Historical Data'!$BE$2:$BE$9,0)),"")</f>
        <v/>
      </c>
      <c r="P162" s="114" t="str">
        <f aca="false">IFERROR(INDEX('Historical Data'!$AK$2:$AK$9,MATCH($A162,'Historical Data'!$BE$2:$BE$9,0)),"")</f>
        <v/>
      </c>
      <c r="Q162" s="111" t="str">
        <f aca="false">IFERROR(INDEX('Historical Data'!$AA$2:$AA$9,MATCH($A162,'Historical Data'!$BE$2:$BE$9,0)),"")</f>
        <v/>
      </c>
      <c r="R162" s="111" t="str">
        <f aca="false">IFERROR(INDEX('Historical Data'!$AB$2:$AB$9,MATCH($A162,'Historical Data'!$BE$2:$BE$9,0)),"")</f>
        <v/>
      </c>
      <c r="S162" s="111" t="str">
        <f aca="false">IFERROR(INDEX('Historical Data'!$AN$2:$AN$9,MATCH($A162,'Historical Data'!$BE$2:$BE$9,0)),"")</f>
        <v/>
      </c>
      <c r="T162" s="111" t="str">
        <f aca="false">IFERROR(INDEX('Historical Data'!$AC$2:$AC$9,MATCH($A162,'Historical Data'!$BE$2:$BE$9,0)),"")</f>
        <v/>
      </c>
      <c r="U162" s="111" t="str">
        <f aca="false">IFERROR(INDEX('Historical Data'!$AE$2:$AE$9,MATCH($A162,'Historical Data'!$BE$2:$BE$9,0)),"")</f>
        <v/>
      </c>
      <c r="V162" s="111" t="str">
        <f aca="false">IFERROR(INDEX('Historical Data'!$AH$2:$AH$9,MATCH($A162,'Historical Data'!$BE$2:$BE$9,0)),"")</f>
        <v/>
      </c>
      <c r="W162" s="111" t="str">
        <f aca="false">IFERROR(INDEX('Historical Data'!$BC$2:$BC$9,MATCH($A162,'Historical Data'!$BE$2:$BE$9,0)),"")</f>
        <v/>
      </c>
      <c r="X162" s="110" t="str">
        <f aca="false">IF(B162="","",IF(W162=1,"NR + industry + position",IF(W162=2,"NR + ISO + position",IF(W162=3,"NR + industry",IF(W162=4,"NR + ISO",IF(W162=5,"NR + position",IF(W162=6,"NR only","book baseline"))))))&amp;"  ["&amp;IF(T162=1,"seasoned","unseasoned")&amp;IF(U162=1,", defaulted","")&amp;IF(V162=1,", open","")&amp;"]")</f>
        <v/>
      </c>
    </row>
    <row r="163" customFormat="false" ht="15" hidden="false" customHeight="false" outlineLevel="0" collapsed="false">
      <c r="A163" s="110" t="n">
        <v>159</v>
      </c>
      <c r="B163" s="111" t="str">
        <f aca="false">IFERROR(INDEX('Historical Data'!$A$2:$A$9,MATCH($A163,'Historical Data'!$BE$2:$BE$9,0)),"")</f>
        <v/>
      </c>
      <c r="C163" s="111" t="str">
        <f aca="false">IFERROR(INDEX('Historical Data'!$B$2:$B$9,MATCH($A163,'Historical Data'!$BE$2:$BE$9,0)),"")</f>
        <v/>
      </c>
      <c r="D163" s="111" t="str">
        <f aca="false">IFERROR(INDEX('Historical Data'!$D$2:$D$9,MATCH($A163,'Historical Data'!$BE$2:$BE$9,0)),"")</f>
        <v/>
      </c>
      <c r="E163" s="112" t="str">
        <f aca="false">IFERROR(INDEX('Historical Data'!$E$2:$E$9,MATCH($A163,'Historical Data'!$BE$2:$BE$9,0)),"")</f>
        <v/>
      </c>
      <c r="F163" s="111" t="str">
        <f aca="false">IFERROR(INDEX('Historical Data'!$G$2:$G$9,MATCH($A163,'Historical Data'!$BE$2:$BE$9,0)),"")</f>
        <v/>
      </c>
      <c r="G163" s="111" t="str">
        <f aca="false">IFERROR(INDEX('Historical Data'!$Y$2:$Y$9,MATCH($A163,'Historical Data'!$BE$2:$BE$9,0)),"")</f>
        <v/>
      </c>
      <c r="H163" s="111" t="str">
        <f aca="false">IFERROR(INDEX('Historical Data'!$K$2:$K$9,MATCH($A163,'Historical Data'!$BE$2:$BE$9,0)),"")</f>
        <v/>
      </c>
      <c r="I163" s="111" t="str">
        <f aca="false">IFERROR(INDEX('Historical Data'!$J$2:$J$9,MATCH($A163,'Historical Data'!$BE$2:$BE$9,0)),"")</f>
        <v/>
      </c>
      <c r="J163" s="111" t="str">
        <f aca="false">IFERROR(INDEX('Historical Data'!$L$2:$L$9,MATCH($A163,'Historical Data'!$BE$2:$BE$9,0)),"")</f>
        <v/>
      </c>
      <c r="K163" s="113" t="str">
        <f aca="false">IFERROR(INDEX('Historical Data'!$M$2:$M$9,MATCH($A163,'Historical Data'!$BE$2:$BE$9,0)),"")</f>
        <v/>
      </c>
      <c r="L163" s="114" t="str">
        <f aca="false">IFERROR(INDEX('Historical Data'!$N$2:$N$9,MATCH($A163,'Historical Data'!$BE$2:$BE$9,0)),"")</f>
        <v/>
      </c>
      <c r="M163" s="114" t="str">
        <f aca="false">IFERROR(INDEX('Historical Data'!$Q$2:$Q$9,MATCH($A163,'Historical Data'!$BE$2:$BE$9,0)),"")</f>
        <v/>
      </c>
      <c r="N163" s="115" t="str">
        <f aca="false">IFERROR(INDEX('Historical Data'!$S$2:$S$9,MATCH($A163,'Historical Data'!$BE$2:$BE$9,0)),"")</f>
        <v/>
      </c>
      <c r="O163" s="114" t="str">
        <f aca="false">IFERROR(INDEX('Historical Data'!$AJ$2:$AJ$9,MATCH($A163,'Historical Data'!$BE$2:$BE$9,0)),"")</f>
        <v/>
      </c>
      <c r="P163" s="114" t="str">
        <f aca="false">IFERROR(INDEX('Historical Data'!$AK$2:$AK$9,MATCH($A163,'Historical Data'!$BE$2:$BE$9,0)),"")</f>
        <v/>
      </c>
      <c r="Q163" s="111" t="str">
        <f aca="false">IFERROR(INDEX('Historical Data'!$AA$2:$AA$9,MATCH($A163,'Historical Data'!$BE$2:$BE$9,0)),"")</f>
        <v/>
      </c>
      <c r="R163" s="111" t="str">
        <f aca="false">IFERROR(INDEX('Historical Data'!$AB$2:$AB$9,MATCH($A163,'Historical Data'!$BE$2:$BE$9,0)),"")</f>
        <v/>
      </c>
      <c r="S163" s="111" t="str">
        <f aca="false">IFERROR(INDEX('Historical Data'!$AN$2:$AN$9,MATCH($A163,'Historical Data'!$BE$2:$BE$9,0)),"")</f>
        <v/>
      </c>
      <c r="T163" s="111" t="str">
        <f aca="false">IFERROR(INDEX('Historical Data'!$AC$2:$AC$9,MATCH($A163,'Historical Data'!$BE$2:$BE$9,0)),"")</f>
        <v/>
      </c>
      <c r="U163" s="111" t="str">
        <f aca="false">IFERROR(INDEX('Historical Data'!$AE$2:$AE$9,MATCH($A163,'Historical Data'!$BE$2:$BE$9,0)),"")</f>
        <v/>
      </c>
      <c r="V163" s="111" t="str">
        <f aca="false">IFERROR(INDEX('Historical Data'!$AH$2:$AH$9,MATCH($A163,'Historical Data'!$BE$2:$BE$9,0)),"")</f>
        <v/>
      </c>
      <c r="W163" s="111" t="str">
        <f aca="false">IFERROR(INDEX('Historical Data'!$BC$2:$BC$9,MATCH($A163,'Historical Data'!$BE$2:$BE$9,0)),"")</f>
        <v/>
      </c>
      <c r="X163" s="110" t="str">
        <f aca="false">IF(B163="","",IF(W163=1,"NR + industry + position",IF(W163=2,"NR + ISO + position",IF(W163=3,"NR + industry",IF(W163=4,"NR + ISO",IF(W163=5,"NR + position",IF(W163=6,"NR only","book baseline"))))))&amp;"  ["&amp;IF(T163=1,"seasoned","unseasoned")&amp;IF(U163=1,", defaulted","")&amp;IF(V163=1,", open","")&amp;"]")</f>
        <v/>
      </c>
    </row>
    <row r="164" customFormat="false" ht="15" hidden="false" customHeight="false" outlineLevel="0" collapsed="false">
      <c r="A164" s="110" t="n">
        <v>160</v>
      </c>
      <c r="B164" s="111" t="str">
        <f aca="false">IFERROR(INDEX('Historical Data'!$A$2:$A$9,MATCH($A164,'Historical Data'!$BE$2:$BE$9,0)),"")</f>
        <v/>
      </c>
      <c r="C164" s="111" t="str">
        <f aca="false">IFERROR(INDEX('Historical Data'!$B$2:$B$9,MATCH($A164,'Historical Data'!$BE$2:$BE$9,0)),"")</f>
        <v/>
      </c>
      <c r="D164" s="111" t="str">
        <f aca="false">IFERROR(INDEX('Historical Data'!$D$2:$D$9,MATCH($A164,'Historical Data'!$BE$2:$BE$9,0)),"")</f>
        <v/>
      </c>
      <c r="E164" s="112" t="str">
        <f aca="false">IFERROR(INDEX('Historical Data'!$E$2:$E$9,MATCH($A164,'Historical Data'!$BE$2:$BE$9,0)),"")</f>
        <v/>
      </c>
      <c r="F164" s="111" t="str">
        <f aca="false">IFERROR(INDEX('Historical Data'!$G$2:$G$9,MATCH($A164,'Historical Data'!$BE$2:$BE$9,0)),"")</f>
        <v/>
      </c>
      <c r="G164" s="111" t="str">
        <f aca="false">IFERROR(INDEX('Historical Data'!$Y$2:$Y$9,MATCH($A164,'Historical Data'!$BE$2:$BE$9,0)),"")</f>
        <v/>
      </c>
      <c r="H164" s="111" t="str">
        <f aca="false">IFERROR(INDEX('Historical Data'!$K$2:$K$9,MATCH($A164,'Historical Data'!$BE$2:$BE$9,0)),"")</f>
        <v/>
      </c>
      <c r="I164" s="111" t="str">
        <f aca="false">IFERROR(INDEX('Historical Data'!$J$2:$J$9,MATCH($A164,'Historical Data'!$BE$2:$BE$9,0)),"")</f>
        <v/>
      </c>
      <c r="J164" s="111" t="str">
        <f aca="false">IFERROR(INDEX('Historical Data'!$L$2:$L$9,MATCH($A164,'Historical Data'!$BE$2:$BE$9,0)),"")</f>
        <v/>
      </c>
      <c r="K164" s="113" t="str">
        <f aca="false">IFERROR(INDEX('Historical Data'!$M$2:$M$9,MATCH($A164,'Historical Data'!$BE$2:$BE$9,0)),"")</f>
        <v/>
      </c>
      <c r="L164" s="114" t="str">
        <f aca="false">IFERROR(INDEX('Historical Data'!$N$2:$N$9,MATCH($A164,'Historical Data'!$BE$2:$BE$9,0)),"")</f>
        <v/>
      </c>
      <c r="M164" s="114" t="str">
        <f aca="false">IFERROR(INDEX('Historical Data'!$Q$2:$Q$9,MATCH($A164,'Historical Data'!$BE$2:$BE$9,0)),"")</f>
        <v/>
      </c>
      <c r="N164" s="115" t="str">
        <f aca="false">IFERROR(INDEX('Historical Data'!$S$2:$S$9,MATCH($A164,'Historical Data'!$BE$2:$BE$9,0)),"")</f>
        <v/>
      </c>
      <c r="O164" s="114" t="str">
        <f aca="false">IFERROR(INDEX('Historical Data'!$AJ$2:$AJ$9,MATCH($A164,'Historical Data'!$BE$2:$BE$9,0)),"")</f>
        <v/>
      </c>
      <c r="P164" s="114" t="str">
        <f aca="false">IFERROR(INDEX('Historical Data'!$AK$2:$AK$9,MATCH($A164,'Historical Data'!$BE$2:$BE$9,0)),"")</f>
        <v/>
      </c>
      <c r="Q164" s="111" t="str">
        <f aca="false">IFERROR(INDEX('Historical Data'!$AA$2:$AA$9,MATCH($A164,'Historical Data'!$BE$2:$BE$9,0)),"")</f>
        <v/>
      </c>
      <c r="R164" s="111" t="str">
        <f aca="false">IFERROR(INDEX('Historical Data'!$AB$2:$AB$9,MATCH($A164,'Historical Data'!$BE$2:$BE$9,0)),"")</f>
        <v/>
      </c>
      <c r="S164" s="111" t="str">
        <f aca="false">IFERROR(INDEX('Historical Data'!$AN$2:$AN$9,MATCH($A164,'Historical Data'!$BE$2:$BE$9,0)),"")</f>
        <v/>
      </c>
      <c r="T164" s="111" t="str">
        <f aca="false">IFERROR(INDEX('Historical Data'!$AC$2:$AC$9,MATCH($A164,'Historical Data'!$BE$2:$BE$9,0)),"")</f>
        <v/>
      </c>
      <c r="U164" s="111" t="str">
        <f aca="false">IFERROR(INDEX('Historical Data'!$AE$2:$AE$9,MATCH($A164,'Historical Data'!$BE$2:$BE$9,0)),"")</f>
        <v/>
      </c>
      <c r="V164" s="111" t="str">
        <f aca="false">IFERROR(INDEX('Historical Data'!$AH$2:$AH$9,MATCH($A164,'Historical Data'!$BE$2:$BE$9,0)),"")</f>
        <v/>
      </c>
      <c r="W164" s="111" t="str">
        <f aca="false">IFERROR(INDEX('Historical Data'!$BC$2:$BC$9,MATCH($A164,'Historical Data'!$BE$2:$BE$9,0)),"")</f>
        <v/>
      </c>
      <c r="X164" s="110" t="str">
        <f aca="false">IF(B164="","",IF(W164=1,"NR + industry + position",IF(W164=2,"NR + ISO + position",IF(W164=3,"NR + industry",IF(W164=4,"NR + ISO",IF(W164=5,"NR + position",IF(W164=6,"NR only","book baseline"))))))&amp;"  ["&amp;IF(T164=1,"seasoned","unseasoned")&amp;IF(U164=1,", defaulted","")&amp;IF(V164=1,", open","")&amp;"]")</f>
        <v/>
      </c>
    </row>
    <row r="165" customFormat="false" ht="15" hidden="false" customHeight="false" outlineLevel="0" collapsed="false">
      <c r="A165" s="110" t="n">
        <v>161</v>
      </c>
      <c r="B165" s="111" t="str">
        <f aca="false">IFERROR(INDEX('Historical Data'!$A$2:$A$9,MATCH($A165,'Historical Data'!$BE$2:$BE$9,0)),"")</f>
        <v/>
      </c>
      <c r="C165" s="111" t="str">
        <f aca="false">IFERROR(INDEX('Historical Data'!$B$2:$B$9,MATCH($A165,'Historical Data'!$BE$2:$BE$9,0)),"")</f>
        <v/>
      </c>
      <c r="D165" s="111" t="str">
        <f aca="false">IFERROR(INDEX('Historical Data'!$D$2:$D$9,MATCH($A165,'Historical Data'!$BE$2:$BE$9,0)),"")</f>
        <v/>
      </c>
      <c r="E165" s="112" t="str">
        <f aca="false">IFERROR(INDEX('Historical Data'!$E$2:$E$9,MATCH($A165,'Historical Data'!$BE$2:$BE$9,0)),"")</f>
        <v/>
      </c>
      <c r="F165" s="111" t="str">
        <f aca="false">IFERROR(INDEX('Historical Data'!$G$2:$G$9,MATCH($A165,'Historical Data'!$BE$2:$BE$9,0)),"")</f>
        <v/>
      </c>
      <c r="G165" s="111" t="str">
        <f aca="false">IFERROR(INDEX('Historical Data'!$Y$2:$Y$9,MATCH($A165,'Historical Data'!$BE$2:$BE$9,0)),"")</f>
        <v/>
      </c>
      <c r="H165" s="111" t="str">
        <f aca="false">IFERROR(INDEX('Historical Data'!$K$2:$K$9,MATCH($A165,'Historical Data'!$BE$2:$BE$9,0)),"")</f>
        <v/>
      </c>
      <c r="I165" s="111" t="str">
        <f aca="false">IFERROR(INDEX('Historical Data'!$J$2:$J$9,MATCH($A165,'Historical Data'!$BE$2:$BE$9,0)),"")</f>
        <v/>
      </c>
      <c r="J165" s="111" t="str">
        <f aca="false">IFERROR(INDEX('Historical Data'!$L$2:$L$9,MATCH($A165,'Historical Data'!$BE$2:$BE$9,0)),"")</f>
        <v/>
      </c>
      <c r="K165" s="113" t="str">
        <f aca="false">IFERROR(INDEX('Historical Data'!$M$2:$M$9,MATCH($A165,'Historical Data'!$BE$2:$BE$9,0)),"")</f>
        <v/>
      </c>
      <c r="L165" s="114" t="str">
        <f aca="false">IFERROR(INDEX('Historical Data'!$N$2:$N$9,MATCH($A165,'Historical Data'!$BE$2:$BE$9,0)),"")</f>
        <v/>
      </c>
      <c r="M165" s="114" t="str">
        <f aca="false">IFERROR(INDEX('Historical Data'!$Q$2:$Q$9,MATCH($A165,'Historical Data'!$BE$2:$BE$9,0)),"")</f>
        <v/>
      </c>
      <c r="N165" s="115" t="str">
        <f aca="false">IFERROR(INDEX('Historical Data'!$S$2:$S$9,MATCH($A165,'Historical Data'!$BE$2:$BE$9,0)),"")</f>
        <v/>
      </c>
      <c r="O165" s="114" t="str">
        <f aca="false">IFERROR(INDEX('Historical Data'!$AJ$2:$AJ$9,MATCH($A165,'Historical Data'!$BE$2:$BE$9,0)),"")</f>
        <v/>
      </c>
      <c r="P165" s="114" t="str">
        <f aca="false">IFERROR(INDEX('Historical Data'!$AK$2:$AK$9,MATCH($A165,'Historical Data'!$BE$2:$BE$9,0)),"")</f>
        <v/>
      </c>
      <c r="Q165" s="111" t="str">
        <f aca="false">IFERROR(INDEX('Historical Data'!$AA$2:$AA$9,MATCH($A165,'Historical Data'!$BE$2:$BE$9,0)),"")</f>
        <v/>
      </c>
      <c r="R165" s="111" t="str">
        <f aca="false">IFERROR(INDEX('Historical Data'!$AB$2:$AB$9,MATCH($A165,'Historical Data'!$BE$2:$BE$9,0)),"")</f>
        <v/>
      </c>
      <c r="S165" s="111" t="str">
        <f aca="false">IFERROR(INDEX('Historical Data'!$AN$2:$AN$9,MATCH($A165,'Historical Data'!$BE$2:$BE$9,0)),"")</f>
        <v/>
      </c>
      <c r="T165" s="111" t="str">
        <f aca="false">IFERROR(INDEX('Historical Data'!$AC$2:$AC$9,MATCH($A165,'Historical Data'!$BE$2:$BE$9,0)),"")</f>
        <v/>
      </c>
      <c r="U165" s="111" t="str">
        <f aca="false">IFERROR(INDEX('Historical Data'!$AE$2:$AE$9,MATCH($A165,'Historical Data'!$BE$2:$BE$9,0)),"")</f>
        <v/>
      </c>
      <c r="V165" s="111" t="str">
        <f aca="false">IFERROR(INDEX('Historical Data'!$AH$2:$AH$9,MATCH($A165,'Historical Data'!$BE$2:$BE$9,0)),"")</f>
        <v/>
      </c>
      <c r="W165" s="111" t="str">
        <f aca="false">IFERROR(INDEX('Historical Data'!$BC$2:$BC$9,MATCH($A165,'Historical Data'!$BE$2:$BE$9,0)),"")</f>
        <v/>
      </c>
      <c r="X165" s="110" t="str">
        <f aca="false">IF(B165="","",IF(W165=1,"NR + industry + position",IF(W165=2,"NR + ISO + position",IF(W165=3,"NR + industry",IF(W165=4,"NR + ISO",IF(W165=5,"NR + position",IF(W165=6,"NR only","book baseline"))))))&amp;"  ["&amp;IF(T165=1,"seasoned","unseasoned")&amp;IF(U165=1,", defaulted","")&amp;IF(V165=1,", open","")&amp;"]")</f>
        <v/>
      </c>
    </row>
    <row r="166" customFormat="false" ht="15" hidden="false" customHeight="false" outlineLevel="0" collapsed="false">
      <c r="A166" s="110" t="n">
        <v>162</v>
      </c>
      <c r="B166" s="111" t="str">
        <f aca="false">IFERROR(INDEX('Historical Data'!$A$2:$A$9,MATCH($A166,'Historical Data'!$BE$2:$BE$9,0)),"")</f>
        <v/>
      </c>
      <c r="C166" s="111" t="str">
        <f aca="false">IFERROR(INDEX('Historical Data'!$B$2:$B$9,MATCH($A166,'Historical Data'!$BE$2:$BE$9,0)),"")</f>
        <v/>
      </c>
      <c r="D166" s="111" t="str">
        <f aca="false">IFERROR(INDEX('Historical Data'!$D$2:$D$9,MATCH($A166,'Historical Data'!$BE$2:$BE$9,0)),"")</f>
        <v/>
      </c>
      <c r="E166" s="112" t="str">
        <f aca="false">IFERROR(INDEX('Historical Data'!$E$2:$E$9,MATCH($A166,'Historical Data'!$BE$2:$BE$9,0)),"")</f>
        <v/>
      </c>
      <c r="F166" s="111" t="str">
        <f aca="false">IFERROR(INDEX('Historical Data'!$G$2:$G$9,MATCH($A166,'Historical Data'!$BE$2:$BE$9,0)),"")</f>
        <v/>
      </c>
      <c r="G166" s="111" t="str">
        <f aca="false">IFERROR(INDEX('Historical Data'!$Y$2:$Y$9,MATCH($A166,'Historical Data'!$BE$2:$BE$9,0)),"")</f>
        <v/>
      </c>
      <c r="H166" s="111" t="str">
        <f aca="false">IFERROR(INDEX('Historical Data'!$K$2:$K$9,MATCH($A166,'Historical Data'!$BE$2:$BE$9,0)),"")</f>
        <v/>
      </c>
      <c r="I166" s="111" t="str">
        <f aca="false">IFERROR(INDEX('Historical Data'!$J$2:$J$9,MATCH($A166,'Historical Data'!$BE$2:$BE$9,0)),"")</f>
        <v/>
      </c>
      <c r="J166" s="111" t="str">
        <f aca="false">IFERROR(INDEX('Historical Data'!$L$2:$L$9,MATCH($A166,'Historical Data'!$BE$2:$BE$9,0)),"")</f>
        <v/>
      </c>
      <c r="K166" s="113" t="str">
        <f aca="false">IFERROR(INDEX('Historical Data'!$M$2:$M$9,MATCH($A166,'Historical Data'!$BE$2:$BE$9,0)),"")</f>
        <v/>
      </c>
      <c r="L166" s="114" t="str">
        <f aca="false">IFERROR(INDEX('Historical Data'!$N$2:$N$9,MATCH($A166,'Historical Data'!$BE$2:$BE$9,0)),"")</f>
        <v/>
      </c>
      <c r="M166" s="114" t="str">
        <f aca="false">IFERROR(INDEX('Historical Data'!$Q$2:$Q$9,MATCH($A166,'Historical Data'!$BE$2:$BE$9,0)),"")</f>
        <v/>
      </c>
      <c r="N166" s="115" t="str">
        <f aca="false">IFERROR(INDEX('Historical Data'!$S$2:$S$9,MATCH($A166,'Historical Data'!$BE$2:$BE$9,0)),"")</f>
        <v/>
      </c>
      <c r="O166" s="114" t="str">
        <f aca="false">IFERROR(INDEX('Historical Data'!$AJ$2:$AJ$9,MATCH($A166,'Historical Data'!$BE$2:$BE$9,0)),"")</f>
        <v/>
      </c>
      <c r="P166" s="114" t="str">
        <f aca="false">IFERROR(INDEX('Historical Data'!$AK$2:$AK$9,MATCH($A166,'Historical Data'!$BE$2:$BE$9,0)),"")</f>
        <v/>
      </c>
      <c r="Q166" s="111" t="str">
        <f aca="false">IFERROR(INDEX('Historical Data'!$AA$2:$AA$9,MATCH($A166,'Historical Data'!$BE$2:$BE$9,0)),"")</f>
        <v/>
      </c>
      <c r="R166" s="111" t="str">
        <f aca="false">IFERROR(INDEX('Historical Data'!$AB$2:$AB$9,MATCH($A166,'Historical Data'!$BE$2:$BE$9,0)),"")</f>
        <v/>
      </c>
      <c r="S166" s="111" t="str">
        <f aca="false">IFERROR(INDEX('Historical Data'!$AN$2:$AN$9,MATCH($A166,'Historical Data'!$BE$2:$BE$9,0)),"")</f>
        <v/>
      </c>
      <c r="T166" s="111" t="str">
        <f aca="false">IFERROR(INDEX('Historical Data'!$AC$2:$AC$9,MATCH($A166,'Historical Data'!$BE$2:$BE$9,0)),"")</f>
        <v/>
      </c>
      <c r="U166" s="111" t="str">
        <f aca="false">IFERROR(INDEX('Historical Data'!$AE$2:$AE$9,MATCH($A166,'Historical Data'!$BE$2:$BE$9,0)),"")</f>
        <v/>
      </c>
      <c r="V166" s="111" t="str">
        <f aca="false">IFERROR(INDEX('Historical Data'!$AH$2:$AH$9,MATCH($A166,'Historical Data'!$BE$2:$BE$9,0)),"")</f>
        <v/>
      </c>
      <c r="W166" s="111" t="str">
        <f aca="false">IFERROR(INDEX('Historical Data'!$BC$2:$BC$9,MATCH($A166,'Historical Data'!$BE$2:$BE$9,0)),"")</f>
        <v/>
      </c>
      <c r="X166" s="110" t="str">
        <f aca="false">IF(B166="","",IF(W166=1,"NR + industry + position",IF(W166=2,"NR + ISO + position",IF(W166=3,"NR + industry",IF(W166=4,"NR + ISO",IF(W166=5,"NR + position",IF(W166=6,"NR only","book baseline"))))))&amp;"  ["&amp;IF(T166=1,"seasoned","unseasoned")&amp;IF(U166=1,", defaulted","")&amp;IF(V166=1,", open","")&amp;"]")</f>
        <v/>
      </c>
    </row>
    <row r="167" customFormat="false" ht="15" hidden="false" customHeight="false" outlineLevel="0" collapsed="false">
      <c r="A167" s="110" t="n">
        <v>163</v>
      </c>
      <c r="B167" s="111" t="str">
        <f aca="false">IFERROR(INDEX('Historical Data'!$A$2:$A$9,MATCH($A167,'Historical Data'!$BE$2:$BE$9,0)),"")</f>
        <v/>
      </c>
      <c r="C167" s="111" t="str">
        <f aca="false">IFERROR(INDEX('Historical Data'!$B$2:$B$9,MATCH($A167,'Historical Data'!$BE$2:$BE$9,0)),"")</f>
        <v/>
      </c>
      <c r="D167" s="111" t="str">
        <f aca="false">IFERROR(INDEX('Historical Data'!$D$2:$D$9,MATCH($A167,'Historical Data'!$BE$2:$BE$9,0)),"")</f>
        <v/>
      </c>
      <c r="E167" s="112" t="str">
        <f aca="false">IFERROR(INDEX('Historical Data'!$E$2:$E$9,MATCH($A167,'Historical Data'!$BE$2:$BE$9,0)),"")</f>
        <v/>
      </c>
      <c r="F167" s="111" t="str">
        <f aca="false">IFERROR(INDEX('Historical Data'!$G$2:$G$9,MATCH($A167,'Historical Data'!$BE$2:$BE$9,0)),"")</f>
        <v/>
      </c>
      <c r="G167" s="111" t="str">
        <f aca="false">IFERROR(INDEX('Historical Data'!$Y$2:$Y$9,MATCH($A167,'Historical Data'!$BE$2:$BE$9,0)),"")</f>
        <v/>
      </c>
      <c r="H167" s="111" t="str">
        <f aca="false">IFERROR(INDEX('Historical Data'!$K$2:$K$9,MATCH($A167,'Historical Data'!$BE$2:$BE$9,0)),"")</f>
        <v/>
      </c>
      <c r="I167" s="111" t="str">
        <f aca="false">IFERROR(INDEX('Historical Data'!$J$2:$J$9,MATCH($A167,'Historical Data'!$BE$2:$BE$9,0)),"")</f>
        <v/>
      </c>
      <c r="J167" s="111" t="str">
        <f aca="false">IFERROR(INDEX('Historical Data'!$L$2:$L$9,MATCH($A167,'Historical Data'!$BE$2:$BE$9,0)),"")</f>
        <v/>
      </c>
      <c r="K167" s="113" t="str">
        <f aca="false">IFERROR(INDEX('Historical Data'!$M$2:$M$9,MATCH($A167,'Historical Data'!$BE$2:$BE$9,0)),"")</f>
        <v/>
      </c>
      <c r="L167" s="114" t="str">
        <f aca="false">IFERROR(INDEX('Historical Data'!$N$2:$N$9,MATCH($A167,'Historical Data'!$BE$2:$BE$9,0)),"")</f>
        <v/>
      </c>
      <c r="M167" s="114" t="str">
        <f aca="false">IFERROR(INDEX('Historical Data'!$Q$2:$Q$9,MATCH($A167,'Historical Data'!$BE$2:$BE$9,0)),"")</f>
        <v/>
      </c>
      <c r="N167" s="115" t="str">
        <f aca="false">IFERROR(INDEX('Historical Data'!$S$2:$S$9,MATCH($A167,'Historical Data'!$BE$2:$BE$9,0)),"")</f>
        <v/>
      </c>
      <c r="O167" s="114" t="str">
        <f aca="false">IFERROR(INDEX('Historical Data'!$AJ$2:$AJ$9,MATCH($A167,'Historical Data'!$BE$2:$BE$9,0)),"")</f>
        <v/>
      </c>
      <c r="P167" s="114" t="str">
        <f aca="false">IFERROR(INDEX('Historical Data'!$AK$2:$AK$9,MATCH($A167,'Historical Data'!$BE$2:$BE$9,0)),"")</f>
        <v/>
      </c>
      <c r="Q167" s="111" t="str">
        <f aca="false">IFERROR(INDEX('Historical Data'!$AA$2:$AA$9,MATCH($A167,'Historical Data'!$BE$2:$BE$9,0)),"")</f>
        <v/>
      </c>
      <c r="R167" s="111" t="str">
        <f aca="false">IFERROR(INDEX('Historical Data'!$AB$2:$AB$9,MATCH($A167,'Historical Data'!$BE$2:$BE$9,0)),"")</f>
        <v/>
      </c>
      <c r="S167" s="111" t="str">
        <f aca="false">IFERROR(INDEX('Historical Data'!$AN$2:$AN$9,MATCH($A167,'Historical Data'!$BE$2:$BE$9,0)),"")</f>
        <v/>
      </c>
      <c r="T167" s="111" t="str">
        <f aca="false">IFERROR(INDEX('Historical Data'!$AC$2:$AC$9,MATCH($A167,'Historical Data'!$BE$2:$BE$9,0)),"")</f>
        <v/>
      </c>
      <c r="U167" s="111" t="str">
        <f aca="false">IFERROR(INDEX('Historical Data'!$AE$2:$AE$9,MATCH($A167,'Historical Data'!$BE$2:$BE$9,0)),"")</f>
        <v/>
      </c>
      <c r="V167" s="111" t="str">
        <f aca="false">IFERROR(INDEX('Historical Data'!$AH$2:$AH$9,MATCH($A167,'Historical Data'!$BE$2:$BE$9,0)),"")</f>
        <v/>
      </c>
      <c r="W167" s="111" t="str">
        <f aca="false">IFERROR(INDEX('Historical Data'!$BC$2:$BC$9,MATCH($A167,'Historical Data'!$BE$2:$BE$9,0)),"")</f>
        <v/>
      </c>
      <c r="X167" s="110" t="str">
        <f aca="false">IF(B167="","",IF(W167=1,"NR + industry + position",IF(W167=2,"NR + ISO + position",IF(W167=3,"NR + industry",IF(W167=4,"NR + ISO",IF(W167=5,"NR + position",IF(W167=6,"NR only","book baseline"))))))&amp;"  ["&amp;IF(T167=1,"seasoned","unseasoned")&amp;IF(U167=1,", defaulted","")&amp;IF(V167=1,", open","")&amp;"]")</f>
        <v/>
      </c>
    </row>
    <row r="168" customFormat="false" ht="15" hidden="false" customHeight="false" outlineLevel="0" collapsed="false">
      <c r="A168" s="110" t="n">
        <v>164</v>
      </c>
      <c r="B168" s="111" t="str">
        <f aca="false">IFERROR(INDEX('Historical Data'!$A$2:$A$9,MATCH($A168,'Historical Data'!$BE$2:$BE$9,0)),"")</f>
        <v/>
      </c>
      <c r="C168" s="111" t="str">
        <f aca="false">IFERROR(INDEX('Historical Data'!$B$2:$B$9,MATCH($A168,'Historical Data'!$BE$2:$BE$9,0)),"")</f>
        <v/>
      </c>
      <c r="D168" s="111" t="str">
        <f aca="false">IFERROR(INDEX('Historical Data'!$D$2:$D$9,MATCH($A168,'Historical Data'!$BE$2:$BE$9,0)),"")</f>
        <v/>
      </c>
      <c r="E168" s="112" t="str">
        <f aca="false">IFERROR(INDEX('Historical Data'!$E$2:$E$9,MATCH($A168,'Historical Data'!$BE$2:$BE$9,0)),"")</f>
        <v/>
      </c>
      <c r="F168" s="111" t="str">
        <f aca="false">IFERROR(INDEX('Historical Data'!$G$2:$G$9,MATCH($A168,'Historical Data'!$BE$2:$BE$9,0)),"")</f>
        <v/>
      </c>
      <c r="G168" s="111" t="str">
        <f aca="false">IFERROR(INDEX('Historical Data'!$Y$2:$Y$9,MATCH($A168,'Historical Data'!$BE$2:$BE$9,0)),"")</f>
        <v/>
      </c>
      <c r="H168" s="111" t="str">
        <f aca="false">IFERROR(INDEX('Historical Data'!$K$2:$K$9,MATCH($A168,'Historical Data'!$BE$2:$BE$9,0)),"")</f>
        <v/>
      </c>
      <c r="I168" s="111" t="str">
        <f aca="false">IFERROR(INDEX('Historical Data'!$J$2:$J$9,MATCH($A168,'Historical Data'!$BE$2:$BE$9,0)),"")</f>
        <v/>
      </c>
      <c r="J168" s="111" t="str">
        <f aca="false">IFERROR(INDEX('Historical Data'!$L$2:$L$9,MATCH($A168,'Historical Data'!$BE$2:$BE$9,0)),"")</f>
        <v/>
      </c>
      <c r="K168" s="113" t="str">
        <f aca="false">IFERROR(INDEX('Historical Data'!$M$2:$M$9,MATCH($A168,'Historical Data'!$BE$2:$BE$9,0)),"")</f>
        <v/>
      </c>
      <c r="L168" s="114" t="str">
        <f aca="false">IFERROR(INDEX('Historical Data'!$N$2:$N$9,MATCH($A168,'Historical Data'!$BE$2:$BE$9,0)),"")</f>
        <v/>
      </c>
      <c r="M168" s="114" t="str">
        <f aca="false">IFERROR(INDEX('Historical Data'!$Q$2:$Q$9,MATCH($A168,'Historical Data'!$BE$2:$BE$9,0)),"")</f>
        <v/>
      </c>
      <c r="N168" s="115" t="str">
        <f aca="false">IFERROR(INDEX('Historical Data'!$S$2:$S$9,MATCH($A168,'Historical Data'!$BE$2:$BE$9,0)),"")</f>
        <v/>
      </c>
      <c r="O168" s="114" t="str">
        <f aca="false">IFERROR(INDEX('Historical Data'!$AJ$2:$AJ$9,MATCH($A168,'Historical Data'!$BE$2:$BE$9,0)),"")</f>
        <v/>
      </c>
      <c r="P168" s="114" t="str">
        <f aca="false">IFERROR(INDEX('Historical Data'!$AK$2:$AK$9,MATCH($A168,'Historical Data'!$BE$2:$BE$9,0)),"")</f>
        <v/>
      </c>
      <c r="Q168" s="111" t="str">
        <f aca="false">IFERROR(INDEX('Historical Data'!$AA$2:$AA$9,MATCH($A168,'Historical Data'!$BE$2:$BE$9,0)),"")</f>
        <v/>
      </c>
      <c r="R168" s="111" t="str">
        <f aca="false">IFERROR(INDEX('Historical Data'!$AB$2:$AB$9,MATCH($A168,'Historical Data'!$BE$2:$BE$9,0)),"")</f>
        <v/>
      </c>
      <c r="S168" s="111" t="str">
        <f aca="false">IFERROR(INDEX('Historical Data'!$AN$2:$AN$9,MATCH($A168,'Historical Data'!$BE$2:$BE$9,0)),"")</f>
        <v/>
      </c>
      <c r="T168" s="111" t="str">
        <f aca="false">IFERROR(INDEX('Historical Data'!$AC$2:$AC$9,MATCH($A168,'Historical Data'!$BE$2:$BE$9,0)),"")</f>
        <v/>
      </c>
      <c r="U168" s="111" t="str">
        <f aca="false">IFERROR(INDEX('Historical Data'!$AE$2:$AE$9,MATCH($A168,'Historical Data'!$BE$2:$BE$9,0)),"")</f>
        <v/>
      </c>
      <c r="V168" s="111" t="str">
        <f aca="false">IFERROR(INDEX('Historical Data'!$AH$2:$AH$9,MATCH($A168,'Historical Data'!$BE$2:$BE$9,0)),"")</f>
        <v/>
      </c>
      <c r="W168" s="111" t="str">
        <f aca="false">IFERROR(INDEX('Historical Data'!$BC$2:$BC$9,MATCH($A168,'Historical Data'!$BE$2:$BE$9,0)),"")</f>
        <v/>
      </c>
      <c r="X168" s="110" t="str">
        <f aca="false">IF(B168="","",IF(W168=1,"NR + industry + position",IF(W168=2,"NR + ISO + position",IF(W168=3,"NR + industry",IF(W168=4,"NR + ISO",IF(W168=5,"NR + position",IF(W168=6,"NR only","book baseline"))))))&amp;"  ["&amp;IF(T168=1,"seasoned","unseasoned")&amp;IF(U168=1,", defaulted","")&amp;IF(V168=1,", open","")&amp;"]")</f>
        <v/>
      </c>
    </row>
    <row r="169" customFormat="false" ht="15" hidden="false" customHeight="false" outlineLevel="0" collapsed="false">
      <c r="A169" s="110" t="n">
        <v>165</v>
      </c>
      <c r="B169" s="111" t="str">
        <f aca="false">IFERROR(INDEX('Historical Data'!$A$2:$A$9,MATCH($A169,'Historical Data'!$BE$2:$BE$9,0)),"")</f>
        <v/>
      </c>
      <c r="C169" s="111" t="str">
        <f aca="false">IFERROR(INDEX('Historical Data'!$B$2:$B$9,MATCH($A169,'Historical Data'!$BE$2:$BE$9,0)),"")</f>
        <v/>
      </c>
      <c r="D169" s="111" t="str">
        <f aca="false">IFERROR(INDEX('Historical Data'!$D$2:$D$9,MATCH($A169,'Historical Data'!$BE$2:$BE$9,0)),"")</f>
        <v/>
      </c>
      <c r="E169" s="112" t="str">
        <f aca="false">IFERROR(INDEX('Historical Data'!$E$2:$E$9,MATCH($A169,'Historical Data'!$BE$2:$BE$9,0)),"")</f>
        <v/>
      </c>
      <c r="F169" s="111" t="str">
        <f aca="false">IFERROR(INDEX('Historical Data'!$G$2:$G$9,MATCH($A169,'Historical Data'!$BE$2:$BE$9,0)),"")</f>
        <v/>
      </c>
      <c r="G169" s="111" t="str">
        <f aca="false">IFERROR(INDEX('Historical Data'!$Y$2:$Y$9,MATCH($A169,'Historical Data'!$BE$2:$BE$9,0)),"")</f>
        <v/>
      </c>
      <c r="H169" s="111" t="str">
        <f aca="false">IFERROR(INDEX('Historical Data'!$K$2:$K$9,MATCH($A169,'Historical Data'!$BE$2:$BE$9,0)),"")</f>
        <v/>
      </c>
      <c r="I169" s="111" t="str">
        <f aca="false">IFERROR(INDEX('Historical Data'!$J$2:$J$9,MATCH($A169,'Historical Data'!$BE$2:$BE$9,0)),"")</f>
        <v/>
      </c>
      <c r="J169" s="111" t="str">
        <f aca="false">IFERROR(INDEX('Historical Data'!$L$2:$L$9,MATCH($A169,'Historical Data'!$BE$2:$BE$9,0)),"")</f>
        <v/>
      </c>
      <c r="K169" s="113" t="str">
        <f aca="false">IFERROR(INDEX('Historical Data'!$M$2:$M$9,MATCH($A169,'Historical Data'!$BE$2:$BE$9,0)),"")</f>
        <v/>
      </c>
      <c r="L169" s="114" t="str">
        <f aca="false">IFERROR(INDEX('Historical Data'!$N$2:$N$9,MATCH($A169,'Historical Data'!$BE$2:$BE$9,0)),"")</f>
        <v/>
      </c>
      <c r="M169" s="114" t="str">
        <f aca="false">IFERROR(INDEX('Historical Data'!$Q$2:$Q$9,MATCH($A169,'Historical Data'!$BE$2:$BE$9,0)),"")</f>
        <v/>
      </c>
      <c r="N169" s="115" t="str">
        <f aca="false">IFERROR(INDEX('Historical Data'!$S$2:$S$9,MATCH($A169,'Historical Data'!$BE$2:$BE$9,0)),"")</f>
        <v/>
      </c>
      <c r="O169" s="114" t="str">
        <f aca="false">IFERROR(INDEX('Historical Data'!$AJ$2:$AJ$9,MATCH($A169,'Historical Data'!$BE$2:$BE$9,0)),"")</f>
        <v/>
      </c>
      <c r="P169" s="114" t="str">
        <f aca="false">IFERROR(INDEX('Historical Data'!$AK$2:$AK$9,MATCH($A169,'Historical Data'!$BE$2:$BE$9,0)),"")</f>
        <v/>
      </c>
      <c r="Q169" s="111" t="str">
        <f aca="false">IFERROR(INDEX('Historical Data'!$AA$2:$AA$9,MATCH($A169,'Historical Data'!$BE$2:$BE$9,0)),"")</f>
        <v/>
      </c>
      <c r="R169" s="111" t="str">
        <f aca="false">IFERROR(INDEX('Historical Data'!$AB$2:$AB$9,MATCH($A169,'Historical Data'!$BE$2:$BE$9,0)),"")</f>
        <v/>
      </c>
      <c r="S169" s="111" t="str">
        <f aca="false">IFERROR(INDEX('Historical Data'!$AN$2:$AN$9,MATCH($A169,'Historical Data'!$BE$2:$BE$9,0)),"")</f>
        <v/>
      </c>
      <c r="T169" s="111" t="str">
        <f aca="false">IFERROR(INDEX('Historical Data'!$AC$2:$AC$9,MATCH($A169,'Historical Data'!$BE$2:$BE$9,0)),"")</f>
        <v/>
      </c>
      <c r="U169" s="111" t="str">
        <f aca="false">IFERROR(INDEX('Historical Data'!$AE$2:$AE$9,MATCH($A169,'Historical Data'!$BE$2:$BE$9,0)),"")</f>
        <v/>
      </c>
      <c r="V169" s="111" t="str">
        <f aca="false">IFERROR(INDEX('Historical Data'!$AH$2:$AH$9,MATCH($A169,'Historical Data'!$BE$2:$BE$9,0)),"")</f>
        <v/>
      </c>
      <c r="W169" s="111" t="str">
        <f aca="false">IFERROR(INDEX('Historical Data'!$BC$2:$BC$9,MATCH($A169,'Historical Data'!$BE$2:$BE$9,0)),"")</f>
        <v/>
      </c>
      <c r="X169" s="110" t="str">
        <f aca="false">IF(B169="","",IF(W169=1,"NR + industry + position",IF(W169=2,"NR + ISO + position",IF(W169=3,"NR + industry",IF(W169=4,"NR + ISO",IF(W169=5,"NR + position",IF(W169=6,"NR only","book baseline"))))))&amp;"  ["&amp;IF(T169=1,"seasoned","unseasoned")&amp;IF(U169=1,", defaulted","")&amp;IF(V169=1,", open","")&amp;"]")</f>
        <v/>
      </c>
    </row>
    <row r="170" customFormat="false" ht="15" hidden="false" customHeight="false" outlineLevel="0" collapsed="false">
      <c r="A170" s="110" t="n">
        <v>166</v>
      </c>
      <c r="B170" s="111" t="str">
        <f aca="false">IFERROR(INDEX('Historical Data'!$A$2:$A$9,MATCH($A170,'Historical Data'!$BE$2:$BE$9,0)),"")</f>
        <v/>
      </c>
      <c r="C170" s="111" t="str">
        <f aca="false">IFERROR(INDEX('Historical Data'!$B$2:$B$9,MATCH($A170,'Historical Data'!$BE$2:$BE$9,0)),"")</f>
        <v/>
      </c>
      <c r="D170" s="111" t="str">
        <f aca="false">IFERROR(INDEX('Historical Data'!$D$2:$D$9,MATCH($A170,'Historical Data'!$BE$2:$BE$9,0)),"")</f>
        <v/>
      </c>
      <c r="E170" s="112" t="str">
        <f aca="false">IFERROR(INDEX('Historical Data'!$E$2:$E$9,MATCH($A170,'Historical Data'!$BE$2:$BE$9,0)),"")</f>
        <v/>
      </c>
      <c r="F170" s="111" t="str">
        <f aca="false">IFERROR(INDEX('Historical Data'!$G$2:$G$9,MATCH($A170,'Historical Data'!$BE$2:$BE$9,0)),"")</f>
        <v/>
      </c>
      <c r="G170" s="111" t="str">
        <f aca="false">IFERROR(INDEX('Historical Data'!$Y$2:$Y$9,MATCH($A170,'Historical Data'!$BE$2:$BE$9,0)),"")</f>
        <v/>
      </c>
      <c r="H170" s="111" t="str">
        <f aca="false">IFERROR(INDEX('Historical Data'!$K$2:$K$9,MATCH($A170,'Historical Data'!$BE$2:$BE$9,0)),"")</f>
        <v/>
      </c>
      <c r="I170" s="111" t="str">
        <f aca="false">IFERROR(INDEX('Historical Data'!$J$2:$J$9,MATCH($A170,'Historical Data'!$BE$2:$BE$9,0)),"")</f>
        <v/>
      </c>
      <c r="J170" s="111" t="str">
        <f aca="false">IFERROR(INDEX('Historical Data'!$L$2:$L$9,MATCH($A170,'Historical Data'!$BE$2:$BE$9,0)),"")</f>
        <v/>
      </c>
      <c r="K170" s="113" t="str">
        <f aca="false">IFERROR(INDEX('Historical Data'!$M$2:$M$9,MATCH($A170,'Historical Data'!$BE$2:$BE$9,0)),"")</f>
        <v/>
      </c>
      <c r="L170" s="114" t="str">
        <f aca="false">IFERROR(INDEX('Historical Data'!$N$2:$N$9,MATCH($A170,'Historical Data'!$BE$2:$BE$9,0)),"")</f>
        <v/>
      </c>
      <c r="M170" s="114" t="str">
        <f aca="false">IFERROR(INDEX('Historical Data'!$Q$2:$Q$9,MATCH($A170,'Historical Data'!$BE$2:$BE$9,0)),"")</f>
        <v/>
      </c>
      <c r="N170" s="115" t="str">
        <f aca="false">IFERROR(INDEX('Historical Data'!$S$2:$S$9,MATCH($A170,'Historical Data'!$BE$2:$BE$9,0)),"")</f>
        <v/>
      </c>
      <c r="O170" s="114" t="str">
        <f aca="false">IFERROR(INDEX('Historical Data'!$AJ$2:$AJ$9,MATCH($A170,'Historical Data'!$BE$2:$BE$9,0)),"")</f>
        <v/>
      </c>
      <c r="P170" s="114" t="str">
        <f aca="false">IFERROR(INDEX('Historical Data'!$AK$2:$AK$9,MATCH($A170,'Historical Data'!$BE$2:$BE$9,0)),"")</f>
        <v/>
      </c>
      <c r="Q170" s="111" t="str">
        <f aca="false">IFERROR(INDEX('Historical Data'!$AA$2:$AA$9,MATCH($A170,'Historical Data'!$BE$2:$BE$9,0)),"")</f>
        <v/>
      </c>
      <c r="R170" s="111" t="str">
        <f aca="false">IFERROR(INDEX('Historical Data'!$AB$2:$AB$9,MATCH($A170,'Historical Data'!$BE$2:$BE$9,0)),"")</f>
        <v/>
      </c>
      <c r="S170" s="111" t="str">
        <f aca="false">IFERROR(INDEX('Historical Data'!$AN$2:$AN$9,MATCH($A170,'Historical Data'!$BE$2:$BE$9,0)),"")</f>
        <v/>
      </c>
      <c r="T170" s="111" t="str">
        <f aca="false">IFERROR(INDEX('Historical Data'!$AC$2:$AC$9,MATCH($A170,'Historical Data'!$BE$2:$BE$9,0)),"")</f>
        <v/>
      </c>
      <c r="U170" s="111" t="str">
        <f aca="false">IFERROR(INDEX('Historical Data'!$AE$2:$AE$9,MATCH($A170,'Historical Data'!$BE$2:$BE$9,0)),"")</f>
        <v/>
      </c>
      <c r="V170" s="111" t="str">
        <f aca="false">IFERROR(INDEX('Historical Data'!$AH$2:$AH$9,MATCH($A170,'Historical Data'!$BE$2:$BE$9,0)),"")</f>
        <v/>
      </c>
      <c r="W170" s="111" t="str">
        <f aca="false">IFERROR(INDEX('Historical Data'!$BC$2:$BC$9,MATCH($A170,'Historical Data'!$BE$2:$BE$9,0)),"")</f>
        <v/>
      </c>
      <c r="X170" s="110" t="str">
        <f aca="false">IF(B170="","",IF(W170=1,"NR + industry + position",IF(W170=2,"NR + ISO + position",IF(W170=3,"NR + industry",IF(W170=4,"NR + ISO",IF(W170=5,"NR + position",IF(W170=6,"NR only","book baseline"))))))&amp;"  ["&amp;IF(T170=1,"seasoned","unseasoned")&amp;IF(U170=1,", defaulted","")&amp;IF(V170=1,", open","")&amp;"]")</f>
        <v/>
      </c>
    </row>
    <row r="171" customFormat="false" ht="15" hidden="false" customHeight="false" outlineLevel="0" collapsed="false">
      <c r="A171" s="110" t="n">
        <v>167</v>
      </c>
      <c r="B171" s="111" t="str">
        <f aca="false">IFERROR(INDEX('Historical Data'!$A$2:$A$9,MATCH($A171,'Historical Data'!$BE$2:$BE$9,0)),"")</f>
        <v/>
      </c>
      <c r="C171" s="111" t="str">
        <f aca="false">IFERROR(INDEX('Historical Data'!$B$2:$B$9,MATCH($A171,'Historical Data'!$BE$2:$BE$9,0)),"")</f>
        <v/>
      </c>
      <c r="D171" s="111" t="str">
        <f aca="false">IFERROR(INDEX('Historical Data'!$D$2:$D$9,MATCH($A171,'Historical Data'!$BE$2:$BE$9,0)),"")</f>
        <v/>
      </c>
      <c r="E171" s="112" t="str">
        <f aca="false">IFERROR(INDEX('Historical Data'!$E$2:$E$9,MATCH($A171,'Historical Data'!$BE$2:$BE$9,0)),"")</f>
        <v/>
      </c>
      <c r="F171" s="111" t="str">
        <f aca="false">IFERROR(INDEX('Historical Data'!$G$2:$G$9,MATCH($A171,'Historical Data'!$BE$2:$BE$9,0)),"")</f>
        <v/>
      </c>
      <c r="G171" s="111" t="str">
        <f aca="false">IFERROR(INDEX('Historical Data'!$Y$2:$Y$9,MATCH($A171,'Historical Data'!$BE$2:$BE$9,0)),"")</f>
        <v/>
      </c>
      <c r="H171" s="111" t="str">
        <f aca="false">IFERROR(INDEX('Historical Data'!$K$2:$K$9,MATCH($A171,'Historical Data'!$BE$2:$BE$9,0)),"")</f>
        <v/>
      </c>
      <c r="I171" s="111" t="str">
        <f aca="false">IFERROR(INDEX('Historical Data'!$J$2:$J$9,MATCH($A171,'Historical Data'!$BE$2:$BE$9,0)),"")</f>
        <v/>
      </c>
      <c r="J171" s="111" t="str">
        <f aca="false">IFERROR(INDEX('Historical Data'!$L$2:$L$9,MATCH($A171,'Historical Data'!$BE$2:$BE$9,0)),"")</f>
        <v/>
      </c>
      <c r="K171" s="113" t="str">
        <f aca="false">IFERROR(INDEX('Historical Data'!$M$2:$M$9,MATCH($A171,'Historical Data'!$BE$2:$BE$9,0)),"")</f>
        <v/>
      </c>
      <c r="L171" s="114" t="str">
        <f aca="false">IFERROR(INDEX('Historical Data'!$N$2:$N$9,MATCH($A171,'Historical Data'!$BE$2:$BE$9,0)),"")</f>
        <v/>
      </c>
      <c r="M171" s="114" t="str">
        <f aca="false">IFERROR(INDEX('Historical Data'!$Q$2:$Q$9,MATCH($A171,'Historical Data'!$BE$2:$BE$9,0)),"")</f>
        <v/>
      </c>
      <c r="N171" s="115" t="str">
        <f aca="false">IFERROR(INDEX('Historical Data'!$S$2:$S$9,MATCH($A171,'Historical Data'!$BE$2:$BE$9,0)),"")</f>
        <v/>
      </c>
      <c r="O171" s="114" t="str">
        <f aca="false">IFERROR(INDEX('Historical Data'!$AJ$2:$AJ$9,MATCH($A171,'Historical Data'!$BE$2:$BE$9,0)),"")</f>
        <v/>
      </c>
      <c r="P171" s="114" t="str">
        <f aca="false">IFERROR(INDEX('Historical Data'!$AK$2:$AK$9,MATCH($A171,'Historical Data'!$BE$2:$BE$9,0)),"")</f>
        <v/>
      </c>
      <c r="Q171" s="111" t="str">
        <f aca="false">IFERROR(INDEX('Historical Data'!$AA$2:$AA$9,MATCH($A171,'Historical Data'!$BE$2:$BE$9,0)),"")</f>
        <v/>
      </c>
      <c r="R171" s="111" t="str">
        <f aca="false">IFERROR(INDEX('Historical Data'!$AB$2:$AB$9,MATCH($A171,'Historical Data'!$BE$2:$BE$9,0)),"")</f>
        <v/>
      </c>
      <c r="S171" s="111" t="str">
        <f aca="false">IFERROR(INDEX('Historical Data'!$AN$2:$AN$9,MATCH($A171,'Historical Data'!$BE$2:$BE$9,0)),"")</f>
        <v/>
      </c>
      <c r="T171" s="111" t="str">
        <f aca="false">IFERROR(INDEX('Historical Data'!$AC$2:$AC$9,MATCH($A171,'Historical Data'!$BE$2:$BE$9,0)),"")</f>
        <v/>
      </c>
      <c r="U171" s="111" t="str">
        <f aca="false">IFERROR(INDEX('Historical Data'!$AE$2:$AE$9,MATCH($A171,'Historical Data'!$BE$2:$BE$9,0)),"")</f>
        <v/>
      </c>
      <c r="V171" s="111" t="str">
        <f aca="false">IFERROR(INDEX('Historical Data'!$AH$2:$AH$9,MATCH($A171,'Historical Data'!$BE$2:$BE$9,0)),"")</f>
        <v/>
      </c>
      <c r="W171" s="111" t="str">
        <f aca="false">IFERROR(INDEX('Historical Data'!$BC$2:$BC$9,MATCH($A171,'Historical Data'!$BE$2:$BE$9,0)),"")</f>
        <v/>
      </c>
      <c r="X171" s="110" t="str">
        <f aca="false">IF(B171="","",IF(W171=1,"NR + industry + position",IF(W171=2,"NR + ISO + position",IF(W171=3,"NR + industry",IF(W171=4,"NR + ISO",IF(W171=5,"NR + position",IF(W171=6,"NR only","book baseline"))))))&amp;"  ["&amp;IF(T171=1,"seasoned","unseasoned")&amp;IF(U171=1,", defaulted","")&amp;IF(V171=1,", open","")&amp;"]")</f>
        <v/>
      </c>
    </row>
    <row r="172" customFormat="false" ht="15" hidden="false" customHeight="false" outlineLevel="0" collapsed="false">
      <c r="A172" s="110" t="n">
        <v>168</v>
      </c>
      <c r="B172" s="111" t="str">
        <f aca="false">IFERROR(INDEX('Historical Data'!$A$2:$A$9,MATCH($A172,'Historical Data'!$BE$2:$BE$9,0)),"")</f>
        <v/>
      </c>
      <c r="C172" s="111" t="str">
        <f aca="false">IFERROR(INDEX('Historical Data'!$B$2:$B$9,MATCH($A172,'Historical Data'!$BE$2:$BE$9,0)),"")</f>
        <v/>
      </c>
      <c r="D172" s="111" t="str">
        <f aca="false">IFERROR(INDEX('Historical Data'!$D$2:$D$9,MATCH($A172,'Historical Data'!$BE$2:$BE$9,0)),"")</f>
        <v/>
      </c>
      <c r="E172" s="112" t="str">
        <f aca="false">IFERROR(INDEX('Historical Data'!$E$2:$E$9,MATCH($A172,'Historical Data'!$BE$2:$BE$9,0)),"")</f>
        <v/>
      </c>
      <c r="F172" s="111" t="str">
        <f aca="false">IFERROR(INDEX('Historical Data'!$G$2:$G$9,MATCH($A172,'Historical Data'!$BE$2:$BE$9,0)),"")</f>
        <v/>
      </c>
      <c r="G172" s="111" t="str">
        <f aca="false">IFERROR(INDEX('Historical Data'!$Y$2:$Y$9,MATCH($A172,'Historical Data'!$BE$2:$BE$9,0)),"")</f>
        <v/>
      </c>
      <c r="H172" s="111" t="str">
        <f aca="false">IFERROR(INDEX('Historical Data'!$K$2:$K$9,MATCH($A172,'Historical Data'!$BE$2:$BE$9,0)),"")</f>
        <v/>
      </c>
      <c r="I172" s="111" t="str">
        <f aca="false">IFERROR(INDEX('Historical Data'!$J$2:$J$9,MATCH($A172,'Historical Data'!$BE$2:$BE$9,0)),"")</f>
        <v/>
      </c>
      <c r="J172" s="111" t="str">
        <f aca="false">IFERROR(INDEX('Historical Data'!$L$2:$L$9,MATCH($A172,'Historical Data'!$BE$2:$BE$9,0)),"")</f>
        <v/>
      </c>
      <c r="K172" s="113" t="str">
        <f aca="false">IFERROR(INDEX('Historical Data'!$M$2:$M$9,MATCH($A172,'Historical Data'!$BE$2:$BE$9,0)),"")</f>
        <v/>
      </c>
      <c r="L172" s="114" t="str">
        <f aca="false">IFERROR(INDEX('Historical Data'!$N$2:$N$9,MATCH($A172,'Historical Data'!$BE$2:$BE$9,0)),"")</f>
        <v/>
      </c>
      <c r="M172" s="114" t="str">
        <f aca="false">IFERROR(INDEX('Historical Data'!$Q$2:$Q$9,MATCH($A172,'Historical Data'!$BE$2:$BE$9,0)),"")</f>
        <v/>
      </c>
      <c r="N172" s="115" t="str">
        <f aca="false">IFERROR(INDEX('Historical Data'!$S$2:$S$9,MATCH($A172,'Historical Data'!$BE$2:$BE$9,0)),"")</f>
        <v/>
      </c>
      <c r="O172" s="114" t="str">
        <f aca="false">IFERROR(INDEX('Historical Data'!$AJ$2:$AJ$9,MATCH($A172,'Historical Data'!$BE$2:$BE$9,0)),"")</f>
        <v/>
      </c>
      <c r="P172" s="114" t="str">
        <f aca="false">IFERROR(INDEX('Historical Data'!$AK$2:$AK$9,MATCH($A172,'Historical Data'!$BE$2:$BE$9,0)),"")</f>
        <v/>
      </c>
      <c r="Q172" s="111" t="str">
        <f aca="false">IFERROR(INDEX('Historical Data'!$AA$2:$AA$9,MATCH($A172,'Historical Data'!$BE$2:$BE$9,0)),"")</f>
        <v/>
      </c>
      <c r="R172" s="111" t="str">
        <f aca="false">IFERROR(INDEX('Historical Data'!$AB$2:$AB$9,MATCH($A172,'Historical Data'!$BE$2:$BE$9,0)),"")</f>
        <v/>
      </c>
      <c r="S172" s="111" t="str">
        <f aca="false">IFERROR(INDEX('Historical Data'!$AN$2:$AN$9,MATCH($A172,'Historical Data'!$BE$2:$BE$9,0)),"")</f>
        <v/>
      </c>
      <c r="T172" s="111" t="str">
        <f aca="false">IFERROR(INDEX('Historical Data'!$AC$2:$AC$9,MATCH($A172,'Historical Data'!$BE$2:$BE$9,0)),"")</f>
        <v/>
      </c>
      <c r="U172" s="111" t="str">
        <f aca="false">IFERROR(INDEX('Historical Data'!$AE$2:$AE$9,MATCH($A172,'Historical Data'!$BE$2:$BE$9,0)),"")</f>
        <v/>
      </c>
      <c r="V172" s="111" t="str">
        <f aca="false">IFERROR(INDEX('Historical Data'!$AH$2:$AH$9,MATCH($A172,'Historical Data'!$BE$2:$BE$9,0)),"")</f>
        <v/>
      </c>
      <c r="W172" s="111" t="str">
        <f aca="false">IFERROR(INDEX('Historical Data'!$BC$2:$BC$9,MATCH($A172,'Historical Data'!$BE$2:$BE$9,0)),"")</f>
        <v/>
      </c>
      <c r="X172" s="110" t="str">
        <f aca="false">IF(B172="","",IF(W172=1,"NR + industry + position",IF(W172=2,"NR + ISO + position",IF(W172=3,"NR + industry",IF(W172=4,"NR + ISO",IF(W172=5,"NR + position",IF(W172=6,"NR only","book baseline"))))))&amp;"  ["&amp;IF(T172=1,"seasoned","unseasoned")&amp;IF(U172=1,", defaulted","")&amp;IF(V172=1,", open","")&amp;"]")</f>
        <v/>
      </c>
    </row>
    <row r="173" customFormat="false" ht="15" hidden="false" customHeight="false" outlineLevel="0" collapsed="false">
      <c r="A173" s="110" t="n">
        <v>169</v>
      </c>
      <c r="B173" s="111" t="str">
        <f aca="false">IFERROR(INDEX('Historical Data'!$A$2:$A$9,MATCH($A173,'Historical Data'!$BE$2:$BE$9,0)),"")</f>
        <v/>
      </c>
      <c r="C173" s="111" t="str">
        <f aca="false">IFERROR(INDEX('Historical Data'!$B$2:$B$9,MATCH($A173,'Historical Data'!$BE$2:$BE$9,0)),"")</f>
        <v/>
      </c>
      <c r="D173" s="111" t="str">
        <f aca="false">IFERROR(INDEX('Historical Data'!$D$2:$D$9,MATCH($A173,'Historical Data'!$BE$2:$BE$9,0)),"")</f>
        <v/>
      </c>
      <c r="E173" s="112" t="str">
        <f aca="false">IFERROR(INDEX('Historical Data'!$E$2:$E$9,MATCH($A173,'Historical Data'!$BE$2:$BE$9,0)),"")</f>
        <v/>
      </c>
      <c r="F173" s="111" t="str">
        <f aca="false">IFERROR(INDEX('Historical Data'!$G$2:$G$9,MATCH($A173,'Historical Data'!$BE$2:$BE$9,0)),"")</f>
        <v/>
      </c>
      <c r="G173" s="111" t="str">
        <f aca="false">IFERROR(INDEX('Historical Data'!$Y$2:$Y$9,MATCH($A173,'Historical Data'!$BE$2:$BE$9,0)),"")</f>
        <v/>
      </c>
      <c r="H173" s="111" t="str">
        <f aca="false">IFERROR(INDEX('Historical Data'!$K$2:$K$9,MATCH($A173,'Historical Data'!$BE$2:$BE$9,0)),"")</f>
        <v/>
      </c>
      <c r="I173" s="111" t="str">
        <f aca="false">IFERROR(INDEX('Historical Data'!$J$2:$J$9,MATCH($A173,'Historical Data'!$BE$2:$BE$9,0)),"")</f>
        <v/>
      </c>
      <c r="J173" s="111" t="str">
        <f aca="false">IFERROR(INDEX('Historical Data'!$L$2:$L$9,MATCH($A173,'Historical Data'!$BE$2:$BE$9,0)),"")</f>
        <v/>
      </c>
      <c r="K173" s="113" t="str">
        <f aca="false">IFERROR(INDEX('Historical Data'!$M$2:$M$9,MATCH($A173,'Historical Data'!$BE$2:$BE$9,0)),"")</f>
        <v/>
      </c>
      <c r="L173" s="114" t="str">
        <f aca="false">IFERROR(INDEX('Historical Data'!$N$2:$N$9,MATCH($A173,'Historical Data'!$BE$2:$BE$9,0)),"")</f>
        <v/>
      </c>
      <c r="M173" s="114" t="str">
        <f aca="false">IFERROR(INDEX('Historical Data'!$Q$2:$Q$9,MATCH($A173,'Historical Data'!$BE$2:$BE$9,0)),"")</f>
        <v/>
      </c>
      <c r="N173" s="115" t="str">
        <f aca="false">IFERROR(INDEX('Historical Data'!$S$2:$S$9,MATCH($A173,'Historical Data'!$BE$2:$BE$9,0)),"")</f>
        <v/>
      </c>
      <c r="O173" s="114" t="str">
        <f aca="false">IFERROR(INDEX('Historical Data'!$AJ$2:$AJ$9,MATCH($A173,'Historical Data'!$BE$2:$BE$9,0)),"")</f>
        <v/>
      </c>
      <c r="P173" s="114" t="str">
        <f aca="false">IFERROR(INDEX('Historical Data'!$AK$2:$AK$9,MATCH($A173,'Historical Data'!$BE$2:$BE$9,0)),"")</f>
        <v/>
      </c>
      <c r="Q173" s="111" t="str">
        <f aca="false">IFERROR(INDEX('Historical Data'!$AA$2:$AA$9,MATCH($A173,'Historical Data'!$BE$2:$BE$9,0)),"")</f>
        <v/>
      </c>
      <c r="R173" s="111" t="str">
        <f aca="false">IFERROR(INDEX('Historical Data'!$AB$2:$AB$9,MATCH($A173,'Historical Data'!$BE$2:$BE$9,0)),"")</f>
        <v/>
      </c>
      <c r="S173" s="111" t="str">
        <f aca="false">IFERROR(INDEX('Historical Data'!$AN$2:$AN$9,MATCH($A173,'Historical Data'!$BE$2:$BE$9,0)),"")</f>
        <v/>
      </c>
      <c r="T173" s="111" t="str">
        <f aca="false">IFERROR(INDEX('Historical Data'!$AC$2:$AC$9,MATCH($A173,'Historical Data'!$BE$2:$BE$9,0)),"")</f>
        <v/>
      </c>
      <c r="U173" s="111" t="str">
        <f aca="false">IFERROR(INDEX('Historical Data'!$AE$2:$AE$9,MATCH($A173,'Historical Data'!$BE$2:$BE$9,0)),"")</f>
        <v/>
      </c>
      <c r="V173" s="111" t="str">
        <f aca="false">IFERROR(INDEX('Historical Data'!$AH$2:$AH$9,MATCH($A173,'Historical Data'!$BE$2:$BE$9,0)),"")</f>
        <v/>
      </c>
      <c r="W173" s="111" t="str">
        <f aca="false">IFERROR(INDEX('Historical Data'!$BC$2:$BC$9,MATCH($A173,'Historical Data'!$BE$2:$BE$9,0)),"")</f>
        <v/>
      </c>
      <c r="X173" s="110" t="str">
        <f aca="false">IF(B173="","",IF(W173=1,"NR + industry + position",IF(W173=2,"NR + ISO + position",IF(W173=3,"NR + industry",IF(W173=4,"NR + ISO",IF(W173=5,"NR + position",IF(W173=6,"NR only","book baseline"))))))&amp;"  ["&amp;IF(T173=1,"seasoned","unseasoned")&amp;IF(U173=1,", defaulted","")&amp;IF(V173=1,", open","")&amp;"]")</f>
        <v/>
      </c>
    </row>
    <row r="174" customFormat="false" ht="15" hidden="false" customHeight="false" outlineLevel="0" collapsed="false">
      <c r="A174" s="110" t="n">
        <v>170</v>
      </c>
      <c r="B174" s="111" t="str">
        <f aca="false">IFERROR(INDEX('Historical Data'!$A$2:$A$9,MATCH($A174,'Historical Data'!$BE$2:$BE$9,0)),"")</f>
        <v/>
      </c>
      <c r="C174" s="111" t="str">
        <f aca="false">IFERROR(INDEX('Historical Data'!$B$2:$B$9,MATCH($A174,'Historical Data'!$BE$2:$BE$9,0)),"")</f>
        <v/>
      </c>
      <c r="D174" s="111" t="str">
        <f aca="false">IFERROR(INDEX('Historical Data'!$D$2:$D$9,MATCH($A174,'Historical Data'!$BE$2:$BE$9,0)),"")</f>
        <v/>
      </c>
      <c r="E174" s="112" t="str">
        <f aca="false">IFERROR(INDEX('Historical Data'!$E$2:$E$9,MATCH($A174,'Historical Data'!$BE$2:$BE$9,0)),"")</f>
        <v/>
      </c>
      <c r="F174" s="111" t="str">
        <f aca="false">IFERROR(INDEX('Historical Data'!$G$2:$G$9,MATCH($A174,'Historical Data'!$BE$2:$BE$9,0)),"")</f>
        <v/>
      </c>
      <c r="G174" s="111" t="str">
        <f aca="false">IFERROR(INDEX('Historical Data'!$Y$2:$Y$9,MATCH($A174,'Historical Data'!$BE$2:$BE$9,0)),"")</f>
        <v/>
      </c>
      <c r="H174" s="111" t="str">
        <f aca="false">IFERROR(INDEX('Historical Data'!$K$2:$K$9,MATCH($A174,'Historical Data'!$BE$2:$BE$9,0)),"")</f>
        <v/>
      </c>
      <c r="I174" s="111" t="str">
        <f aca="false">IFERROR(INDEX('Historical Data'!$J$2:$J$9,MATCH($A174,'Historical Data'!$BE$2:$BE$9,0)),"")</f>
        <v/>
      </c>
      <c r="J174" s="111" t="str">
        <f aca="false">IFERROR(INDEX('Historical Data'!$L$2:$L$9,MATCH($A174,'Historical Data'!$BE$2:$BE$9,0)),"")</f>
        <v/>
      </c>
      <c r="K174" s="113" t="str">
        <f aca="false">IFERROR(INDEX('Historical Data'!$M$2:$M$9,MATCH($A174,'Historical Data'!$BE$2:$BE$9,0)),"")</f>
        <v/>
      </c>
      <c r="L174" s="114" t="str">
        <f aca="false">IFERROR(INDEX('Historical Data'!$N$2:$N$9,MATCH($A174,'Historical Data'!$BE$2:$BE$9,0)),"")</f>
        <v/>
      </c>
      <c r="M174" s="114" t="str">
        <f aca="false">IFERROR(INDEX('Historical Data'!$Q$2:$Q$9,MATCH($A174,'Historical Data'!$BE$2:$BE$9,0)),"")</f>
        <v/>
      </c>
      <c r="N174" s="115" t="str">
        <f aca="false">IFERROR(INDEX('Historical Data'!$S$2:$S$9,MATCH($A174,'Historical Data'!$BE$2:$BE$9,0)),"")</f>
        <v/>
      </c>
      <c r="O174" s="114" t="str">
        <f aca="false">IFERROR(INDEX('Historical Data'!$AJ$2:$AJ$9,MATCH($A174,'Historical Data'!$BE$2:$BE$9,0)),"")</f>
        <v/>
      </c>
      <c r="P174" s="114" t="str">
        <f aca="false">IFERROR(INDEX('Historical Data'!$AK$2:$AK$9,MATCH($A174,'Historical Data'!$BE$2:$BE$9,0)),"")</f>
        <v/>
      </c>
      <c r="Q174" s="111" t="str">
        <f aca="false">IFERROR(INDEX('Historical Data'!$AA$2:$AA$9,MATCH($A174,'Historical Data'!$BE$2:$BE$9,0)),"")</f>
        <v/>
      </c>
      <c r="R174" s="111" t="str">
        <f aca="false">IFERROR(INDEX('Historical Data'!$AB$2:$AB$9,MATCH($A174,'Historical Data'!$BE$2:$BE$9,0)),"")</f>
        <v/>
      </c>
      <c r="S174" s="111" t="str">
        <f aca="false">IFERROR(INDEX('Historical Data'!$AN$2:$AN$9,MATCH($A174,'Historical Data'!$BE$2:$BE$9,0)),"")</f>
        <v/>
      </c>
      <c r="T174" s="111" t="str">
        <f aca="false">IFERROR(INDEX('Historical Data'!$AC$2:$AC$9,MATCH($A174,'Historical Data'!$BE$2:$BE$9,0)),"")</f>
        <v/>
      </c>
      <c r="U174" s="111" t="str">
        <f aca="false">IFERROR(INDEX('Historical Data'!$AE$2:$AE$9,MATCH($A174,'Historical Data'!$BE$2:$BE$9,0)),"")</f>
        <v/>
      </c>
      <c r="V174" s="111" t="str">
        <f aca="false">IFERROR(INDEX('Historical Data'!$AH$2:$AH$9,MATCH($A174,'Historical Data'!$BE$2:$BE$9,0)),"")</f>
        <v/>
      </c>
      <c r="W174" s="111" t="str">
        <f aca="false">IFERROR(INDEX('Historical Data'!$BC$2:$BC$9,MATCH($A174,'Historical Data'!$BE$2:$BE$9,0)),"")</f>
        <v/>
      </c>
      <c r="X174" s="110" t="str">
        <f aca="false">IF(B174="","",IF(W174=1,"NR + industry + position",IF(W174=2,"NR + ISO + position",IF(W174=3,"NR + industry",IF(W174=4,"NR + ISO",IF(W174=5,"NR + position",IF(W174=6,"NR only","book baseline"))))))&amp;"  ["&amp;IF(T174=1,"seasoned","unseasoned")&amp;IF(U174=1,", defaulted","")&amp;IF(V174=1,", open","")&amp;"]")</f>
        <v/>
      </c>
    </row>
    <row r="175" customFormat="false" ht="15" hidden="false" customHeight="false" outlineLevel="0" collapsed="false">
      <c r="A175" s="110" t="n">
        <v>171</v>
      </c>
      <c r="B175" s="111" t="str">
        <f aca="false">IFERROR(INDEX('Historical Data'!$A$2:$A$9,MATCH($A175,'Historical Data'!$BE$2:$BE$9,0)),"")</f>
        <v/>
      </c>
      <c r="C175" s="111" t="str">
        <f aca="false">IFERROR(INDEX('Historical Data'!$B$2:$B$9,MATCH($A175,'Historical Data'!$BE$2:$BE$9,0)),"")</f>
        <v/>
      </c>
      <c r="D175" s="111" t="str">
        <f aca="false">IFERROR(INDEX('Historical Data'!$D$2:$D$9,MATCH($A175,'Historical Data'!$BE$2:$BE$9,0)),"")</f>
        <v/>
      </c>
      <c r="E175" s="112" t="str">
        <f aca="false">IFERROR(INDEX('Historical Data'!$E$2:$E$9,MATCH($A175,'Historical Data'!$BE$2:$BE$9,0)),"")</f>
        <v/>
      </c>
      <c r="F175" s="111" t="str">
        <f aca="false">IFERROR(INDEX('Historical Data'!$G$2:$G$9,MATCH($A175,'Historical Data'!$BE$2:$BE$9,0)),"")</f>
        <v/>
      </c>
      <c r="G175" s="111" t="str">
        <f aca="false">IFERROR(INDEX('Historical Data'!$Y$2:$Y$9,MATCH($A175,'Historical Data'!$BE$2:$BE$9,0)),"")</f>
        <v/>
      </c>
      <c r="H175" s="111" t="str">
        <f aca="false">IFERROR(INDEX('Historical Data'!$K$2:$K$9,MATCH($A175,'Historical Data'!$BE$2:$BE$9,0)),"")</f>
        <v/>
      </c>
      <c r="I175" s="111" t="str">
        <f aca="false">IFERROR(INDEX('Historical Data'!$J$2:$J$9,MATCH($A175,'Historical Data'!$BE$2:$BE$9,0)),"")</f>
        <v/>
      </c>
      <c r="J175" s="111" t="str">
        <f aca="false">IFERROR(INDEX('Historical Data'!$L$2:$L$9,MATCH($A175,'Historical Data'!$BE$2:$BE$9,0)),"")</f>
        <v/>
      </c>
      <c r="K175" s="113" t="str">
        <f aca="false">IFERROR(INDEX('Historical Data'!$M$2:$M$9,MATCH($A175,'Historical Data'!$BE$2:$BE$9,0)),"")</f>
        <v/>
      </c>
      <c r="L175" s="114" t="str">
        <f aca="false">IFERROR(INDEX('Historical Data'!$N$2:$N$9,MATCH($A175,'Historical Data'!$BE$2:$BE$9,0)),"")</f>
        <v/>
      </c>
      <c r="M175" s="114" t="str">
        <f aca="false">IFERROR(INDEX('Historical Data'!$Q$2:$Q$9,MATCH($A175,'Historical Data'!$BE$2:$BE$9,0)),"")</f>
        <v/>
      </c>
      <c r="N175" s="115" t="str">
        <f aca="false">IFERROR(INDEX('Historical Data'!$S$2:$S$9,MATCH($A175,'Historical Data'!$BE$2:$BE$9,0)),"")</f>
        <v/>
      </c>
      <c r="O175" s="114" t="str">
        <f aca="false">IFERROR(INDEX('Historical Data'!$AJ$2:$AJ$9,MATCH($A175,'Historical Data'!$BE$2:$BE$9,0)),"")</f>
        <v/>
      </c>
      <c r="P175" s="114" t="str">
        <f aca="false">IFERROR(INDEX('Historical Data'!$AK$2:$AK$9,MATCH($A175,'Historical Data'!$BE$2:$BE$9,0)),"")</f>
        <v/>
      </c>
      <c r="Q175" s="111" t="str">
        <f aca="false">IFERROR(INDEX('Historical Data'!$AA$2:$AA$9,MATCH($A175,'Historical Data'!$BE$2:$BE$9,0)),"")</f>
        <v/>
      </c>
      <c r="R175" s="111" t="str">
        <f aca="false">IFERROR(INDEX('Historical Data'!$AB$2:$AB$9,MATCH($A175,'Historical Data'!$BE$2:$BE$9,0)),"")</f>
        <v/>
      </c>
      <c r="S175" s="111" t="str">
        <f aca="false">IFERROR(INDEX('Historical Data'!$AN$2:$AN$9,MATCH($A175,'Historical Data'!$BE$2:$BE$9,0)),"")</f>
        <v/>
      </c>
      <c r="T175" s="111" t="str">
        <f aca="false">IFERROR(INDEX('Historical Data'!$AC$2:$AC$9,MATCH($A175,'Historical Data'!$BE$2:$BE$9,0)),"")</f>
        <v/>
      </c>
      <c r="U175" s="111" t="str">
        <f aca="false">IFERROR(INDEX('Historical Data'!$AE$2:$AE$9,MATCH($A175,'Historical Data'!$BE$2:$BE$9,0)),"")</f>
        <v/>
      </c>
      <c r="V175" s="111" t="str">
        <f aca="false">IFERROR(INDEX('Historical Data'!$AH$2:$AH$9,MATCH($A175,'Historical Data'!$BE$2:$BE$9,0)),"")</f>
        <v/>
      </c>
      <c r="W175" s="111" t="str">
        <f aca="false">IFERROR(INDEX('Historical Data'!$BC$2:$BC$9,MATCH($A175,'Historical Data'!$BE$2:$BE$9,0)),"")</f>
        <v/>
      </c>
      <c r="X175" s="110" t="str">
        <f aca="false">IF(B175="","",IF(W175=1,"NR + industry + position",IF(W175=2,"NR + ISO + position",IF(W175=3,"NR + industry",IF(W175=4,"NR + ISO",IF(W175=5,"NR + position",IF(W175=6,"NR only","book baseline"))))))&amp;"  ["&amp;IF(T175=1,"seasoned","unseasoned")&amp;IF(U175=1,", defaulted","")&amp;IF(V175=1,", open","")&amp;"]")</f>
        <v/>
      </c>
    </row>
    <row r="176" customFormat="false" ht="15" hidden="false" customHeight="false" outlineLevel="0" collapsed="false">
      <c r="A176" s="110" t="n">
        <v>172</v>
      </c>
      <c r="B176" s="111" t="str">
        <f aca="false">IFERROR(INDEX('Historical Data'!$A$2:$A$9,MATCH($A176,'Historical Data'!$BE$2:$BE$9,0)),"")</f>
        <v/>
      </c>
      <c r="C176" s="111" t="str">
        <f aca="false">IFERROR(INDEX('Historical Data'!$B$2:$B$9,MATCH($A176,'Historical Data'!$BE$2:$BE$9,0)),"")</f>
        <v/>
      </c>
      <c r="D176" s="111" t="str">
        <f aca="false">IFERROR(INDEX('Historical Data'!$D$2:$D$9,MATCH($A176,'Historical Data'!$BE$2:$BE$9,0)),"")</f>
        <v/>
      </c>
      <c r="E176" s="112" t="str">
        <f aca="false">IFERROR(INDEX('Historical Data'!$E$2:$E$9,MATCH($A176,'Historical Data'!$BE$2:$BE$9,0)),"")</f>
        <v/>
      </c>
      <c r="F176" s="111" t="str">
        <f aca="false">IFERROR(INDEX('Historical Data'!$G$2:$G$9,MATCH($A176,'Historical Data'!$BE$2:$BE$9,0)),"")</f>
        <v/>
      </c>
      <c r="G176" s="111" t="str">
        <f aca="false">IFERROR(INDEX('Historical Data'!$Y$2:$Y$9,MATCH($A176,'Historical Data'!$BE$2:$BE$9,0)),"")</f>
        <v/>
      </c>
      <c r="H176" s="111" t="str">
        <f aca="false">IFERROR(INDEX('Historical Data'!$K$2:$K$9,MATCH($A176,'Historical Data'!$BE$2:$BE$9,0)),"")</f>
        <v/>
      </c>
      <c r="I176" s="111" t="str">
        <f aca="false">IFERROR(INDEX('Historical Data'!$J$2:$J$9,MATCH($A176,'Historical Data'!$BE$2:$BE$9,0)),"")</f>
        <v/>
      </c>
      <c r="J176" s="111" t="str">
        <f aca="false">IFERROR(INDEX('Historical Data'!$L$2:$L$9,MATCH($A176,'Historical Data'!$BE$2:$BE$9,0)),"")</f>
        <v/>
      </c>
      <c r="K176" s="113" t="str">
        <f aca="false">IFERROR(INDEX('Historical Data'!$M$2:$M$9,MATCH($A176,'Historical Data'!$BE$2:$BE$9,0)),"")</f>
        <v/>
      </c>
      <c r="L176" s="114" t="str">
        <f aca="false">IFERROR(INDEX('Historical Data'!$N$2:$N$9,MATCH($A176,'Historical Data'!$BE$2:$BE$9,0)),"")</f>
        <v/>
      </c>
      <c r="M176" s="114" t="str">
        <f aca="false">IFERROR(INDEX('Historical Data'!$Q$2:$Q$9,MATCH($A176,'Historical Data'!$BE$2:$BE$9,0)),"")</f>
        <v/>
      </c>
      <c r="N176" s="115" t="str">
        <f aca="false">IFERROR(INDEX('Historical Data'!$S$2:$S$9,MATCH($A176,'Historical Data'!$BE$2:$BE$9,0)),"")</f>
        <v/>
      </c>
      <c r="O176" s="114" t="str">
        <f aca="false">IFERROR(INDEX('Historical Data'!$AJ$2:$AJ$9,MATCH($A176,'Historical Data'!$BE$2:$BE$9,0)),"")</f>
        <v/>
      </c>
      <c r="P176" s="114" t="str">
        <f aca="false">IFERROR(INDEX('Historical Data'!$AK$2:$AK$9,MATCH($A176,'Historical Data'!$BE$2:$BE$9,0)),"")</f>
        <v/>
      </c>
      <c r="Q176" s="111" t="str">
        <f aca="false">IFERROR(INDEX('Historical Data'!$AA$2:$AA$9,MATCH($A176,'Historical Data'!$BE$2:$BE$9,0)),"")</f>
        <v/>
      </c>
      <c r="R176" s="111" t="str">
        <f aca="false">IFERROR(INDEX('Historical Data'!$AB$2:$AB$9,MATCH($A176,'Historical Data'!$BE$2:$BE$9,0)),"")</f>
        <v/>
      </c>
      <c r="S176" s="111" t="str">
        <f aca="false">IFERROR(INDEX('Historical Data'!$AN$2:$AN$9,MATCH($A176,'Historical Data'!$BE$2:$BE$9,0)),"")</f>
        <v/>
      </c>
      <c r="T176" s="111" t="str">
        <f aca="false">IFERROR(INDEX('Historical Data'!$AC$2:$AC$9,MATCH($A176,'Historical Data'!$BE$2:$BE$9,0)),"")</f>
        <v/>
      </c>
      <c r="U176" s="111" t="str">
        <f aca="false">IFERROR(INDEX('Historical Data'!$AE$2:$AE$9,MATCH($A176,'Historical Data'!$BE$2:$BE$9,0)),"")</f>
        <v/>
      </c>
      <c r="V176" s="111" t="str">
        <f aca="false">IFERROR(INDEX('Historical Data'!$AH$2:$AH$9,MATCH($A176,'Historical Data'!$BE$2:$BE$9,0)),"")</f>
        <v/>
      </c>
      <c r="W176" s="111" t="str">
        <f aca="false">IFERROR(INDEX('Historical Data'!$BC$2:$BC$9,MATCH($A176,'Historical Data'!$BE$2:$BE$9,0)),"")</f>
        <v/>
      </c>
      <c r="X176" s="110" t="str">
        <f aca="false">IF(B176="","",IF(W176=1,"NR + industry + position",IF(W176=2,"NR + ISO + position",IF(W176=3,"NR + industry",IF(W176=4,"NR + ISO",IF(W176=5,"NR + position",IF(W176=6,"NR only","book baseline"))))))&amp;"  ["&amp;IF(T176=1,"seasoned","unseasoned")&amp;IF(U176=1,", defaulted","")&amp;IF(V176=1,", open","")&amp;"]")</f>
        <v/>
      </c>
    </row>
    <row r="177" customFormat="false" ht="15" hidden="false" customHeight="false" outlineLevel="0" collapsed="false">
      <c r="A177" s="110" t="n">
        <v>173</v>
      </c>
      <c r="B177" s="111" t="str">
        <f aca="false">IFERROR(INDEX('Historical Data'!$A$2:$A$9,MATCH($A177,'Historical Data'!$BE$2:$BE$9,0)),"")</f>
        <v/>
      </c>
      <c r="C177" s="111" t="str">
        <f aca="false">IFERROR(INDEX('Historical Data'!$B$2:$B$9,MATCH($A177,'Historical Data'!$BE$2:$BE$9,0)),"")</f>
        <v/>
      </c>
      <c r="D177" s="111" t="str">
        <f aca="false">IFERROR(INDEX('Historical Data'!$D$2:$D$9,MATCH($A177,'Historical Data'!$BE$2:$BE$9,0)),"")</f>
        <v/>
      </c>
      <c r="E177" s="112" t="str">
        <f aca="false">IFERROR(INDEX('Historical Data'!$E$2:$E$9,MATCH($A177,'Historical Data'!$BE$2:$BE$9,0)),"")</f>
        <v/>
      </c>
      <c r="F177" s="111" t="str">
        <f aca="false">IFERROR(INDEX('Historical Data'!$G$2:$G$9,MATCH($A177,'Historical Data'!$BE$2:$BE$9,0)),"")</f>
        <v/>
      </c>
      <c r="G177" s="111" t="str">
        <f aca="false">IFERROR(INDEX('Historical Data'!$Y$2:$Y$9,MATCH($A177,'Historical Data'!$BE$2:$BE$9,0)),"")</f>
        <v/>
      </c>
      <c r="H177" s="111" t="str">
        <f aca="false">IFERROR(INDEX('Historical Data'!$K$2:$K$9,MATCH($A177,'Historical Data'!$BE$2:$BE$9,0)),"")</f>
        <v/>
      </c>
      <c r="I177" s="111" t="str">
        <f aca="false">IFERROR(INDEX('Historical Data'!$J$2:$J$9,MATCH($A177,'Historical Data'!$BE$2:$BE$9,0)),"")</f>
        <v/>
      </c>
      <c r="J177" s="111" t="str">
        <f aca="false">IFERROR(INDEX('Historical Data'!$L$2:$L$9,MATCH($A177,'Historical Data'!$BE$2:$BE$9,0)),"")</f>
        <v/>
      </c>
      <c r="K177" s="113" t="str">
        <f aca="false">IFERROR(INDEX('Historical Data'!$M$2:$M$9,MATCH($A177,'Historical Data'!$BE$2:$BE$9,0)),"")</f>
        <v/>
      </c>
      <c r="L177" s="114" t="str">
        <f aca="false">IFERROR(INDEX('Historical Data'!$N$2:$N$9,MATCH($A177,'Historical Data'!$BE$2:$BE$9,0)),"")</f>
        <v/>
      </c>
      <c r="M177" s="114" t="str">
        <f aca="false">IFERROR(INDEX('Historical Data'!$Q$2:$Q$9,MATCH($A177,'Historical Data'!$BE$2:$BE$9,0)),"")</f>
        <v/>
      </c>
      <c r="N177" s="115" t="str">
        <f aca="false">IFERROR(INDEX('Historical Data'!$S$2:$S$9,MATCH($A177,'Historical Data'!$BE$2:$BE$9,0)),"")</f>
        <v/>
      </c>
      <c r="O177" s="114" t="str">
        <f aca="false">IFERROR(INDEX('Historical Data'!$AJ$2:$AJ$9,MATCH($A177,'Historical Data'!$BE$2:$BE$9,0)),"")</f>
        <v/>
      </c>
      <c r="P177" s="114" t="str">
        <f aca="false">IFERROR(INDEX('Historical Data'!$AK$2:$AK$9,MATCH($A177,'Historical Data'!$BE$2:$BE$9,0)),"")</f>
        <v/>
      </c>
      <c r="Q177" s="111" t="str">
        <f aca="false">IFERROR(INDEX('Historical Data'!$AA$2:$AA$9,MATCH($A177,'Historical Data'!$BE$2:$BE$9,0)),"")</f>
        <v/>
      </c>
      <c r="R177" s="111" t="str">
        <f aca="false">IFERROR(INDEX('Historical Data'!$AB$2:$AB$9,MATCH($A177,'Historical Data'!$BE$2:$BE$9,0)),"")</f>
        <v/>
      </c>
      <c r="S177" s="111" t="str">
        <f aca="false">IFERROR(INDEX('Historical Data'!$AN$2:$AN$9,MATCH($A177,'Historical Data'!$BE$2:$BE$9,0)),"")</f>
        <v/>
      </c>
      <c r="T177" s="111" t="str">
        <f aca="false">IFERROR(INDEX('Historical Data'!$AC$2:$AC$9,MATCH($A177,'Historical Data'!$BE$2:$BE$9,0)),"")</f>
        <v/>
      </c>
      <c r="U177" s="111" t="str">
        <f aca="false">IFERROR(INDEX('Historical Data'!$AE$2:$AE$9,MATCH($A177,'Historical Data'!$BE$2:$BE$9,0)),"")</f>
        <v/>
      </c>
      <c r="V177" s="111" t="str">
        <f aca="false">IFERROR(INDEX('Historical Data'!$AH$2:$AH$9,MATCH($A177,'Historical Data'!$BE$2:$BE$9,0)),"")</f>
        <v/>
      </c>
      <c r="W177" s="111" t="str">
        <f aca="false">IFERROR(INDEX('Historical Data'!$BC$2:$BC$9,MATCH($A177,'Historical Data'!$BE$2:$BE$9,0)),"")</f>
        <v/>
      </c>
      <c r="X177" s="110" t="str">
        <f aca="false">IF(B177="","",IF(W177=1,"NR + industry + position",IF(W177=2,"NR + ISO + position",IF(W177=3,"NR + industry",IF(W177=4,"NR + ISO",IF(W177=5,"NR + position",IF(W177=6,"NR only","book baseline"))))))&amp;"  ["&amp;IF(T177=1,"seasoned","unseasoned")&amp;IF(U177=1,", defaulted","")&amp;IF(V177=1,", open","")&amp;"]")</f>
        <v/>
      </c>
    </row>
    <row r="178" customFormat="false" ht="15" hidden="false" customHeight="false" outlineLevel="0" collapsed="false">
      <c r="A178" s="110" t="n">
        <v>174</v>
      </c>
      <c r="B178" s="111" t="str">
        <f aca="false">IFERROR(INDEX('Historical Data'!$A$2:$A$9,MATCH($A178,'Historical Data'!$BE$2:$BE$9,0)),"")</f>
        <v/>
      </c>
      <c r="C178" s="111" t="str">
        <f aca="false">IFERROR(INDEX('Historical Data'!$B$2:$B$9,MATCH($A178,'Historical Data'!$BE$2:$BE$9,0)),"")</f>
        <v/>
      </c>
      <c r="D178" s="111" t="str">
        <f aca="false">IFERROR(INDEX('Historical Data'!$D$2:$D$9,MATCH($A178,'Historical Data'!$BE$2:$BE$9,0)),"")</f>
        <v/>
      </c>
      <c r="E178" s="112" t="str">
        <f aca="false">IFERROR(INDEX('Historical Data'!$E$2:$E$9,MATCH($A178,'Historical Data'!$BE$2:$BE$9,0)),"")</f>
        <v/>
      </c>
      <c r="F178" s="111" t="str">
        <f aca="false">IFERROR(INDEX('Historical Data'!$G$2:$G$9,MATCH($A178,'Historical Data'!$BE$2:$BE$9,0)),"")</f>
        <v/>
      </c>
      <c r="G178" s="111" t="str">
        <f aca="false">IFERROR(INDEX('Historical Data'!$Y$2:$Y$9,MATCH($A178,'Historical Data'!$BE$2:$BE$9,0)),"")</f>
        <v/>
      </c>
      <c r="H178" s="111" t="str">
        <f aca="false">IFERROR(INDEX('Historical Data'!$K$2:$K$9,MATCH($A178,'Historical Data'!$BE$2:$BE$9,0)),"")</f>
        <v/>
      </c>
      <c r="I178" s="111" t="str">
        <f aca="false">IFERROR(INDEX('Historical Data'!$J$2:$J$9,MATCH($A178,'Historical Data'!$BE$2:$BE$9,0)),"")</f>
        <v/>
      </c>
      <c r="J178" s="111" t="str">
        <f aca="false">IFERROR(INDEX('Historical Data'!$L$2:$L$9,MATCH($A178,'Historical Data'!$BE$2:$BE$9,0)),"")</f>
        <v/>
      </c>
      <c r="K178" s="113" t="str">
        <f aca="false">IFERROR(INDEX('Historical Data'!$M$2:$M$9,MATCH($A178,'Historical Data'!$BE$2:$BE$9,0)),"")</f>
        <v/>
      </c>
      <c r="L178" s="114" t="str">
        <f aca="false">IFERROR(INDEX('Historical Data'!$N$2:$N$9,MATCH($A178,'Historical Data'!$BE$2:$BE$9,0)),"")</f>
        <v/>
      </c>
      <c r="M178" s="114" t="str">
        <f aca="false">IFERROR(INDEX('Historical Data'!$Q$2:$Q$9,MATCH($A178,'Historical Data'!$BE$2:$BE$9,0)),"")</f>
        <v/>
      </c>
      <c r="N178" s="115" t="str">
        <f aca="false">IFERROR(INDEX('Historical Data'!$S$2:$S$9,MATCH($A178,'Historical Data'!$BE$2:$BE$9,0)),"")</f>
        <v/>
      </c>
      <c r="O178" s="114" t="str">
        <f aca="false">IFERROR(INDEX('Historical Data'!$AJ$2:$AJ$9,MATCH($A178,'Historical Data'!$BE$2:$BE$9,0)),"")</f>
        <v/>
      </c>
      <c r="P178" s="114" t="str">
        <f aca="false">IFERROR(INDEX('Historical Data'!$AK$2:$AK$9,MATCH($A178,'Historical Data'!$BE$2:$BE$9,0)),"")</f>
        <v/>
      </c>
      <c r="Q178" s="111" t="str">
        <f aca="false">IFERROR(INDEX('Historical Data'!$AA$2:$AA$9,MATCH($A178,'Historical Data'!$BE$2:$BE$9,0)),"")</f>
        <v/>
      </c>
      <c r="R178" s="111" t="str">
        <f aca="false">IFERROR(INDEX('Historical Data'!$AB$2:$AB$9,MATCH($A178,'Historical Data'!$BE$2:$BE$9,0)),"")</f>
        <v/>
      </c>
      <c r="S178" s="111" t="str">
        <f aca="false">IFERROR(INDEX('Historical Data'!$AN$2:$AN$9,MATCH($A178,'Historical Data'!$BE$2:$BE$9,0)),"")</f>
        <v/>
      </c>
      <c r="T178" s="111" t="str">
        <f aca="false">IFERROR(INDEX('Historical Data'!$AC$2:$AC$9,MATCH($A178,'Historical Data'!$BE$2:$BE$9,0)),"")</f>
        <v/>
      </c>
      <c r="U178" s="111" t="str">
        <f aca="false">IFERROR(INDEX('Historical Data'!$AE$2:$AE$9,MATCH($A178,'Historical Data'!$BE$2:$BE$9,0)),"")</f>
        <v/>
      </c>
      <c r="V178" s="111" t="str">
        <f aca="false">IFERROR(INDEX('Historical Data'!$AH$2:$AH$9,MATCH($A178,'Historical Data'!$BE$2:$BE$9,0)),"")</f>
        <v/>
      </c>
      <c r="W178" s="111" t="str">
        <f aca="false">IFERROR(INDEX('Historical Data'!$BC$2:$BC$9,MATCH($A178,'Historical Data'!$BE$2:$BE$9,0)),"")</f>
        <v/>
      </c>
      <c r="X178" s="110" t="str">
        <f aca="false">IF(B178="","",IF(W178=1,"NR + industry + position",IF(W178=2,"NR + ISO + position",IF(W178=3,"NR + industry",IF(W178=4,"NR + ISO",IF(W178=5,"NR + position",IF(W178=6,"NR only","book baseline"))))))&amp;"  ["&amp;IF(T178=1,"seasoned","unseasoned")&amp;IF(U178=1,", defaulted","")&amp;IF(V178=1,", open","")&amp;"]")</f>
        <v/>
      </c>
    </row>
    <row r="179" customFormat="false" ht="15" hidden="false" customHeight="false" outlineLevel="0" collapsed="false">
      <c r="A179" s="110" t="n">
        <v>175</v>
      </c>
      <c r="B179" s="111" t="str">
        <f aca="false">IFERROR(INDEX('Historical Data'!$A$2:$A$9,MATCH($A179,'Historical Data'!$BE$2:$BE$9,0)),"")</f>
        <v/>
      </c>
      <c r="C179" s="111" t="str">
        <f aca="false">IFERROR(INDEX('Historical Data'!$B$2:$B$9,MATCH($A179,'Historical Data'!$BE$2:$BE$9,0)),"")</f>
        <v/>
      </c>
      <c r="D179" s="111" t="str">
        <f aca="false">IFERROR(INDEX('Historical Data'!$D$2:$D$9,MATCH($A179,'Historical Data'!$BE$2:$BE$9,0)),"")</f>
        <v/>
      </c>
      <c r="E179" s="112" t="str">
        <f aca="false">IFERROR(INDEX('Historical Data'!$E$2:$E$9,MATCH($A179,'Historical Data'!$BE$2:$BE$9,0)),"")</f>
        <v/>
      </c>
      <c r="F179" s="111" t="str">
        <f aca="false">IFERROR(INDEX('Historical Data'!$G$2:$G$9,MATCH($A179,'Historical Data'!$BE$2:$BE$9,0)),"")</f>
        <v/>
      </c>
      <c r="G179" s="111" t="str">
        <f aca="false">IFERROR(INDEX('Historical Data'!$Y$2:$Y$9,MATCH($A179,'Historical Data'!$BE$2:$BE$9,0)),"")</f>
        <v/>
      </c>
      <c r="H179" s="111" t="str">
        <f aca="false">IFERROR(INDEX('Historical Data'!$K$2:$K$9,MATCH($A179,'Historical Data'!$BE$2:$BE$9,0)),"")</f>
        <v/>
      </c>
      <c r="I179" s="111" t="str">
        <f aca="false">IFERROR(INDEX('Historical Data'!$J$2:$J$9,MATCH($A179,'Historical Data'!$BE$2:$BE$9,0)),"")</f>
        <v/>
      </c>
      <c r="J179" s="111" t="str">
        <f aca="false">IFERROR(INDEX('Historical Data'!$L$2:$L$9,MATCH($A179,'Historical Data'!$BE$2:$BE$9,0)),"")</f>
        <v/>
      </c>
      <c r="K179" s="113" t="str">
        <f aca="false">IFERROR(INDEX('Historical Data'!$M$2:$M$9,MATCH($A179,'Historical Data'!$BE$2:$BE$9,0)),"")</f>
        <v/>
      </c>
      <c r="L179" s="114" t="str">
        <f aca="false">IFERROR(INDEX('Historical Data'!$N$2:$N$9,MATCH($A179,'Historical Data'!$BE$2:$BE$9,0)),"")</f>
        <v/>
      </c>
      <c r="M179" s="114" t="str">
        <f aca="false">IFERROR(INDEX('Historical Data'!$Q$2:$Q$9,MATCH($A179,'Historical Data'!$BE$2:$BE$9,0)),"")</f>
        <v/>
      </c>
      <c r="N179" s="115" t="str">
        <f aca="false">IFERROR(INDEX('Historical Data'!$S$2:$S$9,MATCH($A179,'Historical Data'!$BE$2:$BE$9,0)),"")</f>
        <v/>
      </c>
      <c r="O179" s="114" t="str">
        <f aca="false">IFERROR(INDEX('Historical Data'!$AJ$2:$AJ$9,MATCH($A179,'Historical Data'!$BE$2:$BE$9,0)),"")</f>
        <v/>
      </c>
      <c r="P179" s="114" t="str">
        <f aca="false">IFERROR(INDEX('Historical Data'!$AK$2:$AK$9,MATCH($A179,'Historical Data'!$BE$2:$BE$9,0)),"")</f>
        <v/>
      </c>
      <c r="Q179" s="111" t="str">
        <f aca="false">IFERROR(INDEX('Historical Data'!$AA$2:$AA$9,MATCH($A179,'Historical Data'!$BE$2:$BE$9,0)),"")</f>
        <v/>
      </c>
      <c r="R179" s="111" t="str">
        <f aca="false">IFERROR(INDEX('Historical Data'!$AB$2:$AB$9,MATCH($A179,'Historical Data'!$BE$2:$BE$9,0)),"")</f>
        <v/>
      </c>
      <c r="S179" s="111" t="str">
        <f aca="false">IFERROR(INDEX('Historical Data'!$AN$2:$AN$9,MATCH($A179,'Historical Data'!$BE$2:$BE$9,0)),"")</f>
        <v/>
      </c>
      <c r="T179" s="111" t="str">
        <f aca="false">IFERROR(INDEX('Historical Data'!$AC$2:$AC$9,MATCH($A179,'Historical Data'!$BE$2:$BE$9,0)),"")</f>
        <v/>
      </c>
      <c r="U179" s="111" t="str">
        <f aca="false">IFERROR(INDEX('Historical Data'!$AE$2:$AE$9,MATCH($A179,'Historical Data'!$BE$2:$BE$9,0)),"")</f>
        <v/>
      </c>
      <c r="V179" s="111" t="str">
        <f aca="false">IFERROR(INDEX('Historical Data'!$AH$2:$AH$9,MATCH($A179,'Historical Data'!$BE$2:$BE$9,0)),"")</f>
        <v/>
      </c>
      <c r="W179" s="111" t="str">
        <f aca="false">IFERROR(INDEX('Historical Data'!$BC$2:$BC$9,MATCH($A179,'Historical Data'!$BE$2:$BE$9,0)),"")</f>
        <v/>
      </c>
      <c r="X179" s="110" t="str">
        <f aca="false">IF(B179="","",IF(W179=1,"NR + industry + position",IF(W179=2,"NR + ISO + position",IF(W179=3,"NR + industry",IF(W179=4,"NR + ISO",IF(W179=5,"NR + position",IF(W179=6,"NR only","book baseline"))))))&amp;"  ["&amp;IF(T179=1,"seasoned","unseasoned")&amp;IF(U179=1,", defaulted","")&amp;IF(V179=1,", open","")&amp;"]")</f>
        <v/>
      </c>
    </row>
    <row r="180" customFormat="false" ht="15" hidden="false" customHeight="false" outlineLevel="0" collapsed="false">
      <c r="A180" s="110" t="n">
        <v>176</v>
      </c>
      <c r="B180" s="111" t="str">
        <f aca="false">IFERROR(INDEX('Historical Data'!$A$2:$A$9,MATCH($A180,'Historical Data'!$BE$2:$BE$9,0)),"")</f>
        <v/>
      </c>
      <c r="C180" s="111" t="str">
        <f aca="false">IFERROR(INDEX('Historical Data'!$B$2:$B$9,MATCH($A180,'Historical Data'!$BE$2:$BE$9,0)),"")</f>
        <v/>
      </c>
      <c r="D180" s="111" t="str">
        <f aca="false">IFERROR(INDEX('Historical Data'!$D$2:$D$9,MATCH($A180,'Historical Data'!$BE$2:$BE$9,0)),"")</f>
        <v/>
      </c>
      <c r="E180" s="112" t="str">
        <f aca="false">IFERROR(INDEX('Historical Data'!$E$2:$E$9,MATCH($A180,'Historical Data'!$BE$2:$BE$9,0)),"")</f>
        <v/>
      </c>
      <c r="F180" s="111" t="str">
        <f aca="false">IFERROR(INDEX('Historical Data'!$G$2:$G$9,MATCH($A180,'Historical Data'!$BE$2:$BE$9,0)),"")</f>
        <v/>
      </c>
      <c r="G180" s="111" t="str">
        <f aca="false">IFERROR(INDEX('Historical Data'!$Y$2:$Y$9,MATCH($A180,'Historical Data'!$BE$2:$BE$9,0)),"")</f>
        <v/>
      </c>
      <c r="H180" s="111" t="str">
        <f aca="false">IFERROR(INDEX('Historical Data'!$K$2:$K$9,MATCH($A180,'Historical Data'!$BE$2:$BE$9,0)),"")</f>
        <v/>
      </c>
      <c r="I180" s="111" t="str">
        <f aca="false">IFERROR(INDEX('Historical Data'!$J$2:$J$9,MATCH($A180,'Historical Data'!$BE$2:$BE$9,0)),"")</f>
        <v/>
      </c>
      <c r="J180" s="111" t="str">
        <f aca="false">IFERROR(INDEX('Historical Data'!$L$2:$L$9,MATCH($A180,'Historical Data'!$BE$2:$BE$9,0)),"")</f>
        <v/>
      </c>
      <c r="K180" s="113" t="str">
        <f aca="false">IFERROR(INDEX('Historical Data'!$M$2:$M$9,MATCH($A180,'Historical Data'!$BE$2:$BE$9,0)),"")</f>
        <v/>
      </c>
      <c r="L180" s="114" t="str">
        <f aca="false">IFERROR(INDEX('Historical Data'!$N$2:$N$9,MATCH($A180,'Historical Data'!$BE$2:$BE$9,0)),"")</f>
        <v/>
      </c>
      <c r="M180" s="114" t="str">
        <f aca="false">IFERROR(INDEX('Historical Data'!$Q$2:$Q$9,MATCH($A180,'Historical Data'!$BE$2:$BE$9,0)),"")</f>
        <v/>
      </c>
      <c r="N180" s="115" t="str">
        <f aca="false">IFERROR(INDEX('Historical Data'!$S$2:$S$9,MATCH($A180,'Historical Data'!$BE$2:$BE$9,0)),"")</f>
        <v/>
      </c>
      <c r="O180" s="114" t="str">
        <f aca="false">IFERROR(INDEX('Historical Data'!$AJ$2:$AJ$9,MATCH($A180,'Historical Data'!$BE$2:$BE$9,0)),"")</f>
        <v/>
      </c>
      <c r="P180" s="114" t="str">
        <f aca="false">IFERROR(INDEX('Historical Data'!$AK$2:$AK$9,MATCH($A180,'Historical Data'!$BE$2:$BE$9,0)),"")</f>
        <v/>
      </c>
      <c r="Q180" s="111" t="str">
        <f aca="false">IFERROR(INDEX('Historical Data'!$AA$2:$AA$9,MATCH($A180,'Historical Data'!$BE$2:$BE$9,0)),"")</f>
        <v/>
      </c>
      <c r="R180" s="111" t="str">
        <f aca="false">IFERROR(INDEX('Historical Data'!$AB$2:$AB$9,MATCH($A180,'Historical Data'!$BE$2:$BE$9,0)),"")</f>
        <v/>
      </c>
      <c r="S180" s="111" t="str">
        <f aca="false">IFERROR(INDEX('Historical Data'!$AN$2:$AN$9,MATCH($A180,'Historical Data'!$BE$2:$BE$9,0)),"")</f>
        <v/>
      </c>
      <c r="T180" s="111" t="str">
        <f aca="false">IFERROR(INDEX('Historical Data'!$AC$2:$AC$9,MATCH($A180,'Historical Data'!$BE$2:$BE$9,0)),"")</f>
        <v/>
      </c>
      <c r="U180" s="111" t="str">
        <f aca="false">IFERROR(INDEX('Historical Data'!$AE$2:$AE$9,MATCH($A180,'Historical Data'!$BE$2:$BE$9,0)),"")</f>
        <v/>
      </c>
      <c r="V180" s="111" t="str">
        <f aca="false">IFERROR(INDEX('Historical Data'!$AH$2:$AH$9,MATCH($A180,'Historical Data'!$BE$2:$BE$9,0)),"")</f>
        <v/>
      </c>
      <c r="W180" s="111" t="str">
        <f aca="false">IFERROR(INDEX('Historical Data'!$BC$2:$BC$9,MATCH($A180,'Historical Data'!$BE$2:$BE$9,0)),"")</f>
        <v/>
      </c>
      <c r="X180" s="110" t="str">
        <f aca="false">IF(B180="","",IF(W180=1,"NR + industry + position",IF(W180=2,"NR + ISO + position",IF(W180=3,"NR + industry",IF(W180=4,"NR + ISO",IF(W180=5,"NR + position",IF(W180=6,"NR only","book baseline"))))))&amp;"  ["&amp;IF(T180=1,"seasoned","unseasoned")&amp;IF(U180=1,", defaulted","")&amp;IF(V180=1,", open","")&amp;"]")</f>
        <v/>
      </c>
    </row>
    <row r="181" customFormat="false" ht="15" hidden="false" customHeight="false" outlineLevel="0" collapsed="false">
      <c r="A181" s="110" t="n">
        <v>177</v>
      </c>
      <c r="B181" s="111" t="str">
        <f aca="false">IFERROR(INDEX('Historical Data'!$A$2:$A$9,MATCH($A181,'Historical Data'!$BE$2:$BE$9,0)),"")</f>
        <v/>
      </c>
      <c r="C181" s="111" t="str">
        <f aca="false">IFERROR(INDEX('Historical Data'!$B$2:$B$9,MATCH($A181,'Historical Data'!$BE$2:$BE$9,0)),"")</f>
        <v/>
      </c>
      <c r="D181" s="111" t="str">
        <f aca="false">IFERROR(INDEX('Historical Data'!$D$2:$D$9,MATCH($A181,'Historical Data'!$BE$2:$BE$9,0)),"")</f>
        <v/>
      </c>
      <c r="E181" s="112" t="str">
        <f aca="false">IFERROR(INDEX('Historical Data'!$E$2:$E$9,MATCH($A181,'Historical Data'!$BE$2:$BE$9,0)),"")</f>
        <v/>
      </c>
      <c r="F181" s="111" t="str">
        <f aca="false">IFERROR(INDEX('Historical Data'!$G$2:$G$9,MATCH($A181,'Historical Data'!$BE$2:$BE$9,0)),"")</f>
        <v/>
      </c>
      <c r="G181" s="111" t="str">
        <f aca="false">IFERROR(INDEX('Historical Data'!$Y$2:$Y$9,MATCH($A181,'Historical Data'!$BE$2:$BE$9,0)),"")</f>
        <v/>
      </c>
      <c r="H181" s="111" t="str">
        <f aca="false">IFERROR(INDEX('Historical Data'!$K$2:$K$9,MATCH($A181,'Historical Data'!$BE$2:$BE$9,0)),"")</f>
        <v/>
      </c>
      <c r="I181" s="111" t="str">
        <f aca="false">IFERROR(INDEX('Historical Data'!$J$2:$J$9,MATCH($A181,'Historical Data'!$BE$2:$BE$9,0)),"")</f>
        <v/>
      </c>
      <c r="J181" s="111" t="str">
        <f aca="false">IFERROR(INDEX('Historical Data'!$L$2:$L$9,MATCH($A181,'Historical Data'!$BE$2:$BE$9,0)),"")</f>
        <v/>
      </c>
      <c r="K181" s="113" t="str">
        <f aca="false">IFERROR(INDEX('Historical Data'!$M$2:$M$9,MATCH($A181,'Historical Data'!$BE$2:$BE$9,0)),"")</f>
        <v/>
      </c>
      <c r="L181" s="114" t="str">
        <f aca="false">IFERROR(INDEX('Historical Data'!$N$2:$N$9,MATCH($A181,'Historical Data'!$BE$2:$BE$9,0)),"")</f>
        <v/>
      </c>
      <c r="M181" s="114" t="str">
        <f aca="false">IFERROR(INDEX('Historical Data'!$Q$2:$Q$9,MATCH($A181,'Historical Data'!$BE$2:$BE$9,0)),"")</f>
        <v/>
      </c>
      <c r="N181" s="115" t="str">
        <f aca="false">IFERROR(INDEX('Historical Data'!$S$2:$S$9,MATCH($A181,'Historical Data'!$BE$2:$BE$9,0)),"")</f>
        <v/>
      </c>
      <c r="O181" s="114" t="str">
        <f aca="false">IFERROR(INDEX('Historical Data'!$AJ$2:$AJ$9,MATCH($A181,'Historical Data'!$BE$2:$BE$9,0)),"")</f>
        <v/>
      </c>
      <c r="P181" s="114" t="str">
        <f aca="false">IFERROR(INDEX('Historical Data'!$AK$2:$AK$9,MATCH($A181,'Historical Data'!$BE$2:$BE$9,0)),"")</f>
        <v/>
      </c>
      <c r="Q181" s="111" t="str">
        <f aca="false">IFERROR(INDEX('Historical Data'!$AA$2:$AA$9,MATCH($A181,'Historical Data'!$BE$2:$BE$9,0)),"")</f>
        <v/>
      </c>
      <c r="R181" s="111" t="str">
        <f aca="false">IFERROR(INDEX('Historical Data'!$AB$2:$AB$9,MATCH($A181,'Historical Data'!$BE$2:$BE$9,0)),"")</f>
        <v/>
      </c>
      <c r="S181" s="111" t="str">
        <f aca="false">IFERROR(INDEX('Historical Data'!$AN$2:$AN$9,MATCH($A181,'Historical Data'!$BE$2:$BE$9,0)),"")</f>
        <v/>
      </c>
      <c r="T181" s="111" t="str">
        <f aca="false">IFERROR(INDEX('Historical Data'!$AC$2:$AC$9,MATCH($A181,'Historical Data'!$BE$2:$BE$9,0)),"")</f>
        <v/>
      </c>
      <c r="U181" s="111" t="str">
        <f aca="false">IFERROR(INDEX('Historical Data'!$AE$2:$AE$9,MATCH($A181,'Historical Data'!$BE$2:$BE$9,0)),"")</f>
        <v/>
      </c>
      <c r="V181" s="111" t="str">
        <f aca="false">IFERROR(INDEX('Historical Data'!$AH$2:$AH$9,MATCH($A181,'Historical Data'!$BE$2:$BE$9,0)),"")</f>
        <v/>
      </c>
      <c r="W181" s="111" t="str">
        <f aca="false">IFERROR(INDEX('Historical Data'!$BC$2:$BC$9,MATCH($A181,'Historical Data'!$BE$2:$BE$9,0)),"")</f>
        <v/>
      </c>
      <c r="X181" s="110" t="str">
        <f aca="false">IF(B181="","",IF(W181=1,"NR + industry + position",IF(W181=2,"NR + ISO + position",IF(W181=3,"NR + industry",IF(W181=4,"NR + ISO",IF(W181=5,"NR + position",IF(W181=6,"NR only","book baseline"))))))&amp;"  ["&amp;IF(T181=1,"seasoned","unseasoned")&amp;IF(U181=1,", defaulted","")&amp;IF(V181=1,", open","")&amp;"]")</f>
        <v/>
      </c>
    </row>
    <row r="182" customFormat="false" ht="15" hidden="false" customHeight="false" outlineLevel="0" collapsed="false">
      <c r="A182" s="110" t="n">
        <v>178</v>
      </c>
      <c r="B182" s="111" t="str">
        <f aca="false">IFERROR(INDEX('Historical Data'!$A$2:$A$9,MATCH($A182,'Historical Data'!$BE$2:$BE$9,0)),"")</f>
        <v/>
      </c>
      <c r="C182" s="111" t="str">
        <f aca="false">IFERROR(INDEX('Historical Data'!$B$2:$B$9,MATCH($A182,'Historical Data'!$BE$2:$BE$9,0)),"")</f>
        <v/>
      </c>
      <c r="D182" s="111" t="str">
        <f aca="false">IFERROR(INDEX('Historical Data'!$D$2:$D$9,MATCH($A182,'Historical Data'!$BE$2:$BE$9,0)),"")</f>
        <v/>
      </c>
      <c r="E182" s="112" t="str">
        <f aca="false">IFERROR(INDEX('Historical Data'!$E$2:$E$9,MATCH($A182,'Historical Data'!$BE$2:$BE$9,0)),"")</f>
        <v/>
      </c>
      <c r="F182" s="111" t="str">
        <f aca="false">IFERROR(INDEX('Historical Data'!$G$2:$G$9,MATCH($A182,'Historical Data'!$BE$2:$BE$9,0)),"")</f>
        <v/>
      </c>
      <c r="G182" s="111" t="str">
        <f aca="false">IFERROR(INDEX('Historical Data'!$Y$2:$Y$9,MATCH($A182,'Historical Data'!$BE$2:$BE$9,0)),"")</f>
        <v/>
      </c>
      <c r="H182" s="111" t="str">
        <f aca="false">IFERROR(INDEX('Historical Data'!$K$2:$K$9,MATCH($A182,'Historical Data'!$BE$2:$BE$9,0)),"")</f>
        <v/>
      </c>
      <c r="I182" s="111" t="str">
        <f aca="false">IFERROR(INDEX('Historical Data'!$J$2:$J$9,MATCH($A182,'Historical Data'!$BE$2:$BE$9,0)),"")</f>
        <v/>
      </c>
      <c r="J182" s="111" t="str">
        <f aca="false">IFERROR(INDEX('Historical Data'!$L$2:$L$9,MATCH($A182,'Historical Data'!$BE$2:$BE$9,0)),"")</f>
        <v/>
      </c>
      <c r="K182" s="113" t="str">
        <f aca="false">IFERROR(INDEX('Historical Data'!$M$2:$M$9,MATCH($A182,'Historical Data'!$BE$2:$BE$9,0)),"")</f>
        <v/>
      </c>
      <c r="L182" s="114" t="str">
        <f aca="false">IFERROR(INDEX('Historical Data'!$N$2:$N$9,MATCH($A182,'Historical Data'!$BE$2:$BE$9,0)),"")</f>
        <v/>
      </c>
      <c r="M182" s="114" t="str">
        <f aca="false">IFERROR(INDEX('Historical Data'!$Q$2:$Q$9,MATCH($A182,'Historical Data'!$BE$2:$BE$9,0)),"")</f>
        <v/>
      </c>
      <c r="N182" s="115" t="str">
        <f aca="false">IFERROR(INDEX('Historical Data'!$S$2:$S$9,MATCH($A182,'Historical Data'!$BE$2:$BE$9,0)),"")</f>
        <v/>
      </c>
      <c r="O182" s="114" t="str">
        <f aca="false">IFERROR(INDEX('Historical Data'!$AJ$2:$AJ$9,MATCH($A182,'Historical Data'!$BE$2:$BE$9,0)),"")</f>
        <v/>
      </c>
      <c r="P182" s="114" t="str">
        <f aca="false">IFERROR(INDEX('Historical Data'!$AK$2:$AK$9,MATCH($A182,'Historical Data'!$BE$2:$BE$9,0)),"")</f>
        <v/>
      </c>
      <c r="Q182" s="111" t="str">
        <f aca="false">IFERROR(INDEX('Historical Data'!$AA$2:$AA$9,MATCH($A182,'Historical Data'!$BE$2:$BE$9,0)),"")</f>
        <v/>
      </c>
      <c r="R182" s="111" t="str">
        <f aca="false">IFERROR(INDEX('Historical Data'!$AB$2:$AB$9,MATCH($A182,'Historical Data'!$BE$2:$BE$9,0)),"")</f>
        <v/>
      </c>
      <c r="S182" s="111" t="str">
        <f aca="false">IFERROR(INDEX('Historical Data'!$AN$2:$AN$9,MATCH($A182,'Historical Data'!$BE$2:$BE$9,0)),"")</f>
        <v/>
      </c>
      <c r="T182" s="111" t="str">
        <f aca="false">IFERROR(INDEX('Historical Data'!$AC$2:$AC$9,MATCH($A182,'Historical Data'!$BE$2:$BE$9,0)),"")</f>
        <v/>
      </c>
      <c r="U182" s="111" t="str">
        <f aca="false">IFERROR(INDEX('Historical Data'!$AE$2:$AE$9,MATCH($A182,'Historical Data'!$BE$2:$BE$9,0)),"")</f>
        <v/>
      </c>
      <c r="V182" s="111" t="str">
        <f aca="false">IFERROR(INDEX('Historical Data'!$AH$2:$AH$9,MATCH($A182,'Historical Data'!$BE$2:$BE$9,0)),"")</f>
        <v/>
      </c>
      <c r="W182" s="111" t="str">
        <f aca="false">IFERROR(INDEX('Historical Data'!$BC$2:$BC$9,MATCH($A182,'Historical Data'!$BE$2:$BE$9,0)),"")</f>
        <v/>
      </c>
      <c r="X182" s="110" t="str">
        <f aca="false">IF(B182="","",IF(W182=1,"NR + industry + position",IF(W182=2,"NR + ISO + position",IF(W182=3,"NR + industry",IF(W182=4,"NR + ISO",IF(W182=5,"NR + position",IF(W182=6,"NR only","book baseline"))))))&amp;"  ["&amp;IF(T182=1,"seasoned","unseasoned")&amp;IF(U182=1,", defaulted","")&amp;IF(V182=1,", open","")&amp;"]")</f>
        <v/>
      </c>
    </row>
    <row r="183" customFormat="false" ht="15" hidden="false" customHeight="false" outlineLevel="0" collapsed="false">
      <c r="A183" s="110" t="n">
        <v>179</v>
      </c>
      <c r="B183" s="111" t="str">
        <f aca="false">IFERROR(INDEX('Historical Data'!$A$2:$A$9,MATCH($A183,'Historical Data'!$BE$2:$BE$9,0)),"")</f>
        <v/>
      </c>
      <c r="C183" s="111" t="str">
        <f aca="false">IFERROR(INDEX('Historical Data'!$B$2:$B$9,MATCH($A183,'Historical Data'!$BE$2:$BE$9,0)),"")</f>
        <v/>
      </c>
      <c r="D183" s="111" t="str">
        <f aca="false">IFERROR(INDEX('Historical Data'!$D$2:$D$9,MATCH($A183,'Historical Data'!$BE$2:$BE$9,0)),"")</f>
        <v/>
      </c>
      <c r="E183" s="112" t="str">
        <f aca="false">IFERROR(INDEX('Historical Data'!$E$2:$E$9,MATCH($A183,'Historical Data'!$BE$2:$BE$9,0)),"")</f>
        <v/>
      </c>
      <c r="F183" s="111" t="str">
        <f aca="false">IFERROR(INDEX('Historical Data'!$G$2:$G$9,MATCH($A183,'Historical Data'!$BE$2:$BE$9,0)),"")</f>
        <v/>
      </c>
      <c r="G183" s="111" t="str">
        <f aca="false">IFERROR(INDEX('Historical Data'!$Y$2:$Y$9,MATCH($A183,'Historical Data'!$BE$2:$BE$9,0)),"")</f>
        <v/>
      </c>
      <c r="H183" s="111" t="str">
        <f aca="false">IFERROR(INDEX('Historical Data'!$K$2:$K$9,MATCH($A183,'Historical Data'!$BE$2:$BE$9,0)),"")</f>
        <v/>
      </c>
      <c r="I183" s="111" t="str">
        <f aca="false">IFERROR(INDEX('Historical Data'!$J$2:$J$9,MATCH($A183,'Historical Data'!$BE$2:$BE$9,0)),"")</f>
        <v/>
      </c>
      <c r="J183" s="111" t="str">
        <f aca="false">IFERROR(INDEX('Historical Data'!$L$2:$L$9,MATCH($A183,'Historical Data'!$BE$2:$BE$9,0)),"")</f>
        <v/>
      </c>
      <c r="K183" s="113" t="str">
        <f aca="false">IFERROR(INDEX('Historical Data'!$M$2:$M$9,MATCH($A183,'Historical Data'!$BE$2:$BE$9,0)),"")</f>
        <v/>
      </c>
      <c r="L183" s="114" t="str">
        <f aca="false">IFERROR(INDEX('Historical Data'!$N$2:$N$9,MATCH($A183,'Historical Data'!$BE$2:$BE$9,0)),"")</f>
        <v/>
      </c>
      <c r="M183" s="114" t="str">
        <f aca="false">IFERROR(INDEX('Historical Data'!$Q$2:$Q$9,MATCH($A183,'Historical Data'!$BE$2:$BE$9,0)),"")</f>
        <v/>
      </c>
      <c r="N183" s="115" t="str">
        <f aca="false">IFERROR(INDEX('Historical Data'!$S$2:$S$9,MATCH($A183,'Historical Data'!$BE$2:$BE$9,0)),"")</f>
        <v/>
      </c>
      <c r="O183" s="114" t="str">
        <f aca="false">IFERROR(INDEX('Historical Data'!$AJ$2:$AJ$9,MATCH($A183,'Historical Data'!$BE$2:$BE$9,0)),"")</f>
        <v/>
      </c>
      <c r="P183" s="114" t="str">
        <f aca="false">IFERROR(INDEX('Historical Data'!$AK$2:$AK$9,MATCH($A183,'Historical Data'!$BE$2:$BE$9,0)),"")</f>
        <v/>
      </c>
      <c r="Q183" s="111" t="str">
        <f aca="false">IFERROR(INDEX('Historical Data'!$AA$2:$AA$9,MATCH($A183,'Historical Data'!$BE$2:$BE$9,0)),"")</f>
        <v/>
      </c>
      <c r="R183" s="111" t="str">
        <f aca="false">IFERROR(INDEX('Historical Data'!$AB$2:$AB$9,MATCH($A183,'Historical Data'!$BE$2:$BE$9,0)),"")</f>
        <v/>
      </c>
      <c r="S183" s="111" t="str">
        <f aca="false">IFERROR(INDEX('Historical Data'!$AN$2:$AN$9,MATCH($A183,'Historical Data'!$BE$2:$BE$9,0)),"")</f>
        <v/>
      </c>
      <c r="T183" s="111" t="str">
        <f aca="false">IFERROR(INDEX('Historical Data'!$AC$2:$AC$9,MATCH($A183,'Historical Data'!$BE$2:$BE$9,0)),"")</f>
        <v/>
      </c>
      <c r="U183" s="111" t="str">
        <f aca="false">IFERROR(INDEX('Historical Data'!$AE$2:$AE$9,MATCH($A183,'Historical Data'!$BE$2:$BE$9,0)),"")</f>
        <v/>
      </c>
      <c r="V183" s="111" t="str">
        <f aca="false">IFERROR(INDEX('Historical Data'!$AH$2:$AH$9,MATCH($A183,'Historical Data'!$BE$2:$BE$9,0)),"")</f>
        <v/>
      </c>
      <c r="W183" s="111" t="str">
        <f aca="false">IFERROR(INDEX('Historical Data'!$BC$2:$BC$9,MATCH($A183,'Historical Data'!$BE$2:$BE$9,0)),"")</f>
        <v/>
      </c>
      <c r="X183" s="110" t="str">
        <f aca="false">IF(B183="","",IF(W183=1,"NR + industry + position",IF(W183=2,"NR + ISO + position",IF(W183=3,"NR + industry",IF(W183=4,"NR + ISO",IF(W183=5,"NR + position",IF(W183=6,"NR only","book baseline"))))))&amp;"  ["&amp;IF(T183=1,"seasoned","unseasoned")&amp;IF(U183=1,", defaulted","")&amp;IF(V183=1,", open","")&amp;"]")</f>
        <v/>
      </c>
    </row>
    <row r="184" customFormat="false" ht="15" hidden="false" customHeight="false" outlineLevel="0" collapsed="false">
      <c r="A184" s="110" t="n">
        <v>180</v>
      </c>
      <c r="B184" s="111" t="str">
        <f aca="false">IFERROR(INDEX('Historical Data'!$A$2:$A$9,MATCH($A184,'Historical Data'!$BE$2:$BE$9,0)),"")</f>
        <v/>
      </c>
      <c r="C184" s="111" t="str">
        <f aca="false">IFERROR(INDEX('Historical Data'!$B$2:$B$9,MATCH($A184,'Historical Data'!$BE$2:$BE$9,0)),"")</f>
        <v/>
      </c>
      <c r="D184" s="111" t="str">
        <f aca="false">IFERROR(INDEX('Historical Data'!$D$2:$D$9,MATCH($A184,'Historical Data'!$BE$2:$BE$9,0)),"")</f>
        <v/>
      </c>
      <c r="E184" s="112" t="str">
        <f aca="false">IFERROR(INDEX('Historical Data'!$E$2:$E$9,MATCH($A184,'Historical Data'!$BE$2:$BE$9,0)),"")</f>
        <v/>
      </c>
      <c r="F184" s="111" t="str">
        <f aca="false">IFERROR(INDEX('Historical Data'!$G$2:$G$9,MATCH($A184,'Historical Data'!$BE$2:$BE$9,0)),"")</f>
        <v/>
      </c>
      <c r="G184" s="111" t="str">
        <f aca="false">IFERROR(INDEX('Historical Data'!$Y$2:$Y$9,MATCH($A184,'Historical Data'!$BE$2:$BE$9,0)),"")</f>
        <v/>
      </c>
      <c r="H184" s="111" t="str">
        <f aca="false">IFERROR(INDEX('Historical Data'!$K$2:$K$9,MATCH($A184,'Historical Data'!$BE$2:$BE$9,0)),"")</f>
        <v/>
      </c>
      <c r="I184" s="111" t="str">
        <f aca="false">IFERROR(INDEX('Historical Data'!$J$2:$J$9,MATCH($A184,'Historical Data'!$BE$2:$BE$9,0)),"")</f>
        <v/>
      </c>
      <c r="J184" s="111" t="str">
        <f aca="false">IFERROR(INDEX('Historical Data'!$L$2:$L$9,MATCH($A184,'Historical Data'!$BE$2:$BE$9,0)),"")</f>
        <v/>
      </c>
      <c r="K184" s="113" t="str">
        <f aca="false">IFERROR(INDEX('Historical Data'!$M$2:$M$9,MATCH($A184,'Historical Data'!$BE$2:$BE$9,0)),"")</f>
        <v/>
      </c>
      <c r="L184" s="114" t="str">
        <f aca="false">IFERROR(INDEX('Historical Data'!$N$2:$N$9,MATCH($A184,'Historical Data'!$BE$2:$BE$9,0)),"")</f>
        <v/>
      </c>
      <c r="M184" s="114" t="str">
        <f aca="false">IFERROR(INDEX('Historical Data'!$Q$2:$Q$9,MATCH($A184,'Historical Data'!$BE$2:$BE$9,0)),"")</f>
        <v/>
      </c>
      <c r="N184" s="115" t="str">
        <f aca="false">IFERROR(INDEX('Historical Data'!$S$2:$S$9,MATCH($A184,'Historical Data'!$BE$2:$BE$9,0)),"")</f>
        <v/>
      </c>
      <c r="O184" s="114" t="str">
        <f aca="false">IFERROR(INDEX('Historical Data'!$AJ$2:$AJ$9,MATCH($A184,'Historical Data'!$BE$2:$BE$9,0)),"")</f>
        <v/>
      </c>
      <c r="P184" s="114" t="str">
        <f aca="false">IFERROR(INDEX('Historical Data'!$AK$2:$AK$9,MATCH($A184,'Historical Data'!$BE$2:$BE$9,0)),"")</f>
        <v/>
      </c>
      <c r="Q184" s="111" t="str">
        <f aca="false">IFERROR(INDEX('Historical Data'!$AA$2:$AA$9,MATCH($A184,'Historical Data'!$BE$2:$BE$9,0)),"")</f>
        <v/>
      </c>
      <c r="R184" s="111" t="str">
        <f aca="false">IFERROR(INDEX('Historical Data'!$AB$2:$AB$9,MATCH($A184,'Historical Data'!$BE$2:$BE$9,0)),"")</f>
        <v/>
      </c>
      <c r="S184" s="111" t="str">
        <f aca="false">IFERROR(INDEX('Historical Data'!$AN$2:$AN$9,MATCH($A184,'Historical Data'!$BE$2:$BE$9,0)),"")</f>
        <v/>
      </c>
      <c r="T184" s="111" t="str">
        <f aca="false">IFERROR(INDEX('Historical Data'!$AC$2:$AC$9,MATCH($A184,'Historical Data'!$BE$2:$BE$9,0)),"")</f>
        <v/>
      </c>
      <c r="U184" s="111" t="str">
        <f aca="false">IFERROR(INDEX('Historical Data'!$AE$2:$AE$9,MATCH($A184,'Historical Data'!$BE$2:$BE$9,0)),"")</f>
        <v/>
      </c>
      <c r="V184" s="111" t="str">
        <f aca="false">IFERROR(INDEX('Historical Data'!$AH$2:$AH$9,MATCH($A184,'Historical Data'!$BE$2:$BE$9,0)),"")</f>
        <v/>
      </c>
      <c r="W184" s="111" t="str">
        <f aca="false">IFERROR(INDEX('Historical Data'!$BC$2:$BC$9,MATCH($A184,'Historical Data'!$BE$2:$BE$9,0)),"")</f>
        <v/>
      </c>
      <c r="X184" s="110" t="str">
        <f aca="false">IF(B184="","",IF(W184=1,"NR + industry + position",IF(W184=2,"NR + ISO + position",IF(W184=3,"NR + industry",IF(W184=4,"NR + ISO",IF(W184=5,"NR + position",IF(W184=6,"NR only","book baseline"))))))&amp;"  ["&amp;IF(T184=1,"seasoned","unseasoned")&amp;IF(U184=1,", defaulted","")&amp;IF(V184=1,", open","")&amp;"]")</f>
        <v/>
      </c>
    </row>
    <row r="185" customFormat="false" ht="15" hidden="false" customHeight="false" outlineLevel="0" collapsed="false">
      <c r="A185" s="110" t="n">
        <v>181</v>
      </c>
      <c r="B185" s="111" t="str">
        <f aca="false">IFERROR(INDEX('Historical Data'!$A$2:$A$9,MATCH($A185,'Historical Data'!$BE$2:$BE$9,0)),"")</f>
        <v/>
      </c>
      <c r="C185" s="111" t="str">
        <f aca="false">IFERROR(INDEX('Historical Data'!$B$2:$B$9,MATCH($A185,'Historical Data'!$BE$2:$BE$9,0)),"")</f>
        <v/>
      </c>
      <c r="D185" s="111" t="str">
        <f aca="false">IFERROR(INDEX('Historical Data'!$D$2:$D$9,MATCH($A185,'Historical Data'!$BE$2:$BE$9,0)),"")</f>
        <v/>
      </c>
      <c r="E185" s="112" t="str">
        <f aca="false">IFERROR(INDEX('Historical Data'!$E$2:$E$9,MATCH($A185,'Historical Data'!$BE$2:$BE$9,0)),"")</f>
        <v/>
      </c>
      <c r="F185" s="111" t="str">
        <f aca="false">IFERROR(INDEX('Historical Data'!$G$2:$G$9,MATCH($A185,'Historical Data'!$BE$2:$BE$9,0)),"")</f>
        <v/>
      </c>
      <c r="G185" s="111" t="str">
        <f aca="false">IFERROR(INDEX('Historical Data'!$Y$2:$Y$9,MATCH($A185,'Historical Data'!$BE$2:$BE$9,0)),"")</f>
        <v/>
      </c>
      <c r="H185" s="111" t="str">
        <f aca="false">IFERROR(INDEX('Historical Data'!$K$2:$K$9,MATCH($A185,'Historical Data'!$BE$2:$BE$9,0)),"")</f>
        <v/>
      </c>
      <c r="I185" s="111" t="str">
        <f aca="false">IFERROR(INDEX('Historical Data'!$J$2:$J$9,MATCH($A185,'Historical Data'!$BE$2:$BE$9,0)),"")</f>
        <v/>
      </c>
      <c r="J185" s="111" t="str">
        <f aca="false">IFERROR(INDEX('Historical Data'!$L$2:$L$9,MATCH($A185,'Historical Data'!$BE$2:$BE$9,0)),"")</f>
        <v/>
      </c>
      <c r="K185" s="113" t="str">
        <f aca="false">IFERROR(INDEX('Historical Data'!$M$2:$M$9,MATCH($A185,'Historical Data'!$BE$2:$BE$9,0)),"")</f>
        <v/>
      </c>
      <c r="L185" s="114" t="str">
        <f aca="false">IFERROR(INDEX('Historical Data'!$N$2:$N$9,MATCH($A185,'Historical Data'!$BE$2:$BE$9,0)),"")</f>
        <v/>
      </c>
      <c r="M185" s="114" t="str">
        <f aca="false">IFERROR(INDEX('Historical Data'!$Q$2:$Q$9,MATCH($A185,'Historical Data'!$BE$2:$BE$9,0)),"")</f>
        <v/>
      </c>
      <c r="N185" s="115" t="str">
        <f aca="false">IFERROR(INDEX('Historical Data'!$S$2:$S$9,MATCH($A185,'Historical Data'!$BE$2:$BE$9,0)),"")</f>
        <v/>
      </c>
      <c r="O185" s="114" t="str">
        <f aca="false">IFERROR(INDEX('Historical Data'!$AJ$2:$AJ$9,MATCH($A185,'Historical Data'!$BE$2:$BE$9,0)),"")</f>
        <v/>
      </c>
      <c r="P185" s="114" t="str">
        <f aca="false">IFERROR(INDEX('Historical Data'!$AK$2:$AK$9,MATCH($A185,'Historical Data'!$BE$2:$BE$9,0)),"")</f>
        <v/>
      </c>
      <c r="Q185" s="111" t="str">
        <f aca="false">IFERROR(INDEX('Historical Data'!$AA$2:$AA$9,MATCH($A185,'Historical Data'!$BE$2:$BE$9,0)),"")</f>
        <v/>
      </c>
      <c r="R185" s="111" t="str">
        <f aca="false">IFERROR(INDEX('Historical Data'!$AB$2:$AB$9,MATCH($A185,'Historical Data'!$BE$2:$BE$9,0)),"")</f>
        <v/>
      </c>
      <c r="S185" s="111" t="str">
        <f aca="false">IFERROR(INDEX('Historical Data'!$AN$2:$AN$9,MATCH($A185,'Historical Data'!$BE$2:$BE$9,0)),"")</f>
        <v/>
      </c>
      <c r="T185" s="111" t="str">
        <f aca="false">IFERROR(INDEX('Historical Data'!$AC$2:$AC$9,MATCH($A185,'Historical Data'!$BE$2:$BE$9,0)),"")</f>
        <v/>
      </c>
      <c r="U185" s="111" t="str">
        <f aca="false">IFERROR(INDEX('Historical Data'!$AE$2:$AE$9,MATCH($A185,'Historical Data'!$BE$2:$BE$9,0)),"")</f>
        <v/>
      </c>
      <c r="V185" s="111" t="str">
        <f aca="false">IFERROR(INDEX('Historical Data'!$AH$2:$AH$9,MATCH($A185,'Historical Data'!$BE$2:$BE$9,0)),"")</f>
        <v/>
      </c>
      <c r="W185" s="111" t="str">
        <f aca="false">IFERROR(INDEX('Historical Data'!$BC$2:$BC$9,MATCH($A185,'Historical Data'!$BE$2:$BE$9,0)),"")</f>
        <v/>
      </c>
      <c r="X185" s="110" t="str">
        <f aca="false">IF(B185="","",IF(W185=1,"NR + industry + position",IF(W185=2,"NR + ISO + position",IF(W185=3,"NR + industry",IF(W185=4,"NR + ISO",IF(W185=5,"NR + position",IF(W185=6,"NR only","book baseline"))))))&amp;"  ["&amp;IF(T185=1,"seasoned","unseasoned")&amp;IF(U185=1,", defaulted","")&amp;IF(V185=1,", open","")&amp;"]")</f>
        <v/>
      </c>
    </row>
    <row r="186" customFormat="false" ht="15" hidden="false" customHeight="false" outlineLevel="0" collapsed="false">
      <c r="A186" s="110" t="n">
        <v>182</v>
      </c>
      <c r="B186" s="111" t="str">
        <f aca="false">IFERROR(INDEX('Historical Data'!$A$2:$A$9,MATCH($A186,'Historical Data'!$BE$2:$BE$9,0)),"")</f>
        <v/>
      </c>
      <c r="C186" s="111" t="str">
        <f aca="false">IFERROR(INDEX('Historical Data'!$B$2:$B$9,MATCH($A186,'Historical Data'!$BE$2:$BE$9,0)),"")</f>
        <v/>
      </c>
      <c r="D186" s="111" t="str">
        <f aca="false">IFERROR(INDEX('Historical Data'!$D$2:$D$9,MATCH($A186,'Historical Data'!$BE$2:$BE$9,0)),"")</f>
        <v/>
      </c>
      <c r="E186" s="112" t="str">
        <f aca="false">IFERROR(INDEX('Historical Data'!$E$2:$E$9,MATCH($A186,'Historical Data'!$BE$2:$BE$9,0)),"")</f>
        <v/>
      </c>
      <c r="F186" s="111" t="str">
        <f aca="false">IFERROR(INDEX('Historical Data'!$G$2:$G$9,MATCH($A186,'Historical Data'!$BE$2:$BE$9,0)),"")</f>
        <v/>
      </c>
      <c r="G186" s="111" t="str">
        <f aca="false">IFERROR(INDEX('Historical Data'!$Y$2:$Y$9,MATCH($A186,'Historical Data'!$BE$2:$BE$9,0)),"")</f>
        <v/>
      </c>
      <c r="H186" s="111" t="str">
        <f aca="false">IFERROR(INDEX('Historical Data'!$K$2:$K$9,MATCH($A186,'Historical Data'!$BE$2:$BE$9,0)),"")</f>
        <v/>
      </c>
      <c r="I186" s="111" t="str">
        <f aca="false">IFERROR(INDEX('Historical Data'!$J$2:$J$9,MATCH($A186,'Historical Data'!$BE$2:$BE$9,0)),"")</f>
        <v/>
      </c>
      <c r="J186" s="111" t="str">
        <f aca="false">IFERROR(INDEX('Historical Data'!$L$2:$L$9,MATCH($A186,'Historical Data'!$BE$2:$BE$9,0)),"")</f>
        <v/>
      </c>
      <c r="K186" s="113" t="str">
        <f aca="false">IFERROR(INDEX('Historical Data'!$M$2:$M$9,MATCH($A186,'Historical Data'!$BE$2:$BE$9,0)),"")</f>
        <v/>
      </c>
      <c r="L186" s="114" t="str">
        <f aca="false">IFERROR(INDEX('Historical Data'!$N$2:$N$9,MATCH($A186,'Historical Data'!$BE$2:$BE$9,0)),"")</f>
        <v/>
      </c>
      <c r="M186" s="114" t="str">
        <f aca="false">IFERROR(INDEX('Historical Data'!$Q$2:$Q$9,MATCH($A186,'Historical Data'!$BE$2:$BE$9,0)),"")</f>
        <v/>
      </c>
      <c r="N186" s="115" t="str">
        <f aca="false">IFERROR(INDEX('Historical Data'!$S$2:$S$9,MATCH($A186,'Historical Data'!$BE$2:$BE$9,0)),"")</f>
        <v/>
      </c>
      <c r="O186" s="114" t="str">
        <f aca="false">IFERROR(INDEX('Historical Data'!$AJ$2:$AJ$9,MATCH($A186,'Historical Data'!$BE$2:$BE$9,0)),"")</f>
        <v/>
      </c>
      <c r="P186" s="114" t="str">
        <f aca="false">IFERROR(INDEX('Historical Data'!$AK$2:$AK$9,MATCH($A186,'Historical Data'!$BE$2:$BE$9,0)),"")</f>
        <v/>
      </c>
      <c r="Q186" s="111" t="str">
        <f aca="false">IFERROR(INDEX('Historical Data'!$AA$2:$AA$9,MATCH($A186,'Historical Data'!$BE$2:$BE$9,0)),"")</f>
        <v/>
      </c>
      <c r="R186" s="111" t="str">
        <f aca="false">IFERROR(INDEX('Historical Data'!$AB$2:$AB$9,MATCH($A186,'Historical Data'!$BE$2:$BE$9,0)),"")</f>
        <v/>
      </c>
      <c r="S186" s="111" t="str">
        <f aca="false">IFERROR(INDEX('Historical Data'!$AN$2:$AN$9,MATCH($A186,'Historical Data'!$BE$2:$BE$9,0)),"")</f>
        <v/>
      </c>
      <c r="T186" s="111" t="str">
        <f aca="false">IFERROR(INDEX('Historical Data'!$AC$2:$AC$9,MATCH($A186,'Historical Data'!$BE$2:$BE$9,0)),"")</f>
        <v/>
      </c>
      <c r="U186" s="111" t="str">
        <f aca="false">IFERROR(INDEX('Historical Data'!$AE$2:$AE$9,MATCH($A186,'Historical Data'!$BE$2:$BE$9,0)),"")</f>
        <v/>
      </c>
      <c r="V186" s="111" t="str">
        <f aca="false">IFERROR(INDEX('Historical Data'!$AH$2:$AH$9,MATCH($A186,'Historical Data'!$BE$2:$BE$9,0)),"")</f>
        <v/>
      </c>
      <c r="W186" s="111" t="str">
        <f aca="false">IFERROR(INDEX('Historical Data'!$BC$2:$BC$9,MATCH($A186,'Historical Data'!$BE$2:$BE$9,0)),"")</f>
        <v/>
      </c>
      <c r="X186" s="110" t="str">
        <f aca="false">IF(B186="","",IF(W186=1,"NR + industry + position",IF(W186=2,"NR + ISO + position",IF(W186=3,"NR + industry",IF(W186=4,"NR + ISO",IF(W186=5,"NR + position",IF(W186=6,"NR only","book baseline"))))))&amp;"  ["&amp;IF(T186=1,"seasoned","unseasoned")&amp;IF(U186=1,", defaulted","")&amp;IF(V186=1,", open","")&amp;"]")</f>
        <v/>
      </c>
    </row>
    <row r="187" customFormat="false" ht="15" hidden="false" customHeight="false" outlineLevel="0" collapsed="false">
      <c r="A187" s="110" t="n">
        <v>183</v>
      </c>
      <c r="B187" s="111" t="str">
        <f aca="false">IFERROR(INDEX('Historical Data'!$A$2:$A$9,MATCH($A187,'Historical Data'!$BE$2:$BE$9,0)),"")</f>
        <v/>
      </c>
      <c r="C187" s="111" t="str">
        <f aca="false">IFERROR(INDEX('Historical Data'!$B$2:$B$9,MATCH($A187,'Historical Data'!$BE$2:$BE$9,0)),"")</f>
        <v/>
      </c>
      <c r="D187" s="111" t="str">
        <f aca="false">IFERROR(INDEX('Historical Data'!$D$2:$D$9,MATCH($A187,'Historical Data'!$BE$2:$BE$9,0)),"")</f>
        <v/>
      </c>
      <c r="E187" s="112" t="str">
        <f aca="false">IFERROR(INDEX('Historical Data'!$E$2:$E$9,MATCH($A187,'Historical Data'!$BE$2:$BE$9,0)),"")</f>
        <v/>
      </c>
      <c r="F187" s="111" t="str">
        <f aca="false">IFERROR(INDEX('Historical Data'!$G$2:$G$9,MATCH($A187,'Historical Data'!$BE$2:$BE$9,0)),"")</f>
        <v/>
      </c>
      <c r="G187" s="111" t="str">
        <f aca="false">IFERROR(INDEX('Historical Data'!$Y$2:$Y$9,MATCH($A187,'Historical Data'!$BE$2:$BE$9,0)),"")</f>
        <v/>
      </c>
      <c r="H187" s="111" t="str">
        <f aca="false">IFERROR(INDEX('Historical Data'!$K$2:$K$9,MATCH($A187,'Historical Data'!$BE$2:$BE$9,0)),"")</f>
        <v/>
      </c>
      <c r="I187" s="111" t="str">
        <f aca="false">IFERROR(INDEX('Historical Data'!$J$2:$J$9,MATCH($A187,'Historical Data'!$BE$2:$BE$9,0)),"")</f>
        <v/>
      </c>
      <c r="J187" s="111" t="str">
        <f aca="false">IFERROR(INDEX('Historical Data'!$L$2:$L$9,MATCH($A187,'Historical Data'!$BE$2:$BE$9,0)),"")</f>
        <v/>
      </c>
      <c r="K187" s="113" t="str">
        <f aca="false">IFERROR(INDEX('Historical Data'!$M$2:$M$9,MATCH($A187,'Historical Data'!$BE$2:$BE$9,0)),"")</f>
        <v/>
      </c>
      <c r="L187" s="114" t="str">
        <f aca="false">IFERROR(INDEX('Historical Data'!$N$2:$N$9,MATCH($A187,'Historical Data'!$BE$2:$BE$9,0)),"")</f>
        <v/>
      </c>
      <c r="M187" s="114" t="str">
        <f aca="false">IFERROR(INDEX('Historical Data'!$Q$2:$Q$9,MATCH($A187,'Historical Data'!$BE$2:$BE$9,0)),"")</f>
        <v/>
      </c>
      <c r="N187" s="115" t="str">
        <f aca="false">IFERROR(INDEX('Historical Data'!$S$2:$S$9,MATCH($A187,'Historical Data'!$BE$2:$BE$9,0)),"")</f>
        <v/>
      </c>
      <c r="O187" s="114" t="str">
        <f aca="false">IFERROR(INDEX('Historical Data'!$AJ$2:$AJ$9,MATCH($A187,'Historical Data'!$BE$2:$BE$9,0)),"")</f>
        <v/>
      </c>
      <c r="P187" s="114" t="str">
        <f aca="false">IFERROR(INDEX('Historical Data'!$AK$2:$AK$9,MATCH($A187,'Historical Data'!$BE$2:$BE$9,0)),"")</f>
        <v/>
      </c>
      <c r="Q187" s="111" t="str">
        <f aca="false">IFERROR(INDEX('Historical Data'!$AA$2:$AA$9,MATCH($A187,'Historical Data'!$BE$2:$BE$9,0)),"")</f>
        <v/>
      </c>
      <c r="R187" s="111" t="str">
        <f aca="false">IFERROR(INDEX('Historical Data'!$AB$2:$AB$9,MATCH($A187,'Historical Data'!$BE$2:$BE$9,0)),"")</f>
        <v/>
      </c>
      <c r="S187" s="111" t="str">
        <f aca="false">IFERROR(INDEX('Historical Data'!$AN$2:$AN$9,MATCH($A187,'Historical Data'!$BE$2:$BE$9,0)),"")</f>
        <v/>
      </c>
      <c r="T187" s="111" t="str">
        <f aca="false">IFERROR(INDEX('Historical Data'!$AC$2:$AC$9,MATCH($A187,'Historical Data'!$BE$2:$BE$9,0)),"")</f>
        <v/>
      </c>
      <c r="U187" s="111" t="str">
        <f aca="false">IFERROR(INDEX('Historical Data'!$AE$2:$AE$9,MATCH($A187,'Historical Data'!$BE$2:$BE$9,0)),"")</f>
        <v/>
      </c>
      <c r="V187" s="111" t="str">
        <f aca="false">IFERROR(INDEX('Historical Data'!$AH$2:$AH$9,MATCH($A187,'Historical Data'!$BE$2:$BE$9,0)),"")</f>
        <v/>
      </c>
      <c r="W187" s="111" t="str">
        <f aca="false">IFERROR(INDEX('Historical Data'!$BC$2:$BC$9,MATCH($A187,'Historical Data'!$BE$2:$BE$9,0)),"")</f>
        <v/>
      </c>
      <c r="X187" s="110" t="str">
        <f aca="false">IF(B187="","",IF(W187=1,"NR + industry + position",IF(W187=2,"NR + ISO + position",IF(W187=3,"NR + industry",IF(W187=4,"NR + ISO",IF(W187=5,"NR + position",IF(W187=6,"NR only","book baseline"))))))&amp;"  ["&amp;IF(T187=1,"seasoned","unseasoned")&amp;IF(U187=1,", defaulted","")&amp;IF(V187=1,", open","")&amp;"]")</f>
        <v/>
      </c>
    </row>
    <row r="188" customFormat="false" ht="15" hidden="false" customHeight="false" outlineLevel="0" collapsed="false">
      <c r="A188" s="110" t="n">
        <v>184</v>
      </c>
      <c r="B188" s="111" t="str">
        <f aca="false">IFERROR(INDEX('Historical Data'!$A$2:$A$9,MATCH($A188,'Historical Data'!$BE$2:$BE$9,0)),"")</f>
        <v/>
      </c>
      <c r="C188" s="111" t="str">
        <f aca="false">IFERROR(INDEX('Historical Data'!$B$2:$B$9,MATCH($A188,'Historical Data'!$BE$2:$BE$9,0)),"")</f>
        <v/>
      </c>
      <c r="D188" s="111" t="str">
        <f aca="false">IFERROR(INDEX('Historical Data'!$D$2:$D$9,MATCH($A188,'Historical Data'!$BE$2:$BE$9,0)),"")</f>
        <v/>
      </c>
      <c r="E188" s="112" t="str">
        <f aca="false">IFERROR(INDEX('Historical Data'!$E$2:$E$9,MATCH($A188,'Historical Data'!$BE$2:$BE$9,0)),"")</f>
        <v/>
      </c>
      <c r="F188" s="111" t="str">
        <f aca="false">IFERROR(INDEX('Historical Data'!$G$2:$G$9,MATCH($A188,'Historical Data'!$BE$2:$BE$9,0)),"")</f>
        <v/>
      </c>
      <c r="G188" s="111" t="str">
        <f aca="false">IFERROR(INDEX('Historical Data'!$Y$2:$Y$9,MATCH($A188,'Historical Data'!$BE$2:$BE$9,0)),"")</f>
        <v/>
      </c>
      <c r="H188" s="111" t="str">
        <f aca="false">IFERROR(INDEX('Historical Data'!$K$2:$K$9,MATCH($A188,'Historical Data'!$BE$2:$BE$9,0)),"")</f>
        <v/>
      </c>
      <c r="I188" s="111" t="str">
        <f aca="false">IFERROR(INDEX('Historical Data'!$J$2:$J$9,MATCH($A188,'Historical Data'!$BE$2:$BE$9,0)),"")</f>
        <v/>
      </c>
      <c r="J188" s="111" t="str">
        <f aca="false">IFERROR(INDEX('Historical Data'!$L$2:$L$9,MATCH($A188,'Historical Data'!$BE$2:$BE$9,0)),"")</f>
        <v/>
      </c>
      <c r="K188" s="113" t="str">
        <f aca="false">IFERROR(INDEX('Historical Data'!$M$2:$M$9,MATCH($A188,'Historical Data'!$BE$2:$BE$9,0)),"")</f>
        <v/>
      </c>
      <c r="L188" s="114" t="str">
        <f aca="false">IFERROR(INDEX('Historical Data'!$N$2:$N$9,MATCH($A188,'Historical Data'!$BE$2:$BE$9,0)),"")</f>
        <v/>
      </c>
      <c r="M188" s="114" t="str">
        <f aca="false">IFERROR(INDEX('Historical Data'!$Q$2:$Q$9,MATCH($A188,'Historical Data'!$BE$2:$BE$9,0)),"")</f>
        <v/>
      </c>
      <c r="N188" s="115" t="str">
        <f aca="false">IFERROR(INDEX('Historical Data'!$S$2:$S$9,MATCH($A188,'Historical Data'!$BE$2:$BE$9,0)),"")</f>
        <v/>
      </c>
      <c r="O188" s="114" t="str">
        <f aca="false">IFERROR(INDEX('Historical Data'!$AJ$2:$AJ$9,MATCH($A188,'Historical Data'!$BE$2:$BE$9,0)),"")</f>
        <v/>
      </c>
      <c r="P188" s="114" t="str">
        <f aca="false">IFERROR(INDEX('Historical Data'!$AK$2:$AK$9,MATCH($A188,'Historical Data'!$BE$2:$BE$9,0)),"")</f>
        <v/>
      </c>
      <c r="Q188" s="111" t="str">
        <f aca="false">IFERROR(INDEX('Historical Data'!$AA$2:$AA$9,MATCH($A188,'Historical Data'!$BE$2:$BE$9,0)),"")</f>
        <v/>
      </c>
      <c r="R188" s="111" t="str">
        <f aca="false">IFERROR(INDEX('Historical Data'!$AB$2:$AB$9,MATCH($A188,'Historical Data'!$BE$2:$BE$9,0)),"")</f>
        <v/>
      </c>
      <c r="S188" s="111" t="str">
        <f aca="false">IFERROR(INDEX('Historical Data'!$AN$2:$AN$9,MATCH($A188,'Historical Data'!$BE$2:$BE$9,0)),"")</f>
        <v/>
      </c>
      <c r="T188" s="111" t="str">
        <f aca="false">IFERROR(INDEX('Historical Data'!$AC$2:$AC$9,MATCH($A188,'Historical Data'!$BE$2:$BE$9,0)),"")</f>
        <v/>
      </c>
      <c r="U188" s="111" t="str">
        <f aca="false">IFERROR(INDEX('Historical Data'!$AE$2:$AE$9,MATCH($A188,'Historical Data'!$BE$2:$BE$9,0)),"")</f>
        <v/>
      </c>
      <c r="V188" s="111" t="str">
        <f aca="false">IFERROR(INDEX('Historical Data'!$AH$2:$AH$9,MATCH($A188,'Historical Data'!$BE$2:$BE$9,0)),"")</f>
        <v/>
      </c>
      <c r="W188" s="111" t="str">
        <f aca="false">IFERROR(INDEX('Historical Data'!$BC$2:$BC$9,MATCH($A188,'Historical Data'!$BE$2:$BE$9,0)),"")</f>
        <v/>
      </c>
      <c r="X188" s="110" t="str">
        <f aca="false">IF(B188="","",IF(W188=1,"NR + industry + position",IF(W188=2,"NR + ISO + position",IF(W188=3,"NR + industry",IF(W188=4,"NR + ISO",IF(W188=5,"NR + position",IF(W188=6,"NR only","book baseline"))))))&amp;"  ["&amp;IF(T188=1,"seasoned","unseasoned")&amp;IF(U188=1,", defaulted","")&amp;IF(V188=1,", open","")&amp;"]")</f>
        <v/>
      </c>
    </row>
    <row r="189" customFormat="false" ht="15" hidden="false" customHeight="false" outlineLevel="0" collapsed="false">
      <c r="A189" s="110" t="n">
        <v>185</v>
      </c>
      <c r="B189" s="111" t="str">
        <f aca="false">IFERROR(INDEX('Historical Data'!$A$2:$A$9,MATCH($A189,'Historical Data'!$BE$2:$BE$9,0)),"")</f>
        <v/>
      </c>
      <c r="C189" s="111" t="str">
        <f aca="false">IFERROR(INDEX('Historical Data'!$B$2:$B$9,MATCH($A189,'Historical Data'!$BE$2:$BE$9,0)),"")</f>
        <v/>
      </c>
      <c r="D189" s="111" t="str">
        <f aca="false">IFERROR(INDEX('Historical Data'!$D$2:$D$9,MATCH($A189,'Historical Data'!$BE$2:$BE$9,0)),"")</f>
        <v/>
      </c>
      <c r="E189" s="112" t="str">
        <f aca="false">IFERROR(INDEX('Historical Data'!$E$2:$E$9,MATCH($A189,'Historical Data'!$BE$2:$BE$9,0)),"")</f>
        <v/>
      </c>
      <c r="F189" s="111" t="str">
        <f aca="false">IFERROR(INDEX('Historical Data'!$G$2:$G$9,MATCH($A189,'Historical Data'!$BE$2:$BE$9,0)),"")</f>
        <v/>
      </c>
      <c r="G189" s="111" t="str">
        <f aca="false">IFERROR(INDEX('Historical Data'!$Y$2:$Y$9,MATCH($A189,'Historical Data'!$BE$2:$BE$9,0)),"")</f>
        <v/>
      </c>
      <c r="H189" s="111" t="str">
        <f aca="false">IFERROR(INDEX('Historical Data'!$K$2:$K$9,MATCH($A189,'Historical Data'!$BE$2:$BE$9,0)),"")</f>
        <v/>
      </c>
      <c r="I189" s="111" t="str">
        <f aca="false">IFERROR(INDEX('Historical Data'!$J$2:$J$9,MATCH($A189,'Historical Data'!$BE$2:$BE$9,0)),"")</f>
        <v/>
      </c>
      <c r="J189" s="111" t="str">
        <f aca="false">IFERROR(INDEX('Historical Data'!$L$2:$L$9,MATCH($A189,'Historical Data'!$BE$2:$BE$9,0)),"")</f>
        <v/>
      </c>
      <c r="K189" s="113" t="str">
        <f aca="false">IFERROR(INDEX('Historical Data'!$M$2:$M$9,MATCH($A189,'Historical Data'!$BE$2:$BE$9,0)),"")</f>
        <v/>
      </c>
      <c r="L189" s="114" t="str">
        <f aca="false">IFERROR(INDEX('Historical Data'!$N$2:$N$9,MATCH($A189,'Historical Data'!$BE$2:$BE$9,0)),"")</f>
        <v/>
      </c>
      <c r="M189" s="114" t="str">
        <f aca="false">IFERROR(INDEX('Historical Data'!$Q$2:$Q$9,MATCH($A189,'Historical Data'!$BE$2:$BE$9,0)),"")</f>
        <v/>
      </c>
      <c r="N189" s="115" t="str">
        <f aca="false">IFERROR(INDEX('Historical Data'!$S$2:$S$9,MATCH($A189,'Historical Data'!$BE$2:$BE$9,0)),"")</f>
        <v/>
      </c>
      <c r="O189" s="114" t="str">
        <f aca="false">IFERROR(INDEX('Historical Data'!$AJ$2:$AJ$9,MATCH($A189,'Historical Data'!$BE$2:$BE$9,0)),"")</f>
        <v/>
      </c>
      <c r="P189" s="114" t="str">
        <f aca="false">IFERROR(INDEX('Historical Data'!$AK$2:$AK$9,MATCH($A189,'Historical Data'!$BE$2:$BE$9,0)),"")</f>
        <v/>
      </c>
      <c r="Q189" s="111" t="str">
        <f aca="false">IFERROR(INDEX('Historical Data'!$AA$2:$AA$9,MATCH($A189,'Historical Data'!$BE$2:$BE$9,0)),"")</f>
        <v/>
      </c>
      <c r="R189" s="111" t="str">
        <f aca="false">IFERROR(INDEX('Historical Data'!$AB$2:$AB$9,MATCH($A189,'Historical Data'!$BE$2:$BE$9,0)),"")</f>
        <v/>
      </c>
      <c r="S189" s="111" t="str">
        <f aca="false">IFERROR(INDEX('Historical Data'!$AN$2:$AN$9,MATCH($A189,'Historical Data'!$BE$2:$BE$9,0)),"")</f>
        <v/>
      </c>
      <c r="T189" s="111" t="str">
        <f aca="false">IFERROR(INDEX('Historical Data'!$AC$2:$AC$9,MATCH($A189,'Historical Data'!$BE$2:$BE$9,0)),"")</f>
        <v/>
      </c>
      <c r="U189" s="111" t="str">
        <f aca="false">IFERROR(INDEX('Historical Data'!$AE$2:$AE$9,MATCH($A189,'Historical Data'!$BE$2:$BE$9,0)),"")</f>
        <v/>
      </c>
      <c r="V189" s="111" t="str">
        <f aca="false">IFERROR(INDEX('Historical Data'!$AH$2:$AH$9,MATCH($A189,'Historical Data'!$BE$2:$BE$9,0)),"")</f>
        <v/>
      </c>
      <c r="W189" s="111" t="str">
        <f aca="false">IFERROR(INDEX('Historical Data'!$BC$2:$BC$9,MATCH($A189,'Historical Data'!$BE$2:$BE$9,0)),"")</f>
        <v/>
      </c>
      <c r="X189" s="110" t="str">
        <f aca="false">IF(B189="","",IF(W189=1,"NR + industry + position",IF(W189=2,"NR + ISO + position",IF(W189=3,"NR + industry",IF(W189=4,"NR + ISO",IF(W189=5,"NR + position",IF(W189=6,"NR only","book baseline"))))))&amp;"  ["&amp;IF(T189=1,"seasoned","unseasoned")&amp;IF(U189=1,", defaulted","")&amp;IF(V189=1,", open","")&amp;"]")</f>
        <v/>
      </c>
    </row>
    <row r="190" customFormat="false" ht="15" hidden="false" customHeight="false" outlineLevel="0" collapsed="false">
      <c r="A190" s="110" t="n">
        <v>186</v>
      </c>
      <c r="B190" s="111" t="str">
        <f aca="false">IFERROR(INDEX('Historical Data'!$A$2:$A$9,MATCH($A190,'Historical Data'!$BE$2:$BE$9,0)),"")</f>
        <v/>
      </c>
      <c r="C190" s="111" t="str">
        <f aca="false">IFERROR(INDEX('Historical Data'!$B$2:$B$9,MATCH($A190,'Historical Data'!$BE$2:$BE$9,0)),"")</f>
        <v/>
      </c>
      <c r="D190" s="111" t="str">
        <f aca="false">IFERROR(INDEX('Historical Data'!$D$2:$D$9,MATCH($A190,'Historical Data'!$BE$2:$BE$9,0)),"")</f>
        <v/>
      </c>
      <c r="E190" s="112" t="str">
        <f aca="false">IFERROR(INDEX('Historical Data'!$E$2:$E$9,MATCH($A190,'Historical Data'!$BE$2:$BE$9,0)),"")</f>
        <v/>
      </c>
      <c r="F190" s="111" t="str">
        <f aca="false">IFERROR(INDEX('Historical Data'!$G$2:$G$9,MATCH($A190,'Historical Data'!$BE$2:$BE$9,0)),"")</f>
        <v/>
      </c>
      <c r="G190" s="111" t="str">
        <f aca="false">IFERROR(INDEX('Historical Data'!$Y$2:$Y$9,MATCH($A190,'Historical Data'!$BE$2:$BE$9,0)),"")</f>
        <v/>
      </c>
      <c r="H190" s="111" t="str">
        <f aca="false">IFERROR(INDEX('Historical Data'!$K$2:$K$9,MATCH($A190,'Historical Data'!$BE$2:$BE$9,0)),"")</f>
        <v/>
      </c>
      <c r="I190" s="111" t="str">
        <f aca="false">IFERROR(INDEX('Historical Data'!$J$2:$J$9,MATCH($A190,'Historical Data'!$BE$2:$BE$9,0)),"")</f>
        <v/>
      </c>
      <c r="J190" s="111" t="str">
        <f aca="false">IFERROR(INDEX('Historical Data'!$L$2:$L$9,MATCH($A190,'Historical Data'!$BE$2:$BE$9,0)),"")</f>
        <v/>
      </c>
      <c r="K190" s="113" t="str">
        <f aca="false">IFERROR(INDEX('Historical Data'!$M$2:$M$9,MATCH($A190,'Historical Data'!$BE$2:$BE$9,0)),"")</f>
        <v/>
      </c>
      <c r="L190" s="114" t="str">
        <f aca="false">IFERROR(INDEX('Historical Data'!$N$2:$N$9,MATCH($A190,'Historical Data'!$BE$2:$BE$9,0)),"")</f>
        <v/>
      </c>
      <c r="M190" s="114" t="str">
        <f aca="false">IFERROR(INDEX('Historical Data'!$Q$2:$Q$9,MATCH($A190,'Historical Data'!$BE$2:$BE$9,0)),"")</f>
        <v/>
      </c>
      <c r="N190" s="115" t="str">
        <f aca="false">IFERROR(INDEX('Historical Data'!$S$2:$S$9,MATCH($A190,'Historical Data'!$BE$2:$BE$9,0)),"")</f>
        <v/>
      </c>
      <c r="O190" s="114" t="str">
        <f aca="false">IFERROR(INDEX('Historical Data'!$AJ$2:$AJ$9,MATCH($A190,'Historical Data'!$BE$2:$BE$9,0)),"")</f>
        <v/>
      </c>
      <c r="P190" s="114" t="str">
        <f aca="false">IFERROR(INDEX('Historical Data'!$AK$2:$AK$9,MATCH($A190,'Historical Data'!$BE$2:$BE$9,0)),"")</f>
        <v/>
      </c>
      <c r="Q190" s="111" t="str">
        <f aca="false">IFERROR(INDEX('Historical Data'!$AA$2:$AA$9,MATCH($A190,'Historical Data'!$BE$2:$BE$9,0)),"")</f>
        <v/>
      </c>
      <c r="R190" s="111" t="str">
        <f aca="false">IFERROR(INDEX('Historical Data'!$AB$2:$AB$9,MATCH($A190,'Historical Data'!$BE$2:$BE$9,0)),"")</f>
        <v/>
      </c>
      <c r="S190" s="111" t="str">
        <f aca="false">IFERROR(INDEX('Historical Data'!$AN$2:$AN$9,MATCH($A190,'Historical Data'!$BE$2:$BE$9,0)),"")</f>
        <v/>
      </c>
      <c r="T190" s="111" t="str">
        <f aca="false">IFERROR(INDEX('Historical Data'!$AC$2:$AC$9,MATCH($A190,'Historical Data'!$BE$2:$BE$9,0)),"")</f>
        <v/>
      </c>
      <c r="U190" s="111" t="str">
        <f aca="false">IFERROR(INDEX('Historical Data'!$AE$2:$AE$9,MATCH($A190,'Historical Data'!$BE$2:$BE$9,0)),"")</f>
        <v/>
      </c>
      <c r="V190" s="111" t="str">
        <f aca="false">IFERROR(INDEX('Historical Data'!$AH$2:$AH$9,MATCH($A190,'Historical Data'!$BE$2:$BE$9,0)),"")</f>
        <v/>
      </c>
      <c r="W190" s="111" t="str">
        <f aca="false">IFERROR(INDEX('Historical Data'!$BC$2:$BC$9,MATCH($A190,'Historical Data'!$BE$2:$BE$9,0)),"")</f>
        <v/>
      </c>
      <c r="X190" s="110" t="str">
        <f aca="false">IF(B190="","",IF(W190=1,"NR + industry + position",IF(W190=2,"NR + ISO + position",IF(W190=3,"NR + industry",IF(W190=4,"NR + ISO",IF(W190=5,"NR + position",IF(W190=6,"NR only","book baseline"))))))&amp;"  ["&amp;IF(T190=1,"seasoned","unseasoned")&amp;IF(U190=1,", defaulted","")&amp;IF(V190=1,", open","")&amp;"]")</f>
        <v/>
      </c>
    </row>
    <row r="191" customFormat="false" ht="15" hidden="false" customHeight="false" outlineLevel="0" collapsed="false">
      <c r="A191" s="110" t="n">
        <v>187</v>
      </c>
      <c r="B191" s="111" t="str">
        <f aca="false">IFERROR(INDEX('Historical Data'!$A$2:$A$9,MATCH($A191,'Historical Data'!$BE$2:$BE$9,0)),"")</f>
        <v/>
      </c>
      <c r="C191" s="111" t="str">
        <f aca="false">IFERROR(INDEX('Historical Data'!$B$2:$B$9,MATCH($A191,'Historical Data'!$BE$2:$BE$9,0)),"")</f>
        <v/>
      </c>
      <c r="D191" s="111" t="str">
        <f aca="false">IFERROR(INDEX('Historical Data'!$D$2:$D$9,MATCH($A191,'Historical Data'!$BE$2:$BE$9,0)),"")</f>
        <v/>
      </c>
      <c r="E191" s="112" t="str">
        <f aca="false">IFERROR(INDEX('Historical Data'!$E$2:$E$9,MATCH($A191,'Historical Data'!$BE$2:$BE$9,0)),"")</f>
        <v/>
      </c>
      <c r="F191" s="111" t="str">
        <f aca="false">IFERROR(INDEX('Historical Data'!$G$2:$G$9,MATCH($A191,'Historical Data'!$BE$2:$BE$9,0)),"")</f>
        <v/>
      </c>
      <c r="G191" s="111" t="str">
        <f aca="false">IFERROR(INDEX('Historical Data'!$Y$2:$Y$9,MATCH($A191,'Historical Data'!$BE$2:$BE$9,0)),"")</f>
        <v/>
      </c>
      <c r="H191" s="111" t="str">
        <f aca="false">IFERROR(INDEX('Historical Data'!$K$2:$K$9,MATCH($A191,'Historical Data'!$BE$2:$BE$9,0)),"")</f>
        <v/>
      </c>
      <c r="I191" s="111" t="str">
        <f aca="false">IFERROR(INDEX('Historical Data'!$J$2:$J$9,MATCH($A191,'Historical Data'!$BE$2:$BE$9,0)),"")</f>
        <v/>
      </c>
      <c r="J191" s="111" t="str">
        <f aca="false">IFERROR(INDEX('Historical Data'!$L$2:$L$9,MATCH($A191,'Historical Data'!$BE$2:$BE$9,0)),"")</f>
        <v/>
      </c>
      <c r="K191" s="113" t="str">
        <f aca="false">IFERROR(INDEX('Historical Data'!$M$2:$M$9,MATCH($A191,'Historical Data'!$BE$2:$BE$9,0)),"")</f>
        <v/>
      </c>
      <c r="L191" s="114" t="str">
        <f aca="false">IFERROR(INDEX('Historical Data'!$N$2:$N$9,MATCH($A191,'Historical Data'!$BE$2:$BE$9,0)),"")</f>
        <v/>
      </c>
      <c r="M191" s="114" t="str">
        <f aca="false">IFERROR(INDEX('Historical Data'!$Q$2:$Q$9,MATCH($A191,'Historical Data'!$BE$2:$BE$9,0)),"")</f>
        <v/>
      </c>
      <c r="N191" s="115" t="str">
        <f aca="false">IFERROR(INDEX('Historical Data'!$S$2:$S$9,MATCH($A191,'Historical Data'!$BE$2:$BE$9,0)),"")</f>
        <v/>
      </c>
      <c r="O191" s="114" t="str">
        <f aca="false">IFERROR(INDEX('Historical Data'!$AJ$2:$AJ$9,MATCH($A191,'Historical Data'!$BE$2:$BE$9,0)),"")</f>
        <v/>
      </c>
      <c r="P191" s="114" t="str">
        <f aca="false">IFERROR(INDEX('Historical Data'!$AK$2:$AK$9,MATCH($A191,'Historical Data'!$BE$2:$BE$9,0)),"")</f>
        <v/>
      </c>
      <c r="Q191" s="111" t="str">
        <f aca="false">IFERROR(INDEX('Historical Data'!$AA$2:$AA$9,MATCH($A191,'Historical Data'!$BE$2:$BE$9,0)),"")</f>
        <v/>
      </c>
      <c r="R191" s="111" t="str">
        <f aca="false">IFERROR(INDEX('Historical Data'!$AB$2:$AB$9,MATCH($A191,'Historical Data'!$BE$2:$BE$9,0)),"")</f>
        <v/>
      </c>
      <c r="S191" s="111" t="str">
        <f aca="false">IFERROR(INDEX('Historical Data'!$AN$2:$AN$9,MATCH($A191,'Historical Data'!$BE$2:$BE$9,0)),"")</f>
        <v/>
      </c>
      <c r="T191" s="111" t="str">
        <f aca="false">IFERROR(INDEX('Historical Data'!$AC$2:$AC$9,MATCH($A191,'Historical Data'!$BE$2:$BE$9,0)),"")</f>
        <v/>
      </c>
      <c r="U191" s="111" t="str">
        <f aca="false">IFERROR(INDEX('Historical Data'!$AE$2:$AE$9,MATCH($A191,'Historical Data'!$BE$2:$BE$9,0)),"")</f>
        <v/>
      </c>
      <c r="V191" s="111" t="str">
        <f aca="false">IFERROR(INDEX('Historical Data'!$AH$2:$AH$9,MATCH($A191,'Historical Data'!$BE$2:$BE$9,0)),"")</f>
        <v/>
      </c>
      <c r="W191" s="111" t="str">
        <f aca="false">IFERROR(INDEX('Historical Data'!$BC$2:$BC$9,MATCH($A191,'Historical Data'!$BE$2:$BE$9,0)),"")</f>
        <v/>
      </c>
      <c r="X191" s="110" t="str">
        <f aca="false">IF(B191="","",IF(W191=1,"NR + industry + position",IF(W191=2,"NR + ISO + position",IF(W191=3,"NR + industry",IF(W191=4,"NR + ISO",IF(W191=5,"NR + position",IF(W191=6,"NR only","book baseline"))))))&amp;"  ["&amp;IF(T191=1,"seasoned","unseasoned")&amp;IF(U191=1,", defaulted","")&amp;IF(V191=1,", open","")&amp;"]")</f>
        <v/>
      </c>
    </row>
    <row r="192" customFormat="false" ht="15" hidden="false" customHeight="false" outlineLevel="0" collapsed="false">
      <c r="A192" s="110" t="n">
        <v>188</v>
      </c>
      <c r="B192" s="111" t="str">
        <f aca="false">IFERROR(INDEX('Historical Data'!$A$2:$A$9,MATCH($A192,'Historical Data'!$BE$2:$BE$9,0)),"")</f>
        <v/>
      </c>
      <c r="C192" s="111" t="str">
        <f aca="false">IFERROR(INDEX('Historical Data'!$B$2:$B$9,MATCH($A192,'Historical Data'!$BE$2:$BE$9,0)),"")</f>
        <v/>
      </c>
      <c r="D192" s="111" t="str">
        <f aca="false">IFERROR(INDEX('Historical Data'!$D$2:$D$9,MATCH($A192,'Historical Data'!$BE$2:$BE$9,0)),"")</f>
        <v/>
      </c>
      <c r="E192" s="112" t="str">
        <f aca="false">IFERROR(INDEX('Historical Data'!$E$2:$E$9,MATCH($A192,'Historical Data'!$BE$2:$BE$9,0)),"")</f>
        <v/>
      </c>
      <c r="F192" s="111" t="str">
        <f aca="false">IFERROR(INDEX('Historical Data'!$G$2:$G$9,MATCH($A192,'Historical Data'!$BE$2:$BE$9,0)),"")</f>
        <v/>
      </c>
      <c r="G192" s="111" t="str">
        <f aca="false">IFERROR(INDEX('Historical Data'!$Y$2:$Y$9,MATCH($A192,'Historical Data'!$BE$2:$BE$9,0)),"")</f>
        <v/>
      </c>
      <c r="H192" s="111" t="str">
        <f aca="false">IFERROR(INDEX('Historical Data'!$K$2:$K$9,MATCH($A192,'Historical Data'!$BE$2:$BE$9,0)),"")</f>
        <v/>
      </c>
      <c r="I192" s="111" t="str">
        <f aca="false">IFERROR(INDEX('Historical Data'!$J$2:$J$9,MATCH($A192,'Historical Data'!$BE$2:$BE$9,0)),"")</f>
        <v/>
      </c>
      <c r="J192" s="111" t="str">
        <f aca="false">IFERROR(INDEX('Historical Data'!$L$2:$L$9,MATCH($A192,'Historical Data'!$BE$2:$BE$9,0)),"")</f>
        <v/>
      </c>
      <c r="K192" s="113" t="str">
        <f aca="false">IFERROR(INDEX('Historical Data'!$M$2:$M$9,MATCH($A192,'Historical Data'!$BE$2:$BE$9,0)),"")</f>
        <v/>
      </c>
      <c r="L192" s="114" t="str">
        <f aca="false">IFERROR(INDEX('Historical Data'!$N$2:$N$9,MATCH($A192,'Historical Data'!$BE$2:$BE$9,0)),"")</f>
        <v/>
      </c>
      <c r="M192" s="114" t="str">
        <f aca="false">IFERROR(INDEX('Historical Data'!$Q$2:$Q$9,MATCH($A192,'Historical Data'!$BE$2:$BE$9,0)),"")</f>
        <v/>
      </c>
      <c r="N192" s="115" t="str">
        <f aca="false">IFERROR(INDEX('Historical Data'!$S$2:$S$9,MATCH($A192,'Historical Data'!$BE$2:$BE$9,0)),"")</f>
        <v/>
      </c>
      <c r="O192" s="114" t="str">
        <f aca="false">IFERROR(INDEX('Historical Data'!$AJ$2:$AJ$9,MATCH($A192,'Historical Data'!$BE$2:$BE$9,0)),"")</f>
        <v/>
      </c>
      <c r="P192" s="114" t="str">
        <f aca="false">IFERROR(INDEX('Historical Data'!$AK$2:$AK$9,MATCH($A192,'Historical Data'!$BE$2:$BE$9,0)),"")</f>
        <v/>
      </c>
      <c r="Q192" s="111" t="str">
        <f aca="false">IFERROR(INDEX('Historical Data'!$AA$2:$AA$9,MATCH($A192,'Historical Data'!$BE$2:$BE$9,0)),"")</f>
        <v/>
      </c>
      <c r="R192" s="111" t="str">
        <f aca="false">IFERROR(INDEX('Historical Data'!$AB$2:$AB$9,MATCH($A192,'Historical Data'!$BE$2:$BE$9,0)),"")</f>
        <v/>
      </c>
      <c r="S192" s="111" t="str">
        <f aca="false">IFERROR(INDEX('Historical Data'!$AN$2:$AN$9,MATCH($A192,'Historical Data'!$BE$2:$BE$9,0)),"")</f>
        <v/>
      </c>
      <c r="T192" s="111" t="str">
        <f aca="false">IFERROR(INDEX('Historical Data'!$AC$2:$AC$9,MATCH($A192,'Historical Data'!$BE$2:$BE$9,0)),"")</f>
        <v/>
      </c>
      <c r="U192" s="111" t="str">
        <f aca="false">IFERROR(INDEX('Historical Data'!$AE$2:$AE$9,MATCH($A192,'Historical Data'!$BE$2:$BE$9,0)),"")</f>
        <v/>
      </c>
      <c r="V192" s="111" t="str">
        <f aca="false">IFERROR(INDEX('Historical Data'!$AH$2:$AH$9,MATCH($A192,'Historical Data'!$BE$2:$BE$9,0)),"")</f>
        <v/>
      </c>
      <c r="W192" s="111" t="str">
        <f aca="false">IFERROR(INDEX('Historical Data'!$BC$2:$BC$9,MATCH($A192,'Historical Data'!$BE$2:$BE$9,0)),"")</f>
        <v/>
      </c>
      <c r="X192" s="110" t="str">
        <f aca="false">IF(B192="","",IF(W192=1,"NR + industry + position",IF(W192=2,"NR + ISO + position",IF(W192=3,"NR + industry",IF(W192=4,"NR + ISO",IF(W192=5,"NR + position",IF(W192=6,"NR only","book baseline"))))))&amp;"  ["&amp;IF(T192=1,"seasoned","unseasoned")&amp;IF(U192=1,", defaulted","")&amp;IF(V192=1,", open","")&amp;"]")</f>
        <v/>
      </c>
    </row>
    <row r="193" customFormat="false" ht="15" hidden="false" customHeight="false" outlineLevel="0" collapsed="false">
      <c r="A193" s="110" t="n">
        <v>189</v>
      </c>
      <c r="B193" s="111" t="str">
        <f aca="false">IFERROR(INDEX('Historical Data'!$A$2:$A$9,MATCH($A193,'Historical Data'!$BE$2:$BE$9,0)),"")</f>
        <v/>
      </c>
      <c r="C193" s="111" t="str">
        <f aca="false">IFERROR(INDEX('Historical Data'!$B$2:$B$9,MATCH($A193,'Historical Data'!$BE$2:$BE$9,0)),"")</f>
        <v/>
      </c>
      <c r="D193" s="111" t="str">
        <f aca="false">IFERROR(INDEX('Historical Data'!$D$2:$D$9,MATCH($A193,'Historical Data'!$BE$2:$BE$9,0)),"")</f>
        <v/>
      </c>
      <c r="E193" s="112" t="str">
        <f aca="false">IFERROR(INDEX('Historical Data'!$E$2:$E$9,MATCH($A193,'Historical Data'!$BE$2:$BE$9,0)),"")</f>
        <v/>
      </c>
      <c r="F193" s="111" t="str">
        <f aca="false">IFERROR(INDEX('Historical Data'!$G$2:$G$9,MATCH($A193,'Historical Data'!$BE$2:$BE$9,0)),"")</f>
        <v/>
      </c>
      <c r="G193" s="111" t="str">
        <f aca="false">IFERROR(INDEX('Historical Data'!$Y$2:$Y$9,MATCH($A193,'Historical Data'!$BE$2:$BE$9,0)),"")</f>
        <v/>
      </c>
      <c r="H193" s="111" t="str">
        <f aca="false">IFERROR(INDEX('Historical Data'!$K$2:$K$9,MATCH($A193,'Historical Data'!$BE$2:$BE$9,0)),"")</f>
        <v/>
      </c>
      <c r="I193" s="111" t="str">
        <f aca="false">IFERROR(INDEX('Historical Data'!$J$2:$J$9,MATCH($A193,'Historical Data'!$BE$2:$BE$9,0)),"")</f>
        <v/>
      </c>
      <c r="J193" s="111" t="str">
        <f aca="false">IFERROR(INDEX('Historical Data'!$L$2:$L$9,MATCH($A193,'Historical Data'!$BE$2:$BE$9,0)),"")</f>
        <v/>
      </c>
      <c r="K193" s="113" t="str">
        <f aca="false">IFERROR(INDEX('Historical Data'!$M$2:$M$9,MATCH($A193,'Historical Data'!$BE$2:$BE$9,0)),"")</f>
        <v/>
      </c>
      <c r="L193" s="114" t="str">
        <f aca="false">IFERROR(INDEX('Historical Data'!$N$2:$N$9,MATCH($A193,'Historical Data'!$BE$2:$BE$9,0)),"")</f>
        <v/>
      </c>
      <c r="M193" s="114" t="str">
        <f aca="false">IFERROR(INDEX('Historical Data'!$Q$2:$Q$9,MATCH($A193,'Historical Data'!$BE$2:$BE$9,0)),"")</f>
        <v/>
      </c>
      <c r="N193" s="115" t="str">
        <f aca="false">IFERROR(INDEX('Historical Data'!$S$2:$S$9,MATCH($A193,'Historical Data'!$BE$2:$BE$9,0)),"")</f>
        <v/>
      </c>
      <c r="O193" s="114" t="str">
        <f aca="false">IFERROR(INDEX('Historical Data'!$AJ$2:$AJ$9,MATCH($A193,'Historical Data'!$BE$2:$BE$9,0)),"")</f>
        <v/>
      </c>
      <c r="P193" s="114" t="str">
        <f aca="false">IFERROR(INDEX('Historical Data'!$AK$2:$AK$9,MATCH($A193,'Historical Data'!$BE$2:$BE$9,0)),"")</f>
        <v/>
      </c>
      <c r="Q193" s="111" t="str">
        <f aca="false">IFERROR(INDEX('Historical Data'!$AA$2:$AA$9,MATCH($A193,'Historical Data'!$BE$2:$BE$9,0)),"")</f>
        <v/>
      </c>
      <c r="R193" s="111" t="str">
        <f aca="false">IFERROR(INDEX('Historical Data'!$AB$2:$AB$9,MATCH($A193,'Historical Data'!$BE$2:$BE$9,0)),"")</f>
        <v/>
      </c>
      <c r="S193" s="111" t="str">
        <f aca="false">IFERROR(INDEX('Historical Data'!$AN$2:$AN$9,MATCH($A193,'Historical Data'!$BE$2:$BE$9,0)),"")</f>
        <v/>
      </c>
      <c r="T193" s="111" t="str">
        <f aca="false">IFERROR(INDEX('Historical Data'!$AC$2:$AC$9,MATCH($A193,'Historical Data'!$BE$2:$BE$9,0)),"")</f>
        <v/>
      </c>
      <c r="U193" s="111" t="str">
        <f aca="false">IFERROR(INDEX('Historical Data'!$AE$2:$AE$9,MATCH($A193,'Historical Data'!$BE$2:$BE$9,0)),"")</f>
        <v/>
      </c>
      <c r="V193" s="111" t="str">
        <f aca="false">IFERROR(INDEX('Historical Data'!$AH$2:$AH$9,MATCH($A193,'Historical Data'!$BE$2:$BE$9,0)),"")</f>
        <v/>
      </c>
      <c r="W193" s="111" t="str">
        <f aca="false">IFERROR(INDEX('Historical Data'!$BC$2:$BC$9,MATCH($A193,'Historical Data'!$BE$2:$BE$9,0)),"")</f>
        <v/>
      </c>
      <c r="X193" s="110" t="str">
        <f aca="false">IF(B193="","",IF(W193=1,"NR + industry + position",IF(W193=2,"NR + ISO + position",IF(W193=3,"NR + industry",IF(W193=4,"NR + ISO",IF(W193=5,"NR + position",IF(W193=6,"NR only","book baseline"))))))&amp;"  ["&amp;IF(T193=1,"seasoned","unseasoned")&amp;IF(U193=1,", defaulted","")&amp;IF(V193=1,", open","")&amp;"]")</f>
        <v/>
      </c>
    </row>
    <row r="194" customFormat="false" ht="15" hidden="false" customHeight="false" outlineLevel="0" collapsed="false">
      <c r="A194" s="110" t="n">
        <v>190</v>
      </c>
      <c r="B194" s="111" t="str">
        <f aca="false">IFERROR(INDEX('Historical Data'!$A$2:$A$9,MATCH($A194,'Historical Data'!$BE$2:$BE$9,0)),"")</f>
        <v/>
      </c>
      <c r="C194" s="111" t="str">
        <f aca="false">IFERROR(INDEX('Historical Data'!$B$2:$B$9,MATCH($A194,'Historical Data'!$BE$2:$BE$9,0)),"")</f>
        <v/>
      </c>
      <c r="D194" s="111" t="str">
        <f aca="false">IFERROR(INDEX('Historical Data'!$D$2:$D$9,MATCH($A194,'Historical Data'!$BE$2:$BE$9,0)),"")</f>
        <v/>
      </c>
      <c r="E194" s="112" t="str">
        <f aca="false">IFERROR(INDEX('Historical Data'!$E$2:$E$9,MATCH($A194,'Historical Data'!$BE$2:$BE$9,0)),"")</f>
        <v/>
      </c>
      <c r="F194" s="111" t="str">
        <f aca="false">IFERROR(INDEX('Historical Data'!$G$2:$G$9,MATCH($A194,'Historical Data'!$BE$2:$BE$9,0)),"")</f>
        <v/>
      </c>
      <c r="G194" s="111" t="str">
        <f aca="false">IFERROR(INDEX('Historical Data'!$Y$2:$Y$9,MATCH($A194,'Historical Data'!$BE$2:$BE$9,0)),"")</f>
        <v/>
      </c>
      <c r="H194" s="111" t="str">
        <f aca="false">IFERROR(INDEX('Historical Data'!$K$2:$K$9,MATCH($A194,'Historical Data'!$BE$2:$BE$9,0)),"")</f>
        <v/>
      </c>
      <c r="I194" s="111" t="str">
        <f aca="false">IFERROR(INDEX('Historical Data'!$J$2:$J$9,MATCH($A194,'Historical Data'!$BE$2:$BE$9,0)),"")</f>
        <v/>
      </c>
      <c r="J194" s="111" t="str">
        <f aca="false">IFERROR(INDEX('Historical Data'!$L$2:$L$9,MATCH($A194,'Historical Data'!$BE$2:$BE$9,0)),"")</f>
        <v/>
      </c>
      <c r="K194" s="113" t="str">
        <f aca="false">IFERROR(INDEX('Historical Data'!$M$2:$M$9,MATCH($A194,'Historical Data'!$BE$2:$BE$9,0)),"")</f>
        <v/>
      </c>
      <c r="L194" s="114" t="str">
        <f aca="false">IFERROR(INDEX('Historical Data'!$N$2:$N$9,MATCH($A194,'Historical Data'!$BE$2:$BE$9,0)),"")</f>
        <v/>
      </c>
      <c r="M194" s="114" t="str">
        <f aca="false">IFERROR(INDEX('Historical Data'!$Q$2:$Q$9,MATCH($A194,'Historical Data'!$BE$2:$BE$9,0)),"")</f>
        <v/>
      </c>
      <c r="N194" s="115" t="str">
        <f aca="false">IFERROR(INDEX('Historical Data'!$S$2:$S$9,MATCH($A194,'Historical Data'!$BE$2:$BE$9,0)),"")</f>
        <v/>
      </c>
      <c r="O194" s="114" t="str">
        <f aca="false">IFERROR(INDEX('Historical Data'!$AJ$2:$AJ$9,MATCH($A194,'Historical Data'!$BE$2:$BE$9,0)),"")</f>
        <v/>
      </c>
      <c r="P194" s="114" t="str">
        <f aca="false">IFERROR(INDEX('Historical Data'!$AK$2:$AK$9,MATCH($A194,'Historical Data'!$BE$2:$BE$9,0)),"")</f>
        <v/>
      </c>
      <c r="Q194" s="111" t="str">
        <f aca="false">IFERROR(INDEX('Historical Data'!$AA$2:$AA$9,MATCH($A194,'Historical Data'!$BE$2:$BE$9,0)),"")</f>
        <v/>
      </c>
      <c r="R194" s="111" t="str">
        <f aca="false">IFERROR(INDEX('Historical Data'!$AB$2:$AB$9,MATCH($A194,'Historical Data'!$BE$2:$BE$9,0)),"")</f>
        <v/>
      </c>
      <c r="S194" s="111" t="str">
        <f aca="false">IFERROR(INDEX('Historical Data'!$AN$2:$AN$9,MATCH($A194,'Historical Data'!$BE$2:$BE$9,0)),"")</f>
        <v/>
      </c>
      <c r="T194" s="111" t="str">
        <f aca="false">IFERROR(INDEX('Historical Data'!$AC$2:$AC$9,MATCH($A194,'Historical Data'!$BE$2:$BE$9,0)),"")</f>
        <v/>
      </c>
      <c r="U194" s="111" t="str">
        <f aca="false">IFERROR(INDEX('Historical Data'!$AE$2:$AE$9,MATCH($A194,'Historical Data'!$BE$2:$BE$9,0)),"")</f>
        <v/>
      </c>
      <c r="V194" s="111" t="str">
        <f aca="false">IFERROR(INDEX('Historical Data'!$AH$2:$AH$9,MATCH($A194,'Historical Data'!$BE$2:$BE$9,0)),"")</f>
        <v/>
      </c>
      <c r="W194" s="111" t="str">
        <f aca="false">IFERROR(INDEX('Historical Data'!$BC$2:$BC$9,MATCH($A194,'Historical Data'!$BE$2:$BE$9,0)),"")</f>
        <v/>
      </c>
      <c r="X194" s="110" t="str">
        <f aca="false">IF(B194="","",IF(W194=1,"NR + industry + position",IF(W194=2,"NR + ISO + position",IF(W194=3,"NR + industry",IF(W194=4,"NR + ISO",IF(W194=5,"NR + position",IF(W194=6,"NR only","book baseline"))))))&amp;"  ["&amp;IF(T194=1,"seasoned","unseasoned")&amp;IF(U194=1,", defaulted","")&amp;IF(V194=1,", open","")&amp;"]")</f>
        <v/>
      </c>
    </row>
    <row r="195" customFormat="false" ht="15" hidden="false" customHeight="false" outlineLevel="0" collapsed="false">
      <c r="A195" s="110" t="n">
        <v>191</v>
      </c>
      <c r="B195" s="111" t="str">
        <f aca="false">IFERROR(INDEX('Historical Data'!$A$2:$A$9,MATCH($A195,'Historical Data'!$BE$2:$BE$9,0)),"")</f>
        <v/>
      </c>
      <c r="C195" s="111" t="str">
        <f aca="false">IFERROR(INDEX('Historical Data'!$B$2:$B$9,MATCH($A195,'Historical Data'!$BE$2:$BE$9,0)),"")</f>
        <v/>
      </c>
      <c r="D195" s="111" t="str">
        <f aca="false">IFERROR(INDEX('Historical Data'!$D$2:$D$9,MATCH($A195,'Historical Data'!$BE$2:$BE$9,0)),"")</f>
        <v/>
      </c>
      <c r="E195" s="112" t="str">
        <f aca="false">IFERROR(INDEX('Historical Data'!$E$2:$E$9,MATCH($A195,'Historical Data'!$BE$2:$BE$9,0)),"")</f>
        <v/>
      </c>
      <c r="F195" s="111" t="str">
        <f aca="false">IFERROR(INDEX('Historical Data'!$G$2:$G$9,MATCH($A195,'Historical Data'!$BE$2:$BE$9,0)),"")</f>
        <v/>
      </c>
      <c r="G195" s="111" t="str">
        <f aca="false">IFERROR(INDEX('Historical Data'!$Y$2:$Y$9,MATCH($A195,'Historical Data'!$BE$2:$BE$9,0)),"")</f>
        <v/>
      </c>
      <c r="H195" s="111" t="str">
        <f aca="false">IFERROR(INDEX('Historical Data'!$K$2:$K$9,MATCH($A195,'Historical Data'!$BE$2:$BE$9,0)),"")</f>
        <v/>
      </c>
      <c r="I195" s="111" t="str">
        <f aca="false">IFERROR(INDEX('Historical Data'!$J$2:$J$9,MATCH($A195,'Historical Data'!$BE$2:$BE$9,0)),"")</f>
        <v/>
      </c>
      <c r="J195" s="111" t="str">
        <f aca="false">IFERROR(INDEX('Historical Data'!$L$2:$L$9,MATCH($A195,'Historical Data'!$BE$2:$BE$9,0)),"")</f>
        <v/>
      </c>
      <c r="K195" s="113" t="str">
        <f aca="false">IFERROR(INDEX('Historical Data'!$M$2:$M$9,MATCH($A195,'Historical Data'!$BE$2:$BE$9,0)),"")</f>
        <v/>
      </c>
      <c r="L195" s="114" t="str">
        <f aca="false">IFERROR(INDEX('Historical Data'!$N$2:$N$9,MATCH($A195,'Historical Data'!$BE$2:$BE$9,0)),"")</f>
        <v/>
      </c>
      <c r="M195" s="114" t="str">
        <f aca="false">IFERROR(INDEX('Historical Data'!$Q$2:$Q$9,MATCH($A195,'Historical Data'!$BE$2:$BE$9,0)),"")</f>
        <v/>
      </c>
      <c r="N195" s="115" t="str">
        <f aca="false">IFERROR(INDEX('Historical Data'!$S$2:$S$9,MATCH($A195,'Historical Data'!$BE$2:$BE$9,0)),"")</f>
        <v/>
      </c>
      <c r="O195" s="114" t="str">
        <f aca="false">IFERROR(INDEX('Historical Data'!$AJ$2:$AJ$9,MATCH($A195,'Historical Data'!$BE$2:$BE$9,0)),"")</f>
        <v/>
      </c>
      <c r="P195" s="114" t="str">
        <f aca="false">IFERROR(INDEX('Historical Data'!$AK$2:$AK$9,MATCH($A195,'Historical Data'!$BE$2:$BE$9,0)),"")</f>
        <v/>
      </c>
      <c r="Q195" s="111" t="str">
        <f aca="false">IFERROR(INDEX('Historical Data'!$AA$2:$AA$9,MATCH($A195,'Historical Data'!$BE$2:$BE$9,0)),"")</f>
        <v/>
      </c>
      <c r="R195" s="111" t="str">
        <f aca="false">IFERROR(INDEX('Historical Data'!$AB$2:$AB$9,MATCH($A195,'Historical Data'!$BE$2:$BE$9,0)),"")</f>
        <v/>
      </c>
      <c r="S195" s="111" t="str">
        <f aca="false">IFERROR(INDEX('Historical Data'!$AN$2:$AN$9,MATCH($A195,'Historical Data'!$BE$2:$BE$9,0)),"")</f>
        <v/>
      </c>
      <c r="T195" s="111" t="str">
        <f aca="false">IFERROR(INDEX('Historical Data'!$AC$2:$AC$9,MATCH($A195,'Historical Data'!$BE$2:$BE$9,0)),"")</f>
        <v/>
      </c>
      <c r="U195" s="111" t="str">
        <f aca="false">IFERROR(INDEX('Historical Data'!$AE$2:$AE$9,MATCH($A195,'Historical Data'!$BE$2:$BE$9,0)),"")</f>
        <v/>
      </c>
      <c r="V195" s="111" t="str">
        <f aca="false">IFERROR(INDEX('Historical Data'!$AH$2:$AH$9,MATCH($A195,'Historical Data'!$BE$2:$BE$9,0)),"")</f>
        <v/>
      </c>
      <c r="W195" s="111" t="str">
        <f aca="false">IFERROR(INDEX('Historical Data'!$BC$2:$BC$9,MATCH($A195,'Historical Data'!$BE$2:$BE$9,0)),"")</f>
        <v/>
      </c>
      <c r="X195" s="110" t="str">
        <f aca="false">IF(B195="","",IF(W195=1,"NR + industry + position",IF(W195=2,"NR + ISO + position",IF(W195=3,"NR + industry",IF(W195=4,"NR + ISO",IF(W195=5,"NR + position",IF(W195=6,"NR only","book baseline"))))))&amp;"  ["&amp;IF(T195=1,"seasoned","unseasoned")&amp;IF(U195=1,", defaulted","")&amp;IF(V195=1,", open","")&amp;"]")</f>
        <v/>
      </c>
    </row>
    <row r="196" customFormat="false" ht="15" hidden="false" customHeight="false" outlineLevel="0" collapsed="false">
      <c r="A196" s="110" t="n">
        <v>192</v>
      </c>
      <c r="B196" s="111" t="str">
        <f aca="false">IFERROR(INDEX('Historical Data'!$A$2:$A$9,MATCH($A196,'Historical Data'!$BE$2:$BE$9,0)),"")</f>
        <v/>
      </c>
      <c r="C196" s="111" t="str">
        <f aca="false">IFERROR(INDEX('Historical Data'!$B$2:$B$9,MATCH($A196,'Historical Data'!$BE$2:$BE$9,0)),"")</f>
        <v/>
      </c>
      <c r="D196" s="111" t="str">
        <f aca="false">IFERROR(INDEX('Historical Data'!$D$2:$D$9,MATCH($A196,'Historical Data'!$BE$2:$BE$9,0)),"")</f>
        <v/>
      </c>
      <c r="E196" s="112" t="str">
        <f aca="false">IFERROR(INDEX('Historical Data'!$E$2:$E$9,MATCH($A196,'Historical Data'!$BE$2:$BE$9,0)),"")</f>
        <v/>
      </c>
      <c r="F196" s="111" t="str">
        <f aca="false">IFERROR(INDEX('Historical Data'!$G$2:$G$9,MATCH($A196,'Historical Data'!$BE$2:$BE$9,0)),"")</f>
        <v/>
      </c>
      <c r="G196" s="111" t="str">
        <f aca="false">IFERROR(INDEX('Historical Data'!$Y$2:$Y$9,MATCH($A196,'Historical Data'!$BE$2:$BE$9,0)),"")</f>
        <v/>
      </c>
      <c r="H196" s="111" t="str">
        <f aca="false">IFERROR(INDEX('Historical Data'!$K$2:$K$9,MATCH($A196,'Historical Data'!$BE$2:$BE$9,0)),"")</f>
        <v/>
      </c>
      <c r="I196" s="111" t="str">
        <f aca="false">IFERROR(INDEX('Historical Data'!$J$2:$J$9,MATCH($A196,'Historical Data'!$BE$2:$BE$9,0)),"")</f>
        <v/>
      </c>
      <c r="J196" s="111" t="str">
        <f aca="false">IFERROR(INDEX('Historical Data'!$L$2:$L$9,MATCH($A196,'Historical Data'!$BE$2:$BE$9,0)),"")</f>
        <v/>
      </c>
      <c r="K196" s="113" t="str">
        <f aca="false">IFERROR(INDEX('Historical Data'!$M$2:$M$9,MATCH($A196,'Historical Data'!$BE$2:$BE$9,0)),"")</f>
        <v/>
      </c>
      <c r="L196" s="114" t="str">
        <f aca="false">IFERROR(INDEX('Historical Data'!$N$2:$N$9,MATCH($A196,'Historical Data'!$BE$2:$BE$9,0)),"")</f>
        <v/>
      </c>
      <c r="M196" s="114" t="str">
        <f aca="false">IFERROR(INDEX('Historical Data'!$Q$2:$Q$9,MATCH($A196,'Historical Data'!$BE$2:$BE$9,0)),"")</f>
        <v/>
      </c>
      <c r="N196" s="115" t="str">
        <f aca="false">IFERROR(INDEX('Historical Data'!$S$2:$S$9,MATCH($A196,'Historical Data'!$BE$2:$BE$9,0)),"")</f>
        <v/>
      </c>
      <c r="O196" s="114" t="str">
        <f aca="false">IFERROR(INDEX('Historical Data'!$AJ$2:$AJ$9,MATCH($A196,'Historical Data'!$BE$2:$BE$9,0)),"")</f>
        <v/>
      </c>
      <c r="P196" s="114" t="str">
        <f aca="false">IFERROR(INDEX('Historical Data'!$AK$2:$AK$9,MATCH($A196,'Historical Data'!$BE$2:$BE$9,0)),"")</f>
        <v/>
      </c>
      <c r="Q196" s="111" t="str">
        <f aca="false">IFERROR(INDEX('Historical Data'!$AA$2:$AA$9,MATCH($A196,'Historical Data'!$BE$2:$BE$9,0)),"")</f>
        <v/>
      </c>
      <c r="R196" s="111" t="str">
        <f aca="false">IFERROR(INDEX('Historical Data'!$AB$2:$AB$9,MATCH($A196,'Historical Data'!$BE$2:$BE$9,0)),"")</f>
        <v/>
      </c>
      <c r="S196" s="111" t="str">
        <f aca="false">IFERROR(INDEX('Historical Data'!$AN$2:$AN$9,MATCH($A196,'Historical Data'!$BE$2:$BE$9,0)),"")</f>
        <v/>
      </c>
      <c r="T196" s="111" t="str">
        <f aca="false">IFERROR(INDEX('Historical Data'!$AC$2:$AC$9,MATCH($A196,'Historical Data'!$BE$2:$BE$9,0)),"")</f>
        <v/>
      </c>
      <c r="U196" s="111" t="str">
        <f aca="false">IFERROR(INDEX('Historical Data'!$AE$2:$AE$9,MATCH($A196,'Historical Data'!$BE$2:$BE$9,0)),"")</f>
        <v/>
      </c>
      <c r="V196" s="111" t="str">
        <f aca="false">IFERROR(INDEX('Historical Data'!$AH$2:$AH$9,MATCH($A196,'Historical Data'!$BE$2:$BE$9,0)),"")</f>
        <v/>
      </c>
      <c r="W196" s="111" t="str">
        <f aca="false">IFERROR(INDEX('Historical Data'!$BC$2:$BC$9,MATCH($A196,'Historical Data'!$BE$2:$BE$9,0)),"")</f>
        <v/>
      </c>
      <c r="X196" s="110" t="str">
        <f aca="false">IF(B196="","",IF(W196=1,"NR + industry + position",IF(W196=2,"NR + ISO + position",IF(W196=3,"NR + industry",IF(W196=4,"NR + ISO",IF(W196=5,"NR + position",IF(W196=6,"NR only","book baseline"))))))&amp;"  ["&amp;IF(T196=1,"seasoned","unseasoned")&amp;IF(U196=1,", defaulted","")&amp;IF(V196=1,", open","")&amp;"]")</f>
        <v/>
      </c>
    </row>
    <row r="197" customFormat="false" ht="15" hidden="false" customHeight="false" outlineLevel="0" collapsed="false">
      <c r="A197" s="110" t="n">
        <v>193</v>
      </c>
      <c r="B197" s="111" t="str">
        <f aca="false">IFERROR(INDEX('Historical Data'!$A$2:$A$9,MATCH($A197,'Historical Data'!$BE$2:$BE$9,0)),"")</f>
        <v/>
      </c>
      <c r="C197" s="111" t="str">
        <f aca="false">IFERROR(INDEX('Historical Data'!$B$2:$B$9,MATCH($A197,'Historical Data'!$BE$2:$BE$9,0)),"")</f>
        <v/>
      </c>
      <c r="D197" s="111" t="str">
        <f aca="false">IFERROR(INDEX('Historical Data'!$D$2:$D$9,MATCH($A197,'Historical Data'!$BE$2:$BE$9,0)),"")</f>
        <v/>
      </c>
      <c r="E197" s="112" t="str">
        <f aca="false">IFERROR(INDEX('Historical Data'!$E$2:$E$9,MATCH($A197,'Historical Data'!$BE$2:$BE$9,0)),"")</f>
        <v/>
      </c>
      <c r="F197" s="111" t="str">
        <f aca="false">IFERROR(INDEX('Historical Data'!$G$2:$G$9,MATCH($A197,'Historical Data'!$BE$2:$BE$9,0)),"")</f>
        <v/>
      </c>
      <c r="G197" s="111" t="str">
        <f aca="false">IFERROR(INDEX('Historical Data'!$Y$2:$Y$9,MATCH($A197,'Historical Data'!$BE$2:$BE$9,0)),"")</f>
        <v/>
      </c>
      <c r="H197" s="111" t="str">
        <f aca="false">IFERROR(INDEX('Historical Data'!$K$2:$K$9,MATCH($A197,'Historical Data'!$BE$2:$BE$9,0)),"")</f>
        <v/>
      </c>
      <c r="I197" s="111" t="str">
        <f aca="false">IFERROR(INDEX('Historical Data'!$J$2:$J$9,MATCH($A197,'Historical Data'!$BE$2:$BE$9,0)),"")</f>
        <v/>
      </c>
      <c r="J197" s="111" t="str">
        <f aca="false">IFERROR(INDEX('Historical Data'!$L$2:$L$9,MATCH($A197,'Historical Data'!$BE$2:$BE$9,0)),"")</f>
        <v/>
      </c>
      <c r="K197" s="113" t="str">
        <f aca="false">IFERROR(INDEX('Historical Data'!$M$2:$M$9,MATCH($A197,'Historical Data'!$BE$2:$BE$9,0)),"")</f>
        <v/>
      </c>
      <c r="L197" s="114" t="str">
        <f aca="false">IFERROR(INDEX('Historical Data'!$N$2:$N$9,MATCH($A197,'Historical Data'!$BE$2:$BE$9,0)),"")</f>
        <v/>
      </c>
      <c r="M197" s="114" t="str">
        <f aca="false">IFERROR(INDEX('Historical Data'!$Q$2:$Q$9,MATCH($A197,'Historical Data'!$BE$2:$BE$9,0)),"")</f>
        <v/>
      </c>
      <c r="N197" s="115" t="str">
        <f aca="false">IFERROR(INDEX('Historical Data'!$S$2:$S$9,MATCH($A197,'Historical Data'!$BE$2:$BE$9,0)),"")</f>
        <v/>
      </c>
      <c r="O197" s="114" t="str">
        <f aca="false">IFERROR(INDEX('Historical Data'!$AJ$2:$AJ$9,MATCH($A197,'Historical Data'!$BE$2:$BE$9,0)),"")</f>
        <v/>
      </c>
      <c r="P197" s="114" t="str">
        <f aca="false">IFERROR(INDEX('Historical Data'!$AK$2:$AK$9,MATCH($A197,'Historical Data'!$BE$2:$BE$9,0)),"")</f>
        <v/>
      </c>
      <c r="Q197" s="111" t="str">
        <f aca="false">IFERROR(INDEX('Historical Data'!$AA$2:$AA$9,MATCH($A197,'Historical Data'!$BE$2:$BE$9,0)),"")</f>
        <v/>
      </c>
      <c r="R197" s="111" t="str">
        <f aca="false">IFERROR(INDEX('Historical Data'!$AB$2:$AB$9,MATCH($A197,'Historical Data'!$BE$2:$BE$9,0)),"")</f>
        <v/>
      </c>
      <c r="S197" s="111" t="str">
        <f aca="false">IFERROR(INDEX('Historical Data'!$AN$2:$AN$9,MATCH($A197,'Historical Data'!$BE$2:$BE$9,0)),"")</f>
        <v/>
      </c>
      <c r="T197" s="111" t="str">
        <f aca="false">IFERROR(INDEX('Historical Data'!$AC$2:$AC$9,MATCH($A197,'Historical Data'!$BE$2:$BE$9,0)),"")</f>
        <v/>
      </c>
      <c r="U197" s="111" t="str">
        <f aca="false">IFERROR(INDEX('Historical Data'!$AE$2:$AE$9,MATCH($A197,'Historical Data'!$BE$2:$BE$9,0)),"")</f>
        <v/>
      </c>
      <c r="V197" s="111" t="str">
        <f aca="false">IFERROR(INDEX('Historical Data'!$AH$2:$AH$9,MATCH($A197,'Historical Data'!$BE$2:$BE$9,0)),"")</f>
        <v/>
      </c>
      <c r="W197" s="111" t="str">
        <f aca="false">IFERROR(INDEX('Historical Data'!$BC$2:$BC$9,MATCH($A197,'Historical Data'!$BE$2:$BE$9,0)),"")</f>
        <v/>
      </c>
      <c r="X197" s="110" t="str">
        <f aca="false">IF(B197="","",IF(W197=1,"NR + industry + position",IF(W197=2,"NR + ISO + position",IF(W197=3,"NR + industry",IF(W197=4,"NR + ISO",IF(W197=5,"NR + position",IF(W197=6,"NR only","book baseline"))))))&amp;"  ["&amp;IF(T197=1,"seasoned","unseasoned")&amp;IF(U197=1,", defaulted","")&amp;IF(V197=1,", open","")&amp;"]")</f>
        <v/>
      </c>
    </row>
    <row r="198" customFormat="false" ht="15" hidden="false" customHeight="false" outlineLevel="0" collapsed="false">
      <c r="A198" s="110" t="n">
        <v>194</v>
      </c>
      <c r="B198" s="111" t="str">
        <f aca="false">IFERROR(INDEX('Historical Data'!$A$2:$A$9,MATCH($A198,'Historical Data'!$BE$2:$BE$9,0)),"")</f>
        <v/>
      </c>
      <c r="C198" s="111" t="str">
        <f aca="false">IFERROR(INDEX('Historical Data'!$B$2:$B$9,MATCH($A198,'Historical Data'!$BE$2:$BE$9,0)),"")</f>
        <v/>
      </c>
      <c r="D198" s="111" t="str">
        <f aca="false">IFERROR(INDEX('Historical Data'!$D$2:$D$9,MATCH($A198,'Historical Data'!$BE$2:$BE$9,0)),"")</f>
        <v/>
      </c>
      <c r="E198" s="112" t="str">
        <f aca="false">IFERROR(INDEX('Historical Data'!$E$2:$E$9,MATCH($A198,'Historical Data'!$BE$2:$BE$9,0)),"")</f>
        <v/>
      </c>
      <c r="F198" s="111" t="str">
        <f aca="false">IFERROR(INDEX('Historical Data'!$G$2:$G$9,MATCH($A198,'Historical Data'!$BE$2:$BE$9,0)),"")</f>
        <v/>
      </c>
      <c r="G198" s="111" t="str">
        <f aca="false">IFERROR(INDEX('Historical Data'!$Y$2:$Y$9,MATCH($A198,'Historical Data'!$BE$2:$BE$9,0)),"")</f>
        <v/>
      </c>
      <c r="H198" s="111" t="str">
        <f aca="false">IFERROR(INDEX('Historical Data'!$K$2:$K$9,MATCH($A198,'Historical Data'!$BE$2:$BE$9,0)),"")</f>
        <v/>
      </c>
      <c r="I198" s="111" t="str">
        <f aca="false">IFERROR(INDEX('Historical Data'!$J$2:$J$9,MATCH($A198,'Historical Data'!$BE$2:$BE$9,0)),"")</f>
        <v/>
      </c>
      <c r="J198" s="111" t="str">
        <f aca="false">IFERROR(INDEX('Historical Data'!$L$2:$L$9,MATCH($A198,'Historical Data'!$BE$2:$BE$9,0)),"")</f>
        <v/>
      </c>
      <c r="K198" s="113" t="str">
        <f aca="false">IFERROR(INDEX('Historical Data'!$M$2:$M$9,MATCH($A198,'Historical Data'!$BE$2:$BE$9,0)),"")</f>
        <v/>
      </c>
      <c r="L198" s="114" t="str">
        <f aca="false">IFERROR(INDEX('Historical Data'!$N$2:$N$9,MATCH($A198,'Historical Data'!$BE$2:$BE$9,0)),"")</f>
        <v/>
      </c>
      <c r="M198" s="114" t="str">
        <f aca="false">IFERROR(INDEX('Historical Data'!$Q$2:$Q$9,MATCH($A198,'Historical Data'!$BE$2:$BE$9,0)),"")</f>
        <v/>
      </c>
      <c r="N198" s="115" t="str">
        <f aca="false">IFERROR(INDEX('Historical Data'!$S$2:$S$9,MATCH($A198,'Historical Data'!$BE$2:$BE$9,0)),"")</f>
        <v/>
      </c>
      <c r="O198" s="114" t="str">
        <f aca="false">IFERROR(INDEX('Historical Data'!$AJ$2:$AJ$9,MATCH($A198,'Historical Data'!$BE$2:$BE$9,0)),"")</f>
        <v/>
      </c>
      <c r="P198" s="114" t="str">
        <f aca="false">IFERROR(INDEX('Historical Data'!$AK$2:$AK$9,MATCH($A198,'Historical Data'!$BE$2:$BE$9,0)),"")</f>
        <v/>
      </c>
      <c r="Q198" s="111" t="str">
        <f aca="false">IFERROR(INDEX('Historical Data'!$AA$2:$AA$9,MATCH($A198,'Historical Data'!$BE$2:$BE$9,0)),"")</f>
        <v/>
      </c>
      <c r="R198" s="111" t="str">
        <f aca="false">IFERROR(INDEX('Historical Data'!$AB$2:$AB$9,MATCH($A198,'Historical Data'!$BE$2:$BE$9,0)),"")</f>
        <v/>
      </c>
      <c r="S198" s="111" t="str">
        <f aca="false">IFERROR(INDEX('Historical Data'!$AN$2:$AN$9,MATCH($A198,'Historical Data'!$BE$2:$BE$9,0)),"")</f>
        <v/>
      </c>
      <c r="T198" s="111" t="str">
        <f aca="false">IFERROR(INDEX('Historical Data'!$AC$2:$AC$9,MATCH($A198,'Historical Data'!$BE$2:$BE$9,0)),"")</f>
        <v/>
      </c>
      <c r="U198" s="111" t="str">
        <f aca="false">IFERROR(INDEX('Historical Data'!$AE$2:$AE$9,MATCH($A198,'Historical Data'!$BE$2:$BE$9,0)),"")</f>
        <v/>
      </c>
      <c r="V198" s="111" t="str">
        <f aca="false">IFERROR(INDEX('Historical Data'!$AH$2:$AH$9,MATCH($A198,'Historical Data'!$BE$2:$BE$9,0)),"")</f>
        <v/>
      </c>
      <c r="W198" s="111" t="str">
        <f aca="false">IFERROR(INDEX('Historical Data'!$BC$2:$BC$9,MATCH($A198,'Historical Data'!$BE$2:$BE$9,0)),"")</f>
        <v/>
      </c>
      <c r="X198" s="110" t="str">
        <f aca="false">IF(B198="","",IF(W198=1,"NR + industry + position",IF(W198=2,"NR + ISO + position",IF(W198=3,"NR + industry",IF(W198=4,"NR + ISO",IF(W198=5,"NR + position",IF(W198=6,"NR only","book baseline"))))))&amp;"  ["&amp;IF(T198=1,"seasoned","unseasoned")&amp;IF(U198=1,", defaulted","")&amp;IF(V198=1,", open","")&amp;"]")</f>
        <v/>
      </c>
    </row>
    <row r="199" customFormat="false" ht="15" hidden="false" customHeight="false" outlineLevel="0" collapsed="false">
      <c r="A199" s="110" t="n">
        <v>195</v>
      </c>
      <c r="B199" s="111" t="str">
        <f aca="false">IFERROR(INDEX('Historical Data'!$A$2:$A$9,MATCH($A199,'Historical Data'!$BE$2:$BE$9,0)),"")</f>
        <v/>
      </c>
      <c r="C199" s="111" t="str">
        <f aca="false">IFERROR(INDEX('Historical Data'!$B$2:$B$9,MATCH($A199,'Historical Data'!$BE$2:$BE$9,0)),"")</f>
        <v/>
      </c>
      <c r="D199" s="111" t="str">
        <f aca="false">IFERROR(INDEX('Historical Data'!$D$2:$D$9,MATCH($A199,'Historical Data'!$BE$2:$BE$9,0)),"")</f>
        <v/>
      </c>
      <c r="E199" s="112" t="str">
        <f aca="false">IFERROR(INDEX('Historical Data'!$E$2:$E$9,MATCH($A199,'Historical Data'!$BE$2:$BE$9,0)),"")</f>
        <v/>
      </c>
      <c r="F199" s="111" t="str">
        <f aca="false">IFERROR(INDEX('Historical Data'!$G$2:$G$9,MATCH($A199,'Historical Data'!$BE$2:$BE$9,0)),"")</f>
        <v/>
      </c>
      <c r="G199" s="111" t="str">
        <f aca="false">IFERROR(INDEX('Historical Data'!$Y$2:$Y$9,MATCH($A199,'Historical Data'!$BE$2:$BE$9,0)),"")</f>
        <v/>
      </c>
      <c r="H199" s="111" t="str">
        <f aca="false">IFERROR(INDEX('Historical Data'!$K$2:$K$9,MATCH($A199,'Historical Data'!$BE$2:$BE$9,0)),"")</f>
        <v/>
      </c>
      <c r="I199" s="111" t="str">
        <f aca="false">IFERROR(INDEX('Historical Data'!$J$2:$J$9,MATCH($A199,'Historical Data'!$BE$2:$BE$9,0)),"")</f>
        <v/>
      </c>
      <c r="J199" s="111" t="str">
        <f aca="false">IFERROR(INDEX('Historical Data'!$L$2:$L$9,MATCH($A199,'Historical Data'!$BE$2:$BE$9,0)),"")</f>
        <v/>
      </c>
      <c r="K199" s="113" t="str">
        <f aca="false">IFERROR(INDEX('Historical Data'!$M$2:$M$9,MATCH($A199,'Historical Data'!$BE$2:$BE$9,0)),"")</f>
        <v/>
      </c>
      <c r="L199" s="114" t="str">
        <f aca="false">IFERROR(INDEX('Historical Data'!$N$2:$N$9,MATCH($A199,'Historical Data'!$BE$2:$BE$9,0)),"")</f>
        <v/>
      </c>
      <c r="M199" s="114" t="str">
        <f aca="false">IFERROR(INDEX('Historical Data'!$Q$2:$Q$9,MATCH($A199,'Historical Data'!$BE$2:$BE$9,0)),"")</f>
        <v/>
      </c>
      <c r="N199" s="115" t="str">
        <f aca="false">IFERROR(INDEX('Historical Data'!$S$2:$S$9,MATCH($A199,'Historical Data'!$BE$2:$BE$9,0)),"")</f>
        <v/>
      </c>
      <c r="O199" s="114" t="str">
        <f aca="false">IFERROR(INDEX('Historical Data'!$AJ$2:$AJ$9,MATCH($A199,'Historical Data'!$BE$2:$BE$9,0)),"")</f>
        <v/>
      </c>
      <c r="P199" s="114" t="str">
        <f aca="false">IFERROR(INDEX('Historical Data'!$AK$2:$AK$9,MATCH($A199,'Historical Data'!$BE$2:$BE$9,0)),"")</f>
        <v/>
      </c>
      <c r="Q199" s="111" t="str">
        <f aca="false">IFERROR(INDEX('Historical Data'!$AA$2:$AA$9,MATCH($A199,'Historical Data'!$BE$2:$BE$9,0)),"")</f>
        <v/>
      </c>
      <c r="R199" s="111" t="str">
        <f aca="false">IFERROR(INDEX('Historical Data'!$AB$2:$AB$9,MATCH($A199,'Historical Data'!$BE$2:$BE$9,0)),"")</f>
        <v/>
      </c>
      <c r="S199" s="111" t="str">
        <f aca="false">IFERROR(INDEX('Historical Data'!$AN$2:$AN$9,MATCH($A199,'Historical Data'!$BE$2:$BE$9,0)),"")</f>
        <v/>
      </c>
      <c r="T199" s="111" t="str">
        <f aca="false">IFERROR(INDEX('Historical Data'!$AC$2:$AC$9,MATCH($A199,'Historical Data'!$BE$2:$BE$9,0)),"")</f>
        <v/>
      </c>
      <c r="U199" s="111" t="str">
        <f aca="false">IFERROR(INDEX('Historical Data'!$AE$2:$AE$9,MATCH($A199,'Historical Data'!$BE$2:$BE$9,0)),"")</f>
        <v/>
      </c>
      <c r="V199" s="111" t="str">
        <f aca="false">IFERROR(INDEX('Historical Data'!$AH$2:$AH$9,MATCH($A199,'Historical Data'!$BE$2:$BE$9,0)),"")</f>
        <v/>
      </c>
      <c r="W199" s="111" t="str">
        <f aca="false">IFERROR(INDEX('Historical Data'!$BC$2:$BC$9,MATCH($A199,'Historical Data'!$BE$2:$BE$9,0)),"")</f>
        <v/>
      </c>
      <c r="X199" s="110" t="str">
        <f aca="false">IF(B199="","",IF(W199=1,"NR + industry + position",IF(W199=2,"NR + ISO + position",IF(W199=3,"NR + industry",IF(W199=4,"NR + ISO",IF(W199=5,"NR + position",IF(W199=6,"NR only","book baseline"))))))&amp;"  ["&amp;IF(T199=1,"seasoned","unseasoned")&amp;IF(U199=1,", defaulted","")&amp;IF(V199=1,", open","")&amp;"]")</f>
        <v/>
      </c>
    </row>
    <row r="200" customFormat="false" ht="15" hidden="false" customHeight="false" outlineLevel="0" collapsed="false">
      <c r="A200" s="110" t="n">
        <v>196</v>
      </c>
      <c r="B200" s="111" t="str">
        <f aca="false">IFERROR(INDEX('Historical Data'!$A$2:$A$9,MATCH($A200,'Historical Data'!$BE$2:$BE$9,0)),"")</f>
        <v/>
      </c>
      <c r="C200" s="111" t="str">
        <f aca="false">IFERROR(INDEX('Historical Data'!$B$2:$B$9,MATCH($A200,'Historical Data'!$BE$2:$BE$9,0)),"")</f>
        <v/>
      </c>
      <c r="D200" s="111" t="str">
        <f aca="false">IFERROR(INDEX('Historical Data'!$D$2:$D$9,MATCH($A200,'Historical Data'!$BE$2:$BE$9,0)),"")</f>
        <v/>
      </c>
      <c r="E200" s="112" t="str">
        <f aca="false">IFERROR(INDEX('Historical Data'!$E$2:$E$9,MATCH($A200,'Historical Data'!$BE$2:$BE$9,0)),"")</f>
        <v/>
      </c>
      <c r="F200" s="111" t="str">
        <f aca="false">IFERROR(INDEX('Historical Data'!$G$2:$G$9,MATCH($A200,'Historical Data'!$BE$2:$BE$9,0)),"")</f>
        <v/>
      </c>
      <c r="G200" s="111" t="str">
        <f aca="false">IFERROR(INDEX('Historical Data'!$Y$2:$Y$9,MATCH($A200,'Historical Data'!$BE$2:$BE$9,0)),"")</f>
        <v/>
      </c>
      <c r="H200" s="111" t="str">
        <f aca="false">IFERROR(INDEX('Historical Data'!$K$2:$K$9,MATCH($A200,'Historical Data'!$BE$2:$BE$9,0)),"")</f>
        <v/>
      </c>
      <c r="I200" s="111" t="str">
        <f aca="false">IFERROR(INDEX('Historical Data'!$J$2:$J$9,MATCH($A200,'Historical Data'!$BE$2:$BE$9,0)),"")</f>
        <v/>
      </c>
      <c r="J200" s="111" t="str">
        <f aca="false">IFERROR(INDEX('Historical Data'!$L$2:$L$9,MATCH($A200,'Historical Data'!$BE$2:$BE$9,0)),"")</f>
        <v/>
      </c>
      <c r="K200" s="113" t="str">
        <f aca="false">IFERROR(INDEX('Historical Data'!$M$2:$M$9,MATCH($A200,'Historical Data'!$BE$2:$BE$9,0)),"")</f>
        <v/>
      </c>
      <c r="L200" s="114" t="str">
        <f aca="false">IFERROR(INDEX('Historical Data'!$N$2:$N$9,MATCH($A200,'Historical Data'!$BE$2:$BE$9,0)),"")</f>
        <v/>
      </c>
      <c r="M200" s="114" t="str">
        <f aca="false">IFERROR(INDEX('Historical Data'!$Q$2:$Q$9,MATCH($A200,'Historical Data'!$BE$2:$BE$9,0)),"")</f>
        <v/>
      </c>
      <c r="N200" s="115" t="str">
        <f aca="false">IFERROR(INDEX('Historical Data'!$S$2:$S$9,MATCH($A200,'Historical Data'!$BE$2:$BE$9,0)),"")</f>
        <v/>
      </c>
      <c r="O200" s="114" t="str">
        <f aca="false">IFERROR(INDEX('Historical Data'!$AJ$2:$AJ$9,MATCH($A200,'Historical Data'!$BE$2:$BE$9,0)),"")</f>
        <v/>
      </c>
      <c r="P200" s="114" t="str">
        <f aca="false">IFERROR(INDEX('Historical Data'!$AK$2:$AK$9,MATCH($A200,'Historical Data'!$BE$2:$BE$9,0)),"")</f>
        <v/>
      </c>
      <c r="Q200" s="111" t="str">
        <f aca="false">IFERROR(INDEX('Historical Data'!$AA$2:$AA$9,MATCH($A200,'Historical Data'!$BE$2:$BE$9,0)),"")</f>
        <v/>
      </c>
      <c r="R200" s="111" t="str">
        <f aca="false">IFERROR(INDEX('Historical Data'!$AB$2:$AB$9,MATCH($A200,'Historical Data'!$BE$2:$BE$9,0)),"")</f>
        <v/>
      </c>
      <c r="S200" s="111" t="str">
        <f aca="false">IFERROR(INDEX('Historical Data'!$AN$2:$AN$9,MATCH($A200,'Historical Data'!$BE$2:$BE$9,0)),"")</f>
        <v/>
      </c>
      <c r="T200" s="111" t="str">
        <f aca="false">IFERROR(INDEX('Historical Data'!$AC$2:$AC$9,MATCH($A200,'Historical Data'!$BE$2:$BE$9,0)),"")</f>
        <v/>
      </c>
      <c r="U200" s="111" t="str">
        <f aca="false">IFERROR(INDEX('Historical Data'!$AE$2:$AE$9,MATCH($A200,'Historical Data'!$BE$2:$BE$9,0)),"")</f>
        <v/>
      </c>
      <c r="V200" s="111" t="str">
        <f aca="false">IFERROR(INDEX('Historical Data'!$AH$2:$AH$9,MATCH($A200,'Historical Data'!$BE$2:$BE$9,0)),"")</f>
        <v/>
      </c>
      <c r="W200" s="111" t="str">
        <f aca="false">IFERROR(INDEX('Historical Data'!$BC$2:$BC$9,MATCH($A200,'Historical Data'!$BE$2:$BE$9,0)),"")</f>
        <v/>
      </c>
      <c r="X200" s="110" t="str">
        <f aca="false">IF(B200="","",IF(W200=1,"NR + industry + position",IF(W200=2,"NR + ISO + position",IF(W200=3,"NR + industry",IF(W200=4,"NR + ISO",IF(W200=5,"NR + position",IF(W200=6,"NR only","book baseline"))))))&amp;"  ["&amp;IF(T200=1,"seasoned","unseasoned")&amp;IF(U200=1,", defaulted","")&amp;IF(V200=1,", open","")&amp;"]")</f>
        <v/>
      </c>
    </row>
    <row r="201" customFormat="false" ht="15" hidden="false" customHeight="false" outlineLevel="0" collapsed="false">
      <c r="A201" s="110" t="n">
        <v>197</v>
      </c>
      <c r="B201" s="111" t="str">
        <f aca="false">IFERROR(INDEX('Historical Data'!$A$2:$A$9,MATCH($A201,'Historical Data'!$BE$2:$BE$9,0)),"")</f>
        <v/>
      </c>
      <c r="C201" s="111" t="str">
        <f aca="false">IFERROR(INDEX('Historical Data'!$B$2:$B$9,MATCH($A201,'Historical Data'!$BE$2:$BE$9,0)),"")</f>
        <v/>
      </c>
      <c r="D201" s="111" t="str">
        <f aca="false">IFERROR(INDEX('Historical Data'!$D$2:$D$9,MATCH($A201,'Historical Data'!$BE$2:$BE$9,0)),"")</f>
        <v/>
      </c>
      <c r="E201" s="112" t="str">
        <f aca="false">IFERROR(INDEX('Historical Data'!$E$2:$E$9,MATCH($A201,'Historical Data'!$BE$2:$BE$9,0)),"")</f>
        <v/>
      </c>
      <c r="F201" s="111" t="str">
        <f aca="false">IFERROR(INDEX('Historical Data'!$G$2:$G$9,MATCH($A201,'Historical Data'!$BE$2:$BE$9,0)),"")</f>
        <v/>
      </c>
      <c r="G201" s="111" t="str">
        <f aca="false">IFERROR(INDEX('Historical Data'!$Y$2:$Y$9,MATCH($A201,'Historical Data'!$BE$2:$BE$9,0)),"")</f>
        <v/>
      </c>
      <c r="H201" s="111" t="str">
        <f aca="false">IFERROR(INDEX('Historical Data'!$K$2:$K$9,MATCH($A201,'Historical Data'!$BE$2:$BE$9,0)),"")</f>
        <v/>
      </c>
      <c r="I201" s="111" t="str">
        <f aca="false">IFERROR(INDEX('Historical Data'!$J$2:$J$9,MATCH($A201,'Historical Data'!$BE$2:$BE$9,0)),"")</f>
        <v/>
      </c>
      <c r="J201" s="111" t="str">
        <f aca="false">IFERROR(INDEX('Historical Data'!$L$2:$L$9,MATCH($A201,'Historical Data'!$BE$2:$BE$9,0)),"")</f>
        <v/>
      </c>
      <c r="K201" s="113" t="str">
        <f aca="false">IFERROR(INDEX('Historical Data'!$M$2:$M$9,MATCH($A201,'Historical Data'!$BE$2:$BE$9,0)),"")</f>
        <v/>
      </c>
      <c r="L201" s="114" t="str">
        <f aca="false">IFERROR(INDEX('Historical Data'!$N$2:$N$9,MATCH($A201,'Historical Data'!$BE$2:$BE$9,0)),"")</f>
        <v/>
      </c>
      <c r="M201" s="114" t="str">
        <f aca="false">IFERROR(INDEX('Historical Data'!$Q$2:$Q$9,MATCH($A201,'Historical Data'!$BE$2:$BE$9,0)),"")</f>
        <v/>
      </c>
      <c r="N201" s="115" t="str">
        <f aca="false">IFERROR(INDEX('Historical Data'!$S$2:$S$9,MATCH($A201,'Historical Data'!$BE$2:$BE$9,0)),"")</f>
        <v/>
      </c>
      <c r="O201" s="114" t="str">
        <f aca="false">IFERROR(INDEX('Historical Data'!$AJ$2:$AJ$9,MATCH($A201,'Historical Data'!$BE$2:$BE$9,0)),"")</f>
        <v/>
      </c>
      <c r="P201" s="114" t="str">
        <f aca="false">IFERROR(INDEX('Historical Data'!$AK$2:$AK$9,MATCH($A201,'Historical Data'!$BE$2:$BE$9,0)),"")</f>
        <v/>
      </c>
      <c r="Q201" s="111" t="str">
        <f aca="false">IFERROR(INDEX('Historical Data'!$AA$2:$AA$9,MATCH($A201,'Historical Data'!$BE$2:$BE$9,0)),"")</f>
        <v/>
      </c>
      <c r="R201" s="111" t="str">
        <f aca="false">IFERROR(INDEX('Historical Data'!$AB$2:$AB$9,MATCH($A201,'Historical Data'!$BE$2:$BE$9,0)),"")</f>
        <v/>
      </c>
      <c r="S201" s="111" t="str">
        <f aca="false">IFERROR(INDEX('Historical Data'!$AN$2:$AN$9,MATCH($A201,'Historical Data'!$BE$2:$BE$9,0)),"")</f>
        <v/>
      </c>
      <c r="T201" s="111" t="str">
        <f aca="false">IFERROR(INDEX('Historical Data'!$AC$2:$AC$9,MATCH($A201,'Historical Data'!$BE$2:$BE$9,0)),"")</f>
        <v/>
      </c>
      <c r="U201" s="111" t="str">
        <f aca="false">IFERROR(INDEX('Historical Data'!$AE$2:$AE$9,MATCH($A201,'Historical Data'!$BE$2:$BE$9,0)),"")</f>
        <v/>
      </c>
      <c r="V201" s="111" t="str">
        <f aca="false">IFERROR(INDEX('Historical Data'!$AH$2:$AH$9,MATCH($A201,'Historical Data'!$BE$2:$BE$9,0)),"")</f>
        <v/>
      </c>
      <c r="W201" s="111" t="str">
        <f aca="false">IFERROR(INDEX('Historical Data'!$BC$2:$BC$9,MATCH($A201,'Historical Data'!$BE$2:$BE$9,0)),"")</f>
        <v/>
      </c>
      <c r="X201" s="110" t="str">
        <f aca="false">IF(B201="","",IF(W201=1,"NR + industry + position",IF(W201=2,"NR + ISO + position",IF(W201=3,"NR + industry",IF(W201=4,"NR + ISO",IF(W201=5,"NR + position",IF(W201=6,"NR only","book baseline"))))))&amp;"  ["&amp;IF(T201=1,"seasoned","unseasoned")&amp;IF(U201=1,", defaulted","")&amp;IF(V201=1,", open","")&amp;"]")</f>
        <v/>
      </c>
    </row>
    <row r="202" customFormat="false" ht="15" hidden="false" customHeight="false" outlineLevel="0" collapsed="false">
      <c r="A202" s="110" t="n">
        <v>198</v>
      </c>
      <c r="B202" s="111" t="str">
        <f aca="false">IFERROR(INDEX('Historical Data'!$A$2:$A$9,MATCH($A202,'Historical Data'!$BE$2:$BE$9,0)),"")</f>
        <v/>
      </c>
      <c r="C202" s="111" t="str">
        <f aca="false">IFERROR(INDEX('Historical Data'!$B$2:$B$9,MATCH($A202,'Historical Data'!$BE$2:$BE$9,0)),"")</f>
        <v/>
      </c>
      <c r="D202" s="111" t="str">
        <f aca="false">IFERROR(INDEX('Historical Data'!$D$2:$D$9,MATCH($A202,'Historical Data'!$BE$2:$BE$9,0)),"")</f>
        <v/>
      </c>
      <c r="E202" s="112" t="str">
        <f aca="false">IFERROR(INDEX('Historical Data'!$E$2:$E$9,MATCH($A202,'Historical Data'!$BE$2:$BE$9,0)),"")</f>
        <v/>
      </c>
      <c r="F202" s="111" t="str">
        <f aca="false">IFERROR(INDEX('Historical Data'!$G$2:$G$9,MATCH($A202,'Historical Data'!$BE$2:$BE$9,0)),"")</f>
        <v/>
      </c>
      <c r="G202" s="111" t="str">
        <f aca="false">IFERROR(INDEX('Historical Data'!$Y$2:$Y$9,MATCH($A202,'Historical Data'!$BE$2:$BE$9,0)),"")</f>
        <v/>
      </c>
      <c r="H202" s="111" t="str">
        <f aca="false">IFERROR(INDEX('Historical Data'!$K$2:$K$9,MATCH($A202,'Historical Data'!$BE$2:$BE$9,0)),"")</f>
        <v/>
      </c>
      <c r="I202" s="111" t="str">
        <f aca="false">IFERROR(INDEX('Historical Data'!$J$2:$J$9,MATCH($A202,'Historical Data'!$BE$2:$BE$9,0)),"")</f>
        <v/>
      </c>
      <c r="J202" s="111" t="str">
        <f aca="false">IFERROR(INDEX('Historical Data'!$L$2:$L$9,MATCH($A202,'Historical Data'!$BE$2:$BE$9,0)),"")</f>
        <v/>
      </c>
      <c r="K202" s="113" t="str">
        <f aca="false">IFERROR(INDEX('Historical Data'!$M$2:$M$9,MATCH($A202,'Historical Data'!$BE$2:$BE$9,0)),"")</f>
        <v/>
      </c>
      <c r="L202" s="114" t="str">
        <f aca="false">IFERROR(INDEX('Historical Data'!$N$2:$N$9,MATCH($A202,'Historical Data'!$BE$2:$BE$9,0)),"")</f>
        <v/>
      </c>
      <c r="M202" s="114" t="str">
        <f aca="false">IFERROR(INDEX('Historical Data'!$Q$2:$Q$9,MATCH($A202,'Historical Data'!$BE$2:$BE$9,0)),"")</f>
        <v/>
      </c>
      <c r="N202" s="115" t="str">
        <f aca="false">IFERROR(INDEX('Historical Data'!$S$2:$S$9,MATCH($A202,'Historical Data'!$BE$2:$BE$9,0)),"")</f>
        <v/>
      </c>
      <c r="O202" s="114" t="str">
        <f aca="false">IFERROR(INDEX('Historical Data'!$AJ$2:$AJ$9,MATCH($A202,'Historical Data'!$BE$2:$BE$9,0)),"")</f>
        <v/>
      </c>
      <c r="P202" s="114" t="str">
        <f aca="false">IFERROR(INDEX('Historical Data'!$AK$2:$AK$9,MATCH($A202,'Historical Data'!$BE$2:$BE$9,0)),"")</f>
        <v/>
      </c>
      <c r="Q202" s="111" t="str">
        <f aca="false">IFERROR(INDEX('Historical Data'!$AA$2:$AA$9,MATCH($A202,'Historical Data'!$BE$2:$BE$9,0)),"")</f>
        <v/>
      </c>
      <c r="R202" s="111" t="str">
        <f aca="false">IFERROR(INDEX('Historical Data'!$AB$2:$AB$9,MATCH($A202,'Historical Data'!$BE$2:$BE$9,0)),"")</f>
        <v/>
      </c>
      <c r="S202" s="111" t="str">
        <f aca="false">IFERROR(INDEX('Historical Data'!$AN$2:$AN$9,MATCH($A202,'Historical Data'!$BE$2:$BE$9,0)),"")</f>
        <v/>
      </c>
      <c r="T202" s="111" t="str">
        <f aca="false">IFERROR(INDEX('Historical Data'!$AC$2:$AC$9,MATCH($A202,'Historical Data'!$BE$2:$BE$9,0)),"")</f>
        <v/>
      </c>
      <c r="U202" s="111" t="str">
        <f aca="false">IFERROR(INDEX('Historical Data'!$AE$2:$AE$9,MATCH($A202,'Historical Data'!$BE$2:$BE$9,0)),"")</f>
        <v/>
      </c>
      <c r="V202" s="111" t="str">
        <f aca="false">IFERROR(INDEX('Historical Data'!$AH$2:$AH$9,MATCH($A202,'Historical Data'!$BE$2:$BE$9,0)),"")</f>
        <v/>
      </c>
      <c r="W202" s="111" t="str">
        <f aca="false">IFERROR(INDEX('Historical Data'!$BC$2:$BC$9,MATCH($A202,'Historical Data'!$BE$2:$BE$9,0)),"")</f>
        <v/>
      </c>
      <c r="X202" s="110" t="str">
        <f aca="false">IF(B202="","",IF(W202=1,"NR + industry + position",IF(W202=2,"NR + ISO + position",IF(W202=3,"NR + industry",IF(W202=4,"NR + ISO",IF(W202=5,"NR + position",IF(W202=6,"NR only","book baseline"))))))&amp;"  ["&amp;IF(T202=1,"seasoned","unseasoned")&amp;IF(U202=1,", defaulted","")&amp;IF(V202=1,", open","")&amp;"]")</f>
        <v/>
      </c>
    </row>
    <row r="203" customFormat="false" ht="15" hidden="false" customHeight="false" outlineLevel="0" collapsed="false">
      <c r="A203" s="110" t="n">
        <v>199</v>
      </c>
      <c r="B203" s="111" t="str">
        <f aca="false">IFERROR(INDEX('Historical Data'!$A$2:$A$9,MATCH($A203,'Historical Data'!$BE$2:$BE$9,0)),"")</f>
        <v/>
      </c>
      <c r="C203" s="111" t="str">
        <f aca="false">IFERROR(INDEX('Historical Data'!$B$2:$B$9,MATCH($A203,'Historical Data'!$BE$2:$BE$9,0)),"")</f>
        <v/>
      </c>
      <c r="D203" s="111" t="str">
        <f aca="false">IFERROR(INDEX('Historical Data'!$D$2:$D$9,MATCH($A203,'Historical Data'!$BE$2:$BE$9,0)),"")</f>
        <v/>
      </c>
      <c r="E203" s="112" t="str">
        <f aca="false">IFERROR(INDEX('Historical Data'!$E$2:$E$9,MATCH($A203,'Historical Data'!$BE$2:$BE$9,0)),"")</f>
        <v/>
      </c>
      <c r="F203" s="111" t="str">
        <f aca="false">IFERROR(INDEX('Historical Data'!$G$2:$G$9,MATCH($A203,'Historical Data'!$BE$2:$BE$9,0)),"")</f>
        <v/>
      </c>
      <c r="G203" s="111" t="str">
        <f aca="false">IFERROR(INDEX('Historical Data'!$Y$2:$Y$9,MATCH($A203,'Historical Data'!$BE$2:$BE$9,0)),"")</f>
        <v/>
      </c>
      <c r="H203" s="111" t="str">
        <f aca="false">IFERROR(INDEX('Historical Data'!$K$2:$K$9,MATCH($A203,'Historical Data'!$BE$2:$BE$9,0)),"")</f>
        <v/>
      </c>
      <c r="I203" s="111" t="str">
        <f aca="false">IFERROR(INDEX('Historical Data'!$J$2:$J$9,MATCH($A203,'Historical Data'!$BE$2:$BE$9,0)),"")</f>
        <v/>
      </c>
      <c r="J203" s="111" t="str">
        <f aca="false">IFERROR(INDEX('Historical Data'!$L$2:$L$9,MATCH($A203,'Historical Data'!$BE$2:$BE$9,0)),"")</f>
        <v/>
      </c>
      <c r="K203" s="113" t="str">
        <f aca="false">IFERROR(INDEX('Historical Data'!$M$2:$M$9,MATCH($A203,'Historical Data'!$BE$2:$BE$9,0)),"")</f>
        <v/>
      </c>
      <c r="L203" s="114" t="str">
        <f aca="false">IFERROR(INDEX('Historical Data'!$N$2:$N$9,MATCH($A203,'Historical Data'!$BE$2:$BE$9,0)),"")</f>
        <v/>
      </c>
      <c r="M203" s="114" t="str">
        <f aca="false">IFERROR(INDEX('Historical Data'!$Q$2:$Q$9,MATCH($A203,'Historical Data'!$BE$2:$BE$9,0)),"")</f>
        <v/>
      </c>
      <c r="N203" s="115" t="str">
        <f aca="false">IFERROR(INDEX('Historical Data'!$S$2:$S$9,MATCH($A203,'Historical Data'!$BE$2:$BE$9,0)),"")</f>
        <v/>
      </c>
      <c r="O203" s="114" t="str">
        <f aca="false">IFERROR(INDEX('Historical Data'!$AJ$2:$AJ$9,MATCH($A203,'Historical Data'!$BE$2:$BE$9,0)),"")</f>
        <v/>
      </c>
      <c r="P203" s="114" t="str">
        <f aca="false">IFERROR(INDEX('Historical Data'!$AK$2:$AK$9,MATCH($A203,'Historical Data'!$BE$2:$BE$9,0)),"")</f>
        <v/>
      </c>
      <c r="Q203" s="111" t="str">
        <f aca="false">IFERROR(INDEX('Historical Data'!$AA$2:$AA$9,MATCH($A203,'Historical Data'!$BE$2:$BE$9,0)),"")</f>
        <v/>
      </c>
      <c r="R203" s="111" t="str">
        <f aca="false">IFERROR(INDEX('Historical Data'!$AB$2:$AB$9,MATCH($A203,'Historical Data'!$BE$2:$BE$9,0)),"")</f>
        <v/>
      </c>
      <c r="S203" s="111" t="str">
        <f aca="false">IFERROR(INDEX('Historical Data'!$AN$2:$AN$9,MATCH($A203,'Historical Data'!$BE$2:$BE$9,0)),"")</f>
        <v/>
      </c>
      <c r="T203" s="111" t="str">
        <f aca="false">IFERROR(INDEX('Historical Data'!$AC$2:$AC$9,MATCH($A203,'Historical Data'!$BE$2:$BE$9,0)),"")</f>
        <v/>
      </c>
      <c r="U203" s="111" t="str">
        <f aca="false">IFERROR(INDEX('Historical Data'!$AE$2:$AE$9,MATCH($A203,'Historical Data'!$BE$2:$BE$9,0)),"")</f>
        <v/>
      </c>
      <c r="V203" s="111" t="str">
        <f aca="false">IFERROR(INDEX('Historical Data'!$AH$2:$AH$9,MATCH($A203,'Historical Data'!$BE$2:$BE$9,0)),"")</f>
        <v/>
      </c>
      <c r="W203" s="111" t="str">
        <f aca="false">IFERROR(INDEX('Historical Data'!$BC$2:$BC$9,MATCH($A203,'Historical Data'!$BE$2:$BE$9,0)),"")</f>
        <v/>
      </c>
      <c r="X203" s="110" t="str">
        <f aca="false">IF(B203="","",IF(W203=1,"NR + industry + position",IF(W203=2,"NR + ISO + position",IF(W203=3,"NR + industry",IF(W203=4,"NR + ISO",IF(W203=5,"NR + position",IF(W203=6,"NR only","book baseline"))))))&amp;"  ["&amp;IF(T203=1,"seasoned","unseasoned")&amp;IF(U203=1,", defaulted","")&amp;IF(V203=1,", open","")&amp;"]")</f>
        <v/>
      </c>
    </row>
    <row r="204" customFormat="false" ht="15" hidden="false" customHeight="false" outlineLevel="0" collapsed="false">
      <c r="A204" s="110" t="n">
        <v>200</v>
      </c>
      <c r="B204" s="111" t="str">
        <f aca="false">IFERROR(INDEX('Historical Data'!$A$2:$A$9,MATCH($A204,'Historical Data'!$BE$2:$BE$9,0)),"")</f>
        <v/>
      </c>
      <c r="C204" s="111" t="str">
        <f aca="false">IFERROR(INDEX('Historical Data'!$B$2:$B$9,MATCH($A204,'Historical Data'!$BE$2:$BE$9,0)),"")</f>
        <v/>
      </c>
      <c r="D204" s="111" t="str">
        <f aca="false">IFERROR(INDEX('Historical Data'!$D$2:$D$9,MATCH($A204,'Historical Data'!$BE$2:$BE$9,0)),"")</f>
        <v/>
      </c>
      <c r="E204" s="112" t="str">
        <f aca="false">IFERROR(INDEX('Historical Data'!$E$2:$E$9,MATCH($A204,'Historical Data'!$BE$2:$BE$9,0)),"")</f>
        <v/>
      </c>
      <c r="F204" s="111" t="str">
        <f aca="false">IFERROR(INDEX('Historical Data'!$G$2:$G$9,MATCH($A204,'Historical Data'!$BE$2:$BE$9,0)),"")</f>
        <v/>
      </c>
      <c r="G204" s="111" t="str">
        <f aca="false">IFERROR(INDEX('Historical Data'!$Y$2:$Y$9,MATCH($A204,'Historical Data'!$BE$2:$BE$9,0)),"")</f>
        <v/>
      </c>
      <c r="H204" s="111" t="str">
        <f aca="false">IFERROR(INDEX('Historical Data'!$K$2:$K$9,MATCH($A204,'Historical Data'!$BE$2:$BE$9,0)),"")</f>
        <v/>
      </c>
      <c r="I204" s="111" t="str">
        <f aca="false">IFERROR(INDEX('Historical Data'!$J$2:$J$9,MATCH($A204,'Historical Data'!$BE$2:$BE$9,0)),"")</f>
        <v/>
      </c>
      <c r="J204" s="111" t="str">
        <f aca="false">IFERROR(INDEX('Historical Data'!$L$2:$L$9,MATCH($A204,'Historical Data'!$BE$2:$BE$9,0)),"")</f>
        <v/>
      </c>
      <c r="K204" s="113" t="str">
        <f aca="false">IFERROR(INDEX('Historical Data'!$M$2:$M$9,MATCH($A204,'Historical Data'!$BE$2:$BE$9,0)),"")</f>
        <v/>
      </c>
      <c r="L204" s="114" t="str">
        <f aca="false">IFERROR(INDEX('Historical Data'!$N$2:$N$9,MATCH($A204,'Historical Data'!$BE$2:$BE$9,0)),"")</f>
        <v/>
      </c>
      <c r="M204" s="114" t="str">
        <f aca="false">IFERROR(INDEX('Historical Data'!$Q$2:$Q$9,MATCH($A204,'Historical Data'!$BE$2:$BE$9,0)),"")</f>
        <v/>
      </c>
      <c r="N204" s="115" t="str">
        <f aca="false">IFERROR(INDEX('Historical Data'!$S$2:$S$9,MATCH($A204,'Historical Data'!$BE$2:$BE$9,0)),"")</f>
        <v/>
      </c>
      <c r="O204" s="114" t="str">
        <f aca="false">IFERROR(INDEX('Historical Data'!$AJ$2:$AJ$9,MATCH($A204,'Historical Data'!$BE$2:$BE$9,0)),"")</f>
        <v/>
      </c>
      <c r="P204" s="114" t="str">
        <f aca="false">IFERROR(INDEX('Historical Data'!$AK$2:$AK$9,MATCH($A204,'Historical Data'!$BE$2:$BE$9,0)),"")</f>
        <v/>
      </c>
      <c r="Q204" s="111" t="str">
        <f aca="false">IFERROR(INDEX('Historical Data'!$AA$2:$AA$9,MATCH($A204,'Historical Data'!$BE$2:$BE$9,0)),"")</f>
        <v/>
      </c>
      <c r="R204" s="111" t="str">
        <f aca="false">IFERROR(INDEX('Historical Data'!$AB$2:$AB$9,MATCH($A204,'Historical Data'!$BE$2:$BE$9,0)),"")</f>
        <v/>
      </c>
      <c r="S204" s="111" t="str">
        <f aca="false">IFERROR(INDEX('Historical Data'!$AN$2:$AN$9,MATCH($A204,'Historical Data'!$BE$2:$BE$9,0)),"")</f>
        <v/>
      </c>
      <c r="T204" s="111" t="str">
        <f aca="false">IFERROR(INDEX('Historical Data'!$AC$2:$AC$9,MATCH($A204,'Historical Data'!$BE$2:$BE$9,0)),"")</f>
        <v/>
      </c>
      <c r="U204" s="111" t="str">
        <f aca="false">IFERROR(INDEX('Historical Data'!$AE$2:$AE$9,MATCH($A204,'Historical Data'!$BE$2:$BE$9,0)),"")</f>
        <v/>
      </c>
      <c r="V204" s="111" t="str">
        <f aca="false">IFERROR(INDEX('Historical Data'!$AH$2:$AH$9,MATCH($A204,'Historical Data'!$BE$2:$BE$9,0)),"")</f>
        <v/>
      </c>
      <c r="W204" s="111" t="str">
        <f aca="false">IFERROR(INDEX('Historical Data'!$BC$2:$BC$9,MATCH($A204,'Historical Data'!$BE$2:$BE$9,0)),"")</f>
        <v/>
      </c>
      <c r="X204" s="110" t="str">
        <f aca="false">IF(B204="","",IF(W204=1,"NR + industry + position",IF(W204=2,"NR + ISO + position",IF(W204=3,"NR + industry",IF(W204=4,"NR + ISO",IF(W204=5,"NR + position",IF(W204=6,"NR only","book baseline"))))))&amp;"  ["&amp;IF(T204=1,"seasoned","unseasoned")&amp;IF(U204=1,", defaulted","")&amp;IF(V204=1,", open","")&amp;"]")</f>
        <v/>
      </c>
    </row>
    <row r="205" customFormat="false" ht="15" hidden="false" customHeight="false" outlineLevel="0" collapsed="false">
      <c r="A205" s="110" t="n">
        <v>201</v>
      </c>
      <c r="B205" s="111" t="str">
        <f aca="false">IFERROR(INDEX('Historical Data'!$A$2:$A$9,MATCH($A205,'Historical Data'!$BE$2:$BE$9,0)),"")</f>
        <v/>
      </c>
      <c r="C205" s="111" t="str">
        <f aca="false">IFERROR(INDEX('Historical Data'!$B$2:$B$9,MATCH($A205,'Historical Data'!$BE$2:$BE$9,0)),"")</f>
        <v/>
      </c>
      <c r="D205" s="111" t="str">
        <f aca="false">IFERROR(INDEX('Historical Data'!$D$2:$D$9,MATCH($A205,'Historical Data'!$BE$2:$BE$9,0)),"")</f>
        <v/>
      </c>
      <c r="E205" s="112" t="str">
        <f aca="false">IFERROR(INDEX('Historical Data'!$E$2:$E$9,MATCH($A205,'Historical Data'!$BE$2:$BE$9,0)),"")</f>
        <v/>
      </c>
      <c r="F205" s="111" t="str">
        <f aca="false">IFERROR(INDEX('Historical Data'!$G$2:$G$9,MATCH($A205,'Historical Data'!$BE$2:$BE$9,0)),"")</f>
        <v/>
      </c>
      <c r="G205" s="111" t="str">
        <f aca="false">IFERROR(INDEX('Historical Data'!$Y$2:$Y$9,MATCH($A205,'Historical Data'!$BE$2:$BE$9,0)),"")</f>
        <v/>
      </c>
      <c r="H205" s="111" t="str">
        <f aca="false">IFERROR(INDEX('Historical Data'!$K$2:$K$9,MATCH($A205,'Historical Data'!$BE$2:$BE$9,0)),"")</f>
        <v/>
      </c>
      <c r="I205" s="111" t="str">
        <f aca="false">IFERROR(INDEX('Historical Data'!$J$2:$J$9,MATCH($A205,'Historical Data'!$BE$2:$BE$9,0)),"")</f>
        <v/>
      </c>
      <c r="J205" s="111" t="str">
        <f aca="false">IFERROR(INDEX('Historical Data'!$L$2:$L$9,MATCH($A205,'Historical Data'!$BE$2:$BE$9,0)),"")</f>
        <v/>
      </c>
      <c r="K205" s="113" t="str">
        <f aca="false">IFERROR(INDEX('Historical Data'!$M$2:$M$9,MATCH($A205,'Historical Data'!$BE$2:$BE$9,0)),"")</f>
        <v/>
      </c>
      <c r="L205" s="114" t="str">
        <f aca="false">IFERROR(INDEX('Historical Data'!$N$2:$N$9,MATCH($A205,'Historical Data'!$BE$2:$BE$9,0)),"")</f>
        <v/>
      </c>
      <c r="M205" s="114" t="str">
        <f aca="false">IFERROR(INDEX('Historical Data'!$Q$2:$Q$9,MATCH($A205,'Historical Data'!$BE$2:$BE$9,0)),"")</f>
        <v/>
      </c>
      <c r="N205" s="115" t="str">
        <f aca="false">IFERROR(INDEX('Historical Data'!$S$2:$S$9,MATCH($A205,'Historical Data'!$BE$2:$BE$9,0)),"")</f>
        <v/>
      </c>
      <c r="O205" s="114" t="str">
        <f aca="false">IFERROR(INDEX('Historical Data'!$AJ$2:$AJ$9,MATCH($A205,'Historical Data'!$BE$2:$BE$9,0)),"")</f>
        <v/>
      </c>
      <c r="P205" s="114" t="str">
        <f aca="false">IFERROR(INDEX('Historical Data'!$AK$2:$AK$9,MATCH($A205,'Historical Data'!$BE$2:$BE$9,0)),"")</f>
        <v/>
      </c>
      <c r="Q205" s="111" t="str">
        <f aca="false">IFERROR(INDEX('Historical Data'!$AA$2:$AA$9,MATCH($A205,'Historical Data'!$BE$2:$BE$9,0)),"")</f>
        <v/>
      </c>
      <c r="R205" s="111" t="str">
        <f aca="false">IFERROR(INDEX('Historical Data'!$AB$2:$AB$9,MATCH($A205,'Historical Data'!$BE$2:$BE$9,0)),"")</f>
        <v/>
      </c>
      <c r="S205" s="111" t="str">
        <f aca="false">IFERROR(INDEX('Historical Data'!$AN$2:$AN$9,MATCH($A205,'Historical Data'!$BE$2:$BE$9,0)),"")</f>
        <v/>
      </c>
      <c r="T205" s="111" t="str">
        <f aca="false">IFERROR(INDEX('Historical Data'!$AC$2:$AC$9,MATCH($A205,'Historical Data'!$BE$2:$BE$9,0)),"")</f>
        <v/>
      </c>
      <c r="U205" s="111" t="str">
        <f aca="false">IFERROR(INDEX('Historical Data'!$AE$2:$AE$9,MATCH($A205,'Historical Data'!$BE$2:$BE$9,0)),"")</f>
        <v/>
      </c>
      <c r="V205" s="111" t="str">
        <f aca="false">IFERROR(INDEX('Historical Data'!$AH$2:$AH$9,MATCH($A205,'Historical Data'!$BE$2:$BE$9,0)),"")</f>
        <v/>
      </c>
      <c r="W205" s="111" t="str">
        <f aca="false">IFERROR(INDEX('Historical Data'!$BC$2:$BC$9,MATCH($A205,'Historical Data'!$BE$2:$BE$9,0)),"")</f>
        <v/>
      </c>
      <c r="X205" s="110" t="str">
        <f aca="false">IF(B205="","",IF(W205=1,"NR + industry + position",IF(W205=2,"NR + ISO + position",IF(W205=3,"NR + industry",IF(W205=4,"NR + ISO",IF(W205=5,"NR + position",IF(W205=6,"NR only","book baseline"))))))&amp;"  ["&amp;IF(T205=1,"seasoned","unseasoned")&amp;IF(U205=1,", defaulted","")&amp;IF(V205=1,", open","")&amp;"]")</f>
        <v/>
      </c>
    </row>
    <row r="206" customFormat="false" ht="15" hidden="false" customHeight="false" outlineLevel="0" collapsed="false">
      <c r="A206" s="110" t="n">
        <v>202</v>
      </c>
      <c r="B206" s="111" t="str">
        <f aca="false">IFERROR(INDEX('Historical Data'!$A$2:$A$9,MATCH($A206,'Historical Data'!$BE$2:$BE$9,0)),"")</f>
        <v/>
      </c>
      <c r="C206" s="111" t="str">
        <f aca="false">IFERROR(INDEX('Historical Data'!$B$2:$B$9,MATCH($A206,'Historical Data'!$BE$2:$BE$9,0)),"")</f>
        <v/>
      </c>
      <c r="D206" s="111" t="str">
        <f aca="false">IFERROR(INDEX('Historical Data'!$D$2:$D$9,MATCH($A206,'Historical Data'!$BE$2:$BE$9,0)),"")</f>
        <v/>
      </c>
      <c r="E206" s="112" t="str">
        <f aca="false">IFERROR(INDEX('Historical Data'!$E$2:$E$9,MATCH($A206,'Historical Data'!$BE$2:$BE$9,0)),"")</f>
        <v/>
      </c>
      <c r="F206" s="111" t="str">
        <f aca="false">IFERROR(INDEX('Historical Data'!$G$2:$G$9,MATCH($A206,'Historical Data'!$BE$2:$BE$9,0)),"")</f>
        <v/>
      </c>
      <c r="G206" s="111" t="str">
        <f aca="false">IFERROR(INDEX('Historical Data'!$Y$2:$Y$9,MATCH($A206,'Historical Data'!$BE$2:$BE$9,0)),"")</f>
        <v/>
      </c>
      <c r="H206" s="111" t="str">
        <f aca="false">IFERROR(INDEX('Historical Data'!$K$2:$K$9,MATCH($A206,'Historical Data'!$BE$2:$BE$9,0)),"")</f>
        <v/>
      </c>
      <c r="I206" s="111" t="str">
        <f aca="false">IFERROR(INDEX('Historical Data'!$J$2:$J$9,MATCH($A206,'Historical Data'!$BE$2:$BE$9,0)),"")</f>
        <v/>
      </c>
      <c r="J206" s="111" t="str">
        <f aca="false">IFERROR(INDEX('Historical Data'!$L$2:$L$9,MATCH($A206,'Historical Data'!$BE$2:$BE$9,0)),"")</f>
        <v/>
      </c>
      <c r="K206" s="113" t="str">
        <f aca="false">IFERROR(INDEX('Historical Data'!$M$2:$M$9,MATCH($A206,'Historical Data'!$BE$2:$BE$9,0)),"")</f>
        <v/>
      </c>
      <c r="L206" s="114" t="str">
        <f aca="false">IFERROR(INDEX('Historical Data'!$N$2:$N$9,MATCH($A206,'Historical Data'!$BE$2:$BE$9,0)),"")</f>
        <v/>
      </c>
      <c r="M206" s="114" t="str">
        <f aca="false">IFERROR(INDEX('Historical Data'!$Q$2:$Q$9,MATCH($A206,'Historical Data'!$BE$2:$BE$9,0)),"")</f>
        <v/>
      </c>
      <c r="N206" s="115" t="str">
        <f aca="false">IFERROR(INDEX('Historical Data'!$S$2:$S$9,MATCH($A206,'Historical Data'!$BE$2:$BE$9,0)),"")</f>
        <v/>
      </c>
      <c r="O206" s="114" t="str">
        <f aca="false">IFERROR(INDEX('Historical Data'!$AJ$2:$AJ$9,MATCH($A206,'Historical Data'!$BE$2:$BE$9,0)),"")</f>
        <v/>
      </c>
      <c r="P206" s="114" t="str">
        <f aca="false">IFERROR(INDEX('Historical Data'!$AK$2:$AK$9,MATCH($A206,'Historical Data'!$BE$2:$BE$9,0)),"")</f>
        <v/>
      </c>
      <c r="Q206" s="111" t="str">
        <f aca="false">IFERROR(INDEX('Historical Data'!$AA$2:$AA$9,MATCH($A206,'Historical Data'!$BE$2:$BE$9,0)),"")</f>
        <v/>
      </c>
      <c r="R206" s="111" t="str">
        <f aca="false">IFERROR(INDEX('Historical Data'!$AB$2:$AB$9,MATCH($A206,'Historical Data'!$BE$2:$BE$9,0)),"")</f>
        <v/>
      </c>
      <c r="S206" s="111" t="str">
        <f aca="false">IFERROR(INDEX('Historical Data'!$AN$2:$AN$9,MATCH($A206,'Historical Data'!$BE$2:$BE$9,0)),"")</f>
        <v/>
      </c>
      <c r="T206" s="111" t="str">
        <f aca="false">IFERROR(INDEX('Historical Data'!$AC$2:$AC$9,MATCH($A206,'Historical Data'!$BE$2:$BE$9,0)),"")</f>
        <v/>
      </c>
      <c r="U206" s="111" t="str">
        <f aca="false">IFERROR(INDEX('Historical Data'!$AE$2:$AE$9,MATCH($A206,'Historical Data'!$BE$2:$BE$9,0)),"")</f>
        <v/>
      </c>
      <c r="V206" s="111" t="str">
        <f aca="false">IFERROR(INDEX('Historical Data'!$AH$2:$AH$9,MATCH($A206,'Historical Data'!$BE$2:$BE$9,0)),"")</f>
        <v/>
      </c>
      <c r="W206" s="111" t="str">
        <f aca="false">IFERROR(INDEX('Historical Data'!$BC$2:$BC$9,MATCH($A206,'Historical Data'!$BE$2:$BE$9,0)),"")</f>
        <v/>
      </c>
      <c r="X206" s="110" t="str">
        <f aca="false">IF(B206="","",IF(W206=1,"NR + industry + position",IF(W206=2,"NR + ISO + position",IF(W206=3,"NR + industry",IF(W206=4,"NR + ISO",IF(W206=5,"NR + position",IF(W206=6,"NR only","book baseline"))))))&amp;"  ["&amp;IF(T206=1,"seasoned","unseasoned")&amp;IF(U206=1,", defaulted","")&amp;IF(V206=1,", open","")&amp;"]")</f>
        <v/>
      </c>
    </row>
    <row r="207" customFormat="false" ht="15" hidden="false" customHeight="false" outlineLevel="0" collapsed="false">
      <c r="A207" s="110" t="n">
        <v>203</v>
      </c>
      <c r="B207" s="111" t="str">
        <f aca="false">IFERROR(INDEX('Historical Data'!$A$2:$A$9,MATCH($A207,'Historical Data'!$BE$2:$BE$9,0)),"")</f>
        <v/>
      </c>
      <c r="C207" s="111" t="str">
        <f aca="false">IFERROR(INDEX('Historical Data'!$B$2:$B$9,MATCH($A207,'Historical Data'!$BE$2:$BE$9,0)),"")</f>
        <v/>
      </c>
      <c r="D207" s="111" t="str">
        <f aca="false">IFERROR(INDEX('Historical Data'!$D$2:$D$9,MATCH($A207,'Historical Data'!$BE$2:$BE$9,0)),"")</f>
        <v/>
      </c>
      <c r="E207" s="112" t="str">
        <f aca="false">IFERROR(INDEX('Historical Data'!$E$2:$E$9,MATCH($A207,'Historical Data'!$BE$2:$BE$9,0)),"")</f>
        <v/>
      </c>
      <c r="F207" s="111" t="str">
        <f aca="false">IFERROR(INDEX('Historical Data'!$G$2:$G$9,MATCH($A207,'Historical Data'!$BE$2:$BE$9,0)),"")</f>
        <v/>
      </c>
      <c r="G207" s="111" t="str">
        <f aca="false">IFERROR(INDEX('Historical Data'!$Y$2:$Y$9,MATCH($A207,'Historical Data'!$BE$2:$BE$9,0)),"")</f>
        <v/>
      </c>
      <c r="H207" s="111" t="str">
        <f aca="false">IFERROR(INDEX('Historical Data'!$K$2:$K$9,MATCH($A207,'Historical Data'!$BE$2:$BE$9,0)),"")</f>
        <v/>
      </c>
      <c r="I207" s="111" t="str">
        <f aca="false">IFERROR(INDEX('Historical Data'!$J$2:$J$9,MATCH($A207,'Historical Data'!$BE$2:$BE$9,0)),"")</f>
        <v/>
      </c>
      <c r="J207" s="111" t="str">
        <f aca="false">IFERROR(INDEX('Historical Data'!$L$2:$L$9,MATCH($A207,'Historical Data'!$BE$2:$BE$9,0)),"")</f>
        <v/>
      </c>
      <c r="K207" s="113" t="str">
        <f aca="false">IFERROR(INDEX('Historical Data'!$M$2:$M$9,MATCH($A207,'Historical Data'!$BE$2:$BE$9,0)),"")</f>
        <v/>
      </c>
      <c r="L207" s="114" t="str">
        <f aca="false">IFERROR(INDEX('Historical Data'!$N$2:$N$9,MATCH($A207,'Historical Data'!$BE$2:$BE$9,0)),"")</f>
        <v/>
      </c>
      <c r="M207" s="114" t="str">
        <f aca="false">IFERROR(INDEX('Historical Data'!$Q$2:$Q$9,MATCH($A207,'Historical Data'!$BE$2:$BE$9,0)),"")</f>
        <v/>
      </c>
      <c r="N207" s="115" t="str">
        <f aca="false">IFERROR(INDEX('Historical Data'!$S$2:$S$9,MATCH($A207,'Historical Data'!$BE$2:$BE$9,0)),"")</f>
        <v/>
      </c>
      <c r="O207" s="114" t="str">
        <f aca="false">IFERROR(INDEX('Historical Data'!$AJ$2:$AJ$9,MATCH($A207,'Historical Data'!$BE$2:$BE$9,0)),"")</f>
        <v/>
      </c>
      <c r="P207" s="114" t="str">
        <f aca="false">IFERROR(INDEX('Historical Data'!$AK$2:$AK$9,MATCH($A207,'Historical Data'!$BE$2:$BE$9,0)),"")</f>
        <v/>
      </c>
      <c r="Q207" s="111" t="str">
        <f aca="false">IFERROR(INDEX('Historical Data'!$AA$2:$AA$9,MATCH($A207,'Historical Data'!$BE$2:$BE$9,0)),"")</f>
        <v/>
      </c>
      <c r="R207" s="111" t="str">
        <f aca="false">IFERROR(INDEX('Historical Data'!$AB$2:$AB$9,MATCH($A207,'Historical Data'!$BE$2:$BE$9,0)),"")</f>
        <v/>
      </c>
      <c r="S207" s="111" t="str">
        <f aca="false">IFERROR(INDEX('Historical Data'!$AN$2:$AN$9,MATCH($A207,'Historical Data'!$BE$2:$BE$9,0)),"")</f>
        <v/>
      </c>
      <c r="T207" s="111" t="str">
        <f aca="false">IFERROR(INDEX('Historical Data'!$AC$2:$AC$9,MATCH($A207,'Historical Data'!$BE$2:$BE$9,0)),"")</f>
        <v/>
      </c>
      <c r="U207" s="111" t="str">
        <f aca="false">IFERROR(INDEX('Historical Data'!$AE$2:$AE$9,MATCH($A207,'Historical Data'!$BE$2:$BE$9,0)),"")</f>
        <v/>
      </c>
      <c r="V207" s="111" t="str">
        <f aca="false">IFERROR(INDEX('Historical Data'!$AH$2:$AH$9,MATCH($A207,'Historical Data'!$BE$2:$BE$9,0)),"")</f>
        <v/>
      </c>
      <c r="W207" s="111" t="str">
        <f aca="false">IFERROR(INDEX('Historical Data'!$BC$2:$BC$9,MATCH($A207,'Historical Data'!$BE$2:$BE$9,0)),"")</f>
        <v/>
      </c>
      <c r="X207" s="110" t="str">
        <f aca="false">IF(B207="","",IF(W207=1,"NR + industry + position",IF(W207=2,"NR + ISO + position",IF(W207=3,"NR + industry",IF(W207=4,"NR + ISO",IF(W207=5,"NR + position",IF(W207=6,"NR only","book baseline"))))))&amp;"  ["&amp;IF(T207=1,"seasoned","unseasoned")&amp;IF(U207=1,", defaulted","")&amp;IF(V207=1,", open","")&amp;"]")</f>
        <v/>
      </c>
    </row>
    <row r="208" customFormat="false" ht="15" hidden="false" customHeight="false" outlineLevel="0" collapsed="false">
      <c r="A208" s="110" t="n">
        <v>204</v>
      </c>
      <c r="B208" s="111" t="str">
        <f aca="false">IFERROR(INDEX('Historical Data'!$A$2:$A$9,MATCH($A208,'Historical Data'!$BE$2:$BE$9,0)),"")</f>
        <v/>
      </c>
      <c r="C208" s="111" t="str">
        <f aca="false">IFERROR(INDEX('Historical Data'!$B$2:$B$9,MATCH($A208,'Historical Data'!$BE$2:$BE$9,0)),"")</f>
        <v/>
      </c>
      <c r="D208" s="111" t="str">
        <f aca="false">IFERROR(INDEX('Historical Data'!$D$2:$D$9,MATCH($A208,'Historical Data'!$BE$2:$BE$9,0)),"")</f>
        <v/>
      </c>
      <c r="E208" s="112" t="str">
        <f aca="false">IFERROR(INDEX('Historical Data'!$E$2:$E$9,MATCH($A208,'Historical Data'!$BE$2:$BE$9,0)),"")</f>
        <v/>
      </c>
      <c r="F208" s="111" t="str">
        <f aca="false">IFERROR(INDEX('Historical Data'!$G$2:$G$9,MATCH($A208,'Historical Data'!$BE$2:$BE$9,0)),"")</f>
        <v/>
      </c>
      <c r="G208" s="111" t="str">
        <f aca="false">IFERROR(INDEX('Historical Data'!$Y$2:$Y$9,MATCH($A208,'Historical Data'!$BE$2:$BE$9,0)),"")</f>
        <v/>
      </c>
      <c r="H208" s="111" t="str">
        <f aca="false">IFERROR(INDEX('Historical Data'!$K$2:$K$9,MATCH($A208,'Historical Data'!$BE$2:$BE$9,0)),"")</f>
        <v/>
      </c>
      <c r="I208" s="111" t="str">
        <f aca="false">IFERROR(INDEX('Historical Data'!$J$2:$J$9,MATCH($A208,'Historical Data'!$BE$2:$BE$9,0)),"")</f>
        <v/>
      </c>
      <c r="J208" s="111" t="str">
        <f aca="false">IFERROR(INDEX('Historical Data'!$L$2:$L$9,MATCH($A208,'Historical Data'!$BE$2:$BE$9,0)),"")</f>
        <v/>
      </c>
      <c r="K208" s="113" t="str">
        <f aca="false">IFERROR(INDEX('Historical Data'!$M$2:$M$9,MATCH($A208,'Historical Data'!$BE$2:$BE$9,0)),"")</f>
        <v/>
      </c>
      <c r="L208" s="114" t="str">
        <f aca="false">IFERROR(INDEX('Historical Data'!$N$2:$N$9,MATCH($A208,'Historical Data'!$BE$2:$BE$9,0)),"")</f>
        <v/>
      </c>
      <c r="M208" s="114" t="str">
        <f aca="false">IFERROR(INDEX('Historical Data'!$Q$2:$Q$9,MATCH($A208,'Historical Data'!$BE$2:$BE$9,0)),"")</f>
        <v/>
      </c>
      <c r="N208" s="115" t="str">
        <f aca="false">IFERROR(INDEX('Historical Data'!$S$2:$S$9,MATCH($A208,'Historical Data'!$BE$2:$BE$9,0)),"")</f>
        <v/>
      </c>
      <c r="O208" s="114" t="str">
        <f aca="false">IFERROR(INDEX('Historical Data'!$AJ$2:$AJ$9,MATCH($A208,'Historical Data'!$BE$2:$BE$9,0)),"")</f>
        <v/>
      </c>
      <c r="P208" s="114" t="str">
        <f aca="false">IFERROR(INDEX('Historical Data'!$AK$2:$AK$9,MATCH($A208,'Historical Data'!$BE$2:$BE$9,0)),"")</f>
        <v/>
      </c>
      <c r="Q208" s="111" t="str">
        <f aca="false">IFERROR(INDEX('Historical Data'!$AA$2:$AA$9,MATCH($A208,'Historical Data'!$BE$2:$BE$9,0)),"")</f>
        <v/>
      </c>
      <c r="R208" s="111" t="str">
        <f aca="false">IFERROR(INDEX('Historical Data'!$AB$2:$AB$9,MATCH($A208,'Historical Data'!$BE$2:$BE$9,0)),"")</f>
        <v/>
      </c>
      <c r="S208" s="111" t="str">
        <f aca="false">IFERROR(INDEX('Historical Data'!$AN$2:$AN$9,MATCH($A208,'Historical Data'!$BE$2:$BE$9,0)),"")</f>
        <v/>
      </c>
      <c r="T208" s="111" t="str">
        <f aca="false">IFERROR(INDEX('Historical Data'!$AC$2:$AC$9,MATCH($A208,'Historical Data'!$BE$2:$BE$9,0)),"")</f>
        <v/>
      </c>
      <c r="U208" s="111" t="str">
        <f aca="false">IFERROR(INDEX('Historical Data'!$AE$2:$AE$9,MATCH($A208,'Historical Data'!$BE$2:$BE$9,0)),"")</f>
        <v/>
      </c>
      <c r="V208" s="111" t="str">
        <f aca="false">IFERROR(INDEX('Historical Data'!$AH$2:$AH$9,MATCH($A208,'Historical Data'!$BE$2:$BE$9,0)),"")</f>
        <v/>
      </c>
      <c r="W208" s="111" t="str">
        <f aca="false">IFERROR(INDEX('Historical Data'!$BC$2:$BC$9,MATCH($A208,'Historical Data'!$BE$2:$BE$9,0)),"")</f>
        <v/>
      </c>
      <c r="X208" s="110" t="str">
        <f aca="false">IF(B208="","",IF(W208=1,"NR + industry + position",IF(W208=2,"NR + ISO + position",IF(W208=3,"NR + industry",IF(W208=4,"NR + ISO",IF(W208=5,"NR + position",IF(W208=6,"NR only","book baseline"))))))&amp;"  ["&amp;IF(T208=1,"seasoned","unseasoned")&amp;IF(U208=1,", defaulted","")&amp;IF(V208=1,", open","")&amp;"]")</f>
        <v/>
      </c>
    </row>
    <row r="209" customFormat="false" ht="15" hidden="false" customHeight="false" outlineLevel="0" collapsed="false">
      <c r="A209" s="110" t="n">
        <v>205</v>
      </c>
      <c r="B209" s="111" t="str">
        <f aca="false">IFERROR(INDEX('Historical Data'!$A$2:$A$9,MATCH($A209,'Historical Data'!$BE$2:$BE$9,0)),"")</f>
        <v/>
      </c>
      <c r="C209" s="111" t="str">
        <f aca="false">IFERROR(INDEX('Historical Data'!$B$2:$B$9,MATCH($A209,'Historical Data'!$BE$2:$BE$9,0)),"")</f>
        <v/>
      </c>
      <c r="D209" s="111" t="str">
        <f aca="false">IFERROR(INDEX('Historical Data'!$D$2:$D$9,MATCH($A209,'Historical Data'!$BE$2:$BE$9,0)),"")</f>
        <v/>
      </c>
      <c r="E209" s="112" t="str">
        <f aca="false">IFERROR(INDEX('Historical Data'!$E$2:$E$9,MATCH($A209,'Historical Data'!$BE$2:$BE$9,0)),"")</f>
        <v/>
      </c>
      <c r="F209" s="111" t="str">
        <f aca="false">IFERROR(INDEX('Historical Data'!$G$2:$G$9,MATCH($A209,'Historical Data'!$BE$2:$BE$9,0)),"")</f>
        <v/>
      </c>
      <c r="G209" s="111" t="str">
        <f aca="false">IFERROR(INDEX('Historical Data'!$Y$2:$Y$9,MATCH($A209,'Historical Data'!$BE$2:$BE$9,0)),"")</f>
        <v/>
      </c>
      <c r="H209" s="111" t="str">
        <f aca="false">IFERROR(INDEX('Historical Data'!$K$2:$K$9,MATCH($A209,'Historical Data'!$BE$2:$BE$9,0)),"")</f>
        <v/>
      </c>
      <c r="I209" s="111" t="str">
        <f aca="false">IFERROR(INDEX('Historical Data'!$J$2:$J$9,MATCH($A209,'Historical Data'!$BE$2:$BE$9,0)),"")</f>
        <v/>
      </c>
      <c r="J209" s="111" t="str">
        <f aca="false">IFERROR(INDEX('Historical Data'!$L$2:$L$9,MATCH($A209,'Historical Data'!$BE$2:$BE$9,0)),"")</f>
        <v/>
      </c>
      <c r="K209" s="113" t="str">
        <f aca="false">IFERROR(INDEX('Historical Data'!$M$2:$M$9,MATCH($A209,'Historical Data'!$BE$2:$BE$9,0)),"")</f>
        <v/>
      </c>
      <c r="L209" s="114" t="str">
        <f aca="false">IFERROR(INDEX('Historical Data'!$N$2:$N$9,MATCH($A209,'Historical Data'!$BE$2:$BE$9,0)),"")</f>
        <v/>
      </c>
      <c r="M209" s="114" t="str">
        <f aca="false">IFERROR(INDEX('Historical Data'!$Q$2:$Q$9,MATCH($A209,'Historical Data'!$BE$2:$BE$9,0)),"")</f>
        <v/>
      </c>
      <c r="N209" s="115" t="str">
        <f aca="false">IFERROR(INDEX('Historical Data'!$S$2:$S$9,MATCH($A209,'Historical Data'!$BE$2:$BE$9,0)),"")</f>
        <v/>
      </c>
      <c r="O209" s="114" t="str">
        <f aca="false">IFERROR(INDEX('Historical Data'!$AJ$2:$AJ$9,MATCH($A209,'Historical Data'!$BE$2:$BE$9,0)),"")</f>
        <v/>
      </c>
      <c r="P209" s="114" t="str">
        <f aca="false">IFERROR(INDEX('Historical Data'!$AK$2:$AK$9,MATCH($A209,'Historical Data'!$BE$2:$BE$9,0)),"")</f>
        <v/>
      </c>
      <c r="Q209" s="111" t="str">
        <f aca="false">IFERROR(INDEX('Historical Data'!$AA$2:$AA$9,MATCH($A209,'Historical Data'!$BE$2:$BE$9,0)),"")</f>
        <v/>
      </c>
      <c r="R209" s="111" t="str">
        <f aca="false">IFERROR(INDEX('Historical Data'!$AB$2:$AB$9,MATCH($A209,'Historical Data'!$BE$2:$BE$9,0)),"")</f>
        <v/>
      </c>
      <c r="S209" s="111" t="str">
        <f aca="false">IFERROR(INDEX('Historical Data'!$AN$2:$AN$9,MATCH($A209,'Historical Data'!$BE$2:$BE$9,0)),"")</f>
        <v/>
      </c>
      <c r="T209" s="111" t="str">
        <f aca="false">IFERROR(INDEX('Historical Data'!$AC$2:$AC$9,MATCH($A209,'Historical Data'!$BE$2:$BE$9,0)),"")</f>
        <v/>
      </c>
      <c r="U209" s="111" t="str">
        <f aca="false">IFERROR(INDEX('Historical Data'!$AE$2:$AE$9,MATCH($A209,'Historical Data'!$BE$2:$BE$9,0)),"")</f>
        <v/>
      </c>
      <c r="V209" s="111" t="str">
        <f aca="false">IFERROR(INDEX('Historical Data'!$AH$2:$AH$9,MATCH($A209,'Historical Data'!$BE$2:$BE$9,0)),"")</f>
        <v/>
      </c>
      <c r="W209" s="111" t="str">
        <f aca="false">IFERROR(INDEX('Historical Data'!$BC$2:$BC$9,MATCH($A209,'Historical Data'!$BE$2:$BE$9,0)),"")</f>
        <v/>
      </c>
      <c r="X209" s="110" t="str">
        <f aca="false">IF(B209="","",IF(W209=1,"NR + industry + position",IF(W209=2,"NR + ISO + position",IF(W209=3,"NR + industry",IF(W209=4,"NR + ISO",IF(W209=5,"NR + position",IF(W209=6,"NR only","book baseline"))))))&amp;"  ["&amp;IF(T209=1,"seasoned","unseasoned")&amp;IF(U209=1,", defaulted","")&amp;IF(V209=1,", open","")&amp;"]")</f>
        <v/>
      </c>
    </row>
    <row r="210" customFormat="false" ht="15" hidden="false" customHeight="false" outlineLevel="0" collapsed="false">
      <c r="A210" s="110" t="n">
        <v>206</v>
      </c>
      <c r="B210" s="111" t="str">
        <f aca="false">IFERROR(INDEX('Historical Data'!$A$2:$A$9,MATCH($A210,'Historical Data'!$BE$2:$BE$9,0)),"")</f>
        <v/>
      </c>
      <c r="C210" s="111" t="str">
        <f aca="false">IFERROR(INDEX('Historical Data'!$B$2:$B$9,MATCH($A210,'Historical Data'!$BE$2:$BE$9,0)),"")</f>
        <v/>
      </c>
      <c r="D210" s="111" t="str">
        <f aca="false">IFERROR(INDEX('Historical Data'!$D$2:$D$9,MATCH($A210,'Historical Data'!$BE$2:$BE$9,0)),"")</f>
        <v/>
      </c>
      <c r="E210" s="112" t="str">
        <f aca="false">IFERROR(INDEX('Historical Data'!$E$2:$E$9,MATCH($A210,'Historical Data'!$BE$2:$BE$9,0)),"")</f>
        <v/>
      </c>
      <c r="F210" s="111" t="str">
        <f aca="false">IFERROR(INDEX('Historical Data'!$G$2:$G$9,MATCH($A210,'Historical Data'!$BE$2:$BE$9,0)),"")</f>
        <v/>
      </c>
      <c r="G210" s="111" t="str">
        <f aca="false">IFERROR(INDEX('Historical Data'!$Y$2:$Y$9,MATCH($A210,'Historical Data'!$BE$2:$BE$9,0)),"")</f>
        <v/>
      </c>
      <c r="H210" s="111" t="str">
        <f aca="false">IFERROR(INDEX('Historical Data'!$K$2:$K$9,MATCH($A210,'Historical Data'!$BE$2:$BE$9,0)),"")</f>
        <v/>
      </c>
      <c r="I210" s="111" t="str">
        <f aca="false">IFERROR(INDEX('Historical Data'!$J$2:$J$9,MATCH($A210,'Historical Data'!$BE$2:$BE$9,0)),"")</f>
        <v/>
      </c>
      <c r="J210" s="111" t="str">
        <f aca="false">IFERROR(INDEX('Historical Data'!$L$2:$L$9,MATCH($A210,'Historical Data'!$BE$2:$BE$9,0)),"")</f>
        <v/>
      </c>
      <c r="K210" s="113" t="str">
        <f aca="false">IFERROR(INDEX('Historical Data'!$M$2:$M$9,MATCH($A210,'Historical Data'!$BE$2:$BE$9,0)),"")</f>
        <v/>
      </c>
      <c r="L210" s="114" t="str">
        <f aca="false">IFERROR(INDEX('Historical Data'!$N$2:$N$9,MATCH($A210,'Historical Data'!$BE$2:$BE$9,0)),"")</f>
        <v/>
      </c>
      <c r="M210" s="114" t="str">
        <f aca="false">IFERROR(INDEX('Historical Data'!$Q$2:$Q$9,MATCH($A210,'Historical Data'!$BE$2:$BE$9,0)),"")</f>
        <v/>
      </c>
      <c r="N210" s="115" t="str">
        <f aca="false">IFERROR(INDEX('Historical Data'!$S$2:$S$9,MATCH($A210,'Historical Data'!$BE$2:$BE$9,0)),"")</f>
        <v/>
      </c>
      <c r="O210" s="114" t="str">
        <f aca="false">IFERROR(INDEX('Historical Data'!$AJ$2:$AJ$9,MATCH($A210,'Historical Data'!$BE$2:$BE$9,0)),"")</f>
        <v/>
      </c>
      <c r="P210" s="114" t="str">
        <f aca="false">IFERROR(INDEX('Historical Data'!$AK$2:$AK$9,MATCH($A210,'Historical Data'!$BE$2:$BE$9,0)),"")</f>
        <v/>
      </c>
      <c r="Q210" s="111" t="str">
        <f aca="false">IFERROR(INDEX('Historical Data'!$AA$2:$AA$9,MATCH($A210,'Historical Data'!$BE$2:$BE$9,0)),"")</f>
        <v/>
      </c>
      <c r="R210" s="111" t="str">
        <f aca="false">IFERROR(INDEX('Historical Data'!$AB$2:$AB$9,MATCH($A210,'Historical Data'!$BE$2:$BE$9,0)),"")</f>
        <v/>
      </c>
      <c r="S210" s="111" t="str">
        <f aca="false">IFERROR(INDEX('Historical Data'!$AN$2:$AN$9,MATCH($A210,'Historical Data'!$BE$2:$BE$9,0)),"")</f>
        <v/>
      </c>
      <c r="T210" s="111" t="str">
        <f aca="false">IFERROR(INDEX('Historical Data'!$AC$2:$AC$9,MATCH($A210,'Historical Data'!$BE$2:$BE$9,0)),"")</f>
        <v/>
      </c>
      <c r="U210" s="111" t="str">
        <f aca="false">IFERROR(INDEX('Historical Data'!$AE$2:$AE$9,MATCH($A210,'Historical Data'!$BE$2:$BE$9,0)),"")</f>
        <v/>
      </c>
      <c r="V210" s="111" t="str">
        <f aca="false">IFERROR(INDEX('Historical Data'!$AH$2:$AH$9,MATCH($A210,'Historical Data'!$BE$2:$BE$9,0)),"")</f>
        <v/>
      </c>
      <c r="W210" s="111" t="str">
        <f aca="false">IFERROR(INDEX('Historical Data'!$BC$2:$BC$9,MATCH($A210,'Historical Data'!$BE$2:$BE$9,0)),"")</f>
        <v/>
      </c>
      <c r="X210" s="110" t="str">
        <f aca="false">IF(B210="","",IF(W210=1,"NR + industry + position",IF(W210=2,"NR + ISO + position",IF(W210=3,"NR + industry",IF(W210=4,"NR + ISO",IF(W210=5,"NR + position",IF(W210=6,"NR only","book baseline"))))))&amp;"  ["&amp;IF(T210=1,"seasoned","unseasoned")&amp;IF(U210=1,", defaulted","")&amp;IF(V210=1,", open","")&amp;"]")</f>
        <v/>
      </c>
    </row>
    <row r="211" customFormat="false" ht="15" hidden="false" customHeight="false" outlineLevel="0" collapsed="false">
      <c r="A211" s="110" t="n">
        <v>207</v>
      </c>
      <c r="B211" s="111" t="str">
        <f aca="false">IFERROR(INDEX('Historical Data'!$A$2:$A$9,MATCH($A211,'Historical Data'!$BE$2:$BE$9,0)),"")</f>
        <v/>
      </c>
      <c r="C211" s="111" t="str">
        <f aca="false">IFERROR(INDEX('Historical Data'!$B$2:$B$9,MATCH($A211,'Historical Data'!$BE$2:$BE$9,0)),"")</f>
        <v/>
      </c>
      <c r="D211" s="111" t="str">
        <f aca="false">IFERROR(INDEX('Historical Data'!$D$2:$D$9,MATCH($A211,'Historical Data'!$BE$2:$BE$9,0)),"")</f>
        <v/>
      </c>
      <c r="E211" s="112" t="str">
        <f aca="false">IFERROR(INDEX('Historical Data'!$E$2:$E$9,MATCH($A211,'Historical Data'!$BE$2:$BE$9,0)),"")</f>
        <v/>
      </c>
      <c r="F211" s="111" t="str">
        <f aca="false">IFERROR(INDEX('Historical Data'!$G$2:$G$9,MATCH($A211,'Historical Data'!$BE$2:$BE$9,0)),"")</f>
        <v/>
      </c>
      <c r="G211" s="111" t="str">
        <f aca="false">IFERROR(INDEX('Historical Data'!$Y$2:$Y$9,MATCH($A211,'Historical Data'!$BE$2:$BE$9,0)),"")</f>
        <v/>
      </c>
      <c r="H211" s="111" t="str">
        <f aca="false">IFERROR(INDEX('Historical Data'!$K$2:$K$9,MATCH($A211,'Historical Data'!$BE$2:$BE$9,0)),"")</f>
        <v/>
      </c>
      <c r="I211" s="111" t="str">
        <f aca="false">IFERROR(INDEX('Historical Data'!$J$2:$J$9,MATCH($A211,'Historical Data'!$BE$2:$BE$9,0)),"")</f>
        <v/>
      </c>
      <c r="J211" s="111" t="str">
        <f aca="false">IFERROR(INDEX('Historical Data'!$L$2:$L$9,MATCH($A211,'Historical Data'!$BE$2:$BE$9,0)),"")</f>
        <v/>
      </c>
      <c r="K211" s="113" t="str">
        <f aca="false">IFERROR(INDEX('Historical Data'!$M$2:$M$9,MATCH($A211,'Historical Data'!$BE$2:$BE$9,0)),"")</f>
        <v/>
      </c>
      <c r="L211" s="114" t="str">
        <f aca="false">IFERROR(INDEX('Historical Data'!$N$2:$N$9,MATCH($A211,'Historical Data'!$BE$2:$BE$9,0)),"")</f>
        <v/>
      </c>
      <c r="M211" s="114" t="str">
        <f aca="false">IFERROR(INDEX('Historical Data'!$Q$2:$Q$9,MATCH($A211,'Historical Data'!$BE$2:$BE$9,0)),"")</f>
        <v/>
      </c>
      <c r="N211" s="115" t="str">
        <f aca="false">IFERROR(INDEX('Historical Data'!$S$2:$S$9,MATCH($A211,'Historical Data'!$BE$2:$BE$9,0)),"")</f>
        <v/>
      </c>
      <c r="O211" s="114" t="str">
        <f aca="false">IFERROR(INDEX('Historical Data'!$AJ$2:$AJ$9,MATCH($A211,'Historical Data'!$BE$2:$BE$9,0)),"")</f>
        <v/>
      </c>
      <c r="P211" s="114" t="str">
        <f aca="false">IFERROR(INDEX('Historical Data'!$AK$2:$AK$9,MATCH($A211,'Historical Data'!$BE$2:$BE$9,0)),"")</f>
        <v/>
      </c>
      <c r="Q211" s="111" t="str">
        <f aca="false">IFERROR(INDEX('Historical Data'!$AA$2:$AA$9,MATCH($A211,'Historical Data'!$BE$2:$BE$9,0)),"")</f>
        <v/>
      </c>
      <c r="R211" s="111" t="str">
        <f aca="false">IFERROR(INDEX('Historical Data'!$AB$2:$AB$9,MATCH($A211,'Historical Data'!$BE$2:$BE$9,0)),"")</f>
        <v/>
      </c>
      <c r="S211" s="111" t="str">
        <f aca="false">IFERROR(INDEX('Historical Data'!$AN$2:$AN$9,MATCH($A211,'Historical Data'!$BE$2:$BE$9,0)),"")</f>
        <v/>
      </c>
      <c r="T211" s="111" t="str">
        <f aca="false">IFERROR(INDEX('Historical Data'!$AC$2:$AC$9,MATCH($A211,'Historical Data'!$BE$2:$BE$9,0)),"")</f>
        <v/>
      </c>
      <c r="U211" s="111" t="str">
        <f aca="false">IFERROR(INDEX('Historical Data'!$AE$2:$AE$9,MATCH($A211,'Historical Data'!$BE$2:$BE$9,0)),"")</f>
        <v/>
      </c>
      <c r="V211" s="111" t="str">
        <f aca="false">IFERROR(INDEX('Historical Data'!$AH$2:$AH$9,MATCH($A211,'Historical Data'!$BE$2:$BE$9,0)),"")</f>
        <v/>
      </c>
      <c r="W211" s="111" t="str">
        <f aca="false">IFERROR(INDEX('Historical Data'!$BC$2:$BC$9,MATCH($A211,'Historical Data'!$BE$2:$BE$9,0)),"")</f>
        <v/>
      </c>
      <c r="X211" s="110" t="str">
        <f aca="false">IF(B211="","",IF(W211=1,"NR + industry + position",IF(W211=2,"NR + ISO + position",IF(W211=3,"NR + industry",IF(W211=4,"NR + ISO",IF(W211=5,"NR + position",IF(W211=6,"NR only","book baseline"))))))&amp;"  ["&amp;IF(T211=1,"seasoned","unseasoned")&amp;IF(U211=1,", defaulted","")&amp;IF(V211=1,", open","")&amp;"]")</f>
        <v/>
      </c>
    </row>
    <row r="212" customFormat="false" ht="15" hidden="false" customHeight="false" outlineLevel="0" collapsed="false">
      <c r="A212" s="110" t="n">
        <v>208</v>
      </c>
      <c r="B212" s="111" t="str">
        <f aca="false">IFERROR(INDEX('Historical Data'!$A$2:$A$9,MATCH($A212,'Historical Data'!$BE$2:$BE$9,0)),"")</f>
        <v/>
      </c>
      <c r="C212" s="111" t="str">
        <f aca="false">IFERROR(INDEX('Historical Data'!$B$2:$B$9,MATCH($A212,'Historical Data'!$BE$2:$BE$9,0)),"")</f>
        <v/>
      </c>
      <c r="D212" s="111" t="str">
        <f aca="false">IFERROR(INDEX('Historical Data'!$D$2:$D$9,MATCH($A212,'Historical Data'!$BE$2:$BE$9,0)),"")</f>
        <v/>
      </c>
      <c r="E212" s="112" t="str">
        <f aca="false">IFERROR(INDEX('Historical Data'!$E$2:$E$9,MATCH($A212,'Historical Data'!$BE$2:$BE$9,0)),"")</f>
        <v/>
      </c>
      <c r="F212" s="111" t="str">
        <f aca="false">IFERROR(INDEX('Historical Data'!$G$2:$G$9,MATCH($A212,'Historical Data'!$BE$2:$BE$9,0)),"")</f>
        <v/>
      </c>
      <c r="G212" s="111" t="str">
        <f aca="false">IFERROR(INDEX('Historical Data'!$Y$2:$Y$9,MATCH($A212,'Historical Data'!$BE$2:$BE$9,0)),"")</f>
        <v/>
      </c>
      <c r="H212" s="111" t="str">
        <f aca="false">IFERROR(INDEX('Historical Data'!$K$2:$K$9,MATCH($A212,'Historical Data'!$BE$2:$BE$9,0)),"")</f>
        <v/>
      </c>
      <c r="I212" s="111" t="str">
        <f aca="false">IFERROR(INDEX('Historical Data'!$J$2:$J$9,MATCH($A212,'Historical Data'!$BE$2:$BE$9,0)),"")</f>
        <v/>
      </c>
      <c r="J212" s="111" t="str">
        <f aca="false">IFERROR(INDEX('Historical Data'!$L$2:$L$9,MATCH($A212,'Historical Data'!$BE$2:$BE$9,0)),"")</f>
        <v/>
      </c>
      <c r="K212" s="113" t="str">
        <f aca="false">IFERROR(INDEX('Historical Data'!$M$2:$M$9,MATCH($A212,'Historical Data'!$BE$2:$BE$9,0)),"")</f>
        <v/>
      </c>
      <c r="L212" s="114" t="str">
        <f aca="false">IFERROR(INDEX('Historical Data'!$N$2:$N$9,MATCH($A212,'Historical Data'!$BE$2:$BE$9,0)),"")</f>
        <v/>
      </c>
      <c r="M212" s="114" t="str">
        <f aca="false">IFERROR(INDEX('Historical Data'!$Q$2:$Q$9,MATCH($A212,'Historical Data'!$BE$2:$BE$9,0)),"")</f>
        <v/>
      </c>
      <c r="N212" s="115" t="str">
        <f aca="false">IFERROR(INDEX('Historical Data'!$S$2:$S$9,MATCH($A212,'Historical Data'!$BE$2:$BE$9,0)),"")</f>
        <v/>
      </c>
      <c r="O212" s="114" t="str">
        <f aca="false">IFERROR(INDEX('Historical Data'!$AJ$2:$AJ$9,MATCH($A212,'Historical Data'!$BE$2:$BE$9,0)),"")</f>
        <v/>
      </c>
      <c r="P212" s="114" t="str">
        <f aca="false">IFERROR(INDEX('Historical Data'!$AK$2:$AK$9,MATCH($A212,'Historical Data'!$BE$2:$BE$9,0)),"")</f>
        <v/>
      </c>
      <c r="Q212" s="111" t="str">
        <f aca="false">IFERROR(INDEX('Historical Data'!$AA$2:$AA$9,MATCH($A212,'Historical Data'!$BE$2:$BE$9,0)),"")</f>
        <v/>
      </c>
      <c r="R212" s="111" t="str">
        <f aca="false">IFERROR(INDEX('Historical Data'!$AB$2:$AB$9,MATCH($A212,'Historical Data'!$BE$2:$BE$9,0)),"")</f>
        <v/>
      </c>
      <c r="S212" s="111" t="str">
        <f aca="false">IFERROR(INDEX('Historical Data'!$AN$2:$AN$9,MATCH($A212,'Historical Data'!$BE$2:$BE$9,0)),"")</f>
        <v/>
      </c>
      <c r="T212" s="111" t="str">
        <f aca="false">IFERROR(INDEX('Historical Data'!$AC$2:$AC$9,MATCH($A212,'Historical Data'!$BE$2:$BE$9,0)),"")</f>
        <v/>
      </c>
      <c r="U212" s="111" t="str">
        <f aca="false">IFERROR(INDEX('Historical Data'!$AE$2:$AE$9,MATCH($A212,'Historical Data'!$BE$2:$BE$9,0)),"")</f>
        <v/>
      </c>
      <c r="V212" s="111" t="str">
        <f aca="false">IFERROR(INDEX('Historical Data'!$AH$2:$AH$9,MATCH($A212,'Historical Data'!$BE$2:$BE$9,0)),"")</f>
        <v/>
      </c>
      <c r="W212" s="111" t="str">
        <f aca="false">IFERROR(INDEX('Historical Data'!$BC$2:$BC$9,MATCH($A212,'Historical Data'!$BE$2:$BE$9,0)),"")</f>
        <v/>
      </c>
      <c r="X212" s="110" t="str">
        <f aca="false">IF(B212="","",IF(W212=1,"NR + industry + position",IF(W212=2,"NR + ISO + position",IF(W212=3,"NR + industry",IF(W212=4,"NR + ISO",IF(W212=5,"NR + position",IF(W212=6,"NR only","book baseline"))))))&amp;"  ["&amp;IF(T212=1,"seasoned","unseasoned")&amp;IF(U212=1,", defaulted","")&amp;IF(V212=1,", open","")&amp;"]")</f>
        <v/>
      </c>
    </row>
    <row r="213" customFormat="false" ht="15" hidden="false" customHeight="false" outlineLevel="0" collapsed="false">
      <c r="A213" s="110" t="n">
        <v>209</v>
      </c>
      <c r="B213" s="111" t="str">
        <f aca="false">IFERROR(INDEX('Historical Data'!$A$2:$A$9,MATCH($A213,'Historical Data'!$BE$2:$BE$9,0)),"")</f>
        <v/>
      </c>
      <c r="C213" s="111" t="str">
        <f aca="false">IFERROR(INDEX('Historical Data'!$B$2:$B$9,MATCH($A213,'Historical Data'!$BE$2:$BE$9,0)),"")</f>
        <v/>
      </c>
      <c r="D213" s="111" t="str">
        <f aca="false">IFERROR(INDEX('Historical Data'!$D$2:$D$9,MATCH($A213,'Historical Data'!$BE$2:$BE$9,0)),"")</f>
        <v/>
      </c>
      <c r="E213" s="112" t="str">
        <f aca="false">IFERROR(INDEX('Historical Data'!$E$2:$E$9,MATCH($A213,'Historical Data'!$BE$2:$BE$9,0)),"")</f>
        <v/>
      </c>
      <c r="F213" s="111" t="str">
        <f aca="false">IFERROR(INDEX('Historical Data'!$G$2:$G$9,MATCH($A213,'Historical Data'!$BE$2:$BE$9,0)),"")</f>
        <v/>
      </c>
      <c r="G213" s="111" t="str">
        <f aca="false">IFERROR(INDEX('Historical Data'!$Y$2:$Y$9,MATCH($A213,'Historical Data'!$BE$2:$BE$9,0)),"")</f>
        <v/>
      </c>
      <c r="H213" s="111" t="str">
        <f aca="false">IFERROR(INDEX('Historical Data'!$K$2:$K$9,MATCH($A213,'Historical Data'!$BE$2:$BE$9,0)),"")</f>
        <v/>
      </c>
      <c r="I213" s="111" t="str">
        <f aca="false">IFERROR(INDEX('Historical Data'!$J$2:$J$9,MATCH($A213,'Historical Data'!$BE$2:$BE$9,0)),"")</f>
        <v/>
      </c>
      <c r="J213" s="111" t="str">
        <f aca="false">IFERROR(INDEX('Historical Data'!$L$2:$L$9,MATCH($A213,'Historical Data'!$BE$2:$BE$9,0)),"")</f>
        <v/>
      </c>
      <c r="K213" s="113" t="str">
        <f aca="false">IFERROR(INDEX('Historical Data'!$M$2:$M$9,MATCH($A213,'Historical Data'!$BE$2:$BE$9,0)),"")</f>
        <v/>
      </c>
      <c r="L213" s="114" t="str">
        <f aca="false">IFERROR(INDEX('Historical Data'!$N$2:$N$9,MATCH($A213,'Historical Data'!$BE$2:$BE$9,0)),"")</f>
        <v/>
      </c>
      <c r="M213" s="114" t="str">
        <f aca="false">IFERROR(INDEX('Historical Data'!$Q$2:$Q$9,MATCH($A213,'Historical Data'!$BE$2:$BE$9,0)),"")</f>
        <v/>
      </c>
      <c r="N213" s="115" t="str">
        <f aca="false">IFERROR(INDEX('Historical Data'!$S$2:$S$9,MATCH($A213,'Historical Data'!$BE$2:$BE$9,0)),"")</f>
        <v/>
      </c>
      <c r="O213" s="114" t="str">
        <f aca="false">IFERROR(INDEX('Historical Data'!$AJ$2:$AJ$9,MATCH($A213,'Historical Data'!$BE$2:$BE$9,0)),"")</f>
        <v/>
      </c>
      <c r="P213" s="114" t="str">
        <f aca="false">IFERROR(INDEX('Historical Data'!$AK$2:$AK$9,MATCH($A213,'Historical Data'!$BE$2:$BE$9,0)),"")</f>
        <v/>
      </c>
      <c r="Q213" s="111" t="str">
        <f aca="false">IFERROR(INDEX('Historical Data'!$AA$2:$AA$9,MATCH($A213,'Historical Data'!$BE$2:$BE$9,0)),"")</f>
        <v/>
      </c>
      <c r="R213" s="111" t="str">
        <f aca="false">IFERROR(INDEX('Historical Data'!$AB$2:$AB$9,MATCH($A213,'Historical Data'!$BE$2:$BE$9,0)),"")</f>
        <v/>
      </c>
      <c r="S213" s="111" t="str">
        <f aca="false">IFERROR(INDEX('Historical Data'!$AN$2:$AN$9,MATCH($A213,'Historical Data'!$BE$2:$BE$9,0)),"")</f>
        <v/>
      </c>
      <c r="T213" s="111" t="str">
        <f aca="false">IFERROR(INDEX('Historical Data'!$AC$2:$AC$9,MATCH($A213,'Historical Data'!$BE$2:$BE$9,0)),"")</f>
        <v/>
      </c>
      <c r="U213" s="111" t="str">
        <f aca="false">IFERROR(INDEX('Historical Data'!$AE$2:$AE$9,MATCH($A213,'Historical Data'!$BE$2:$BE$9,0)),"")</f>
        <v/>
      </c>
      <c r="V213" s="111" t="str">
        <f aca="false">IFERROR(INDEX('Historical Data'!$AH$2:$AH$9,MATCH($A213,'Historical Data'!$BE$2:$BE$9,0)),"")</f>
        <v/>
      </c>
      <c r="W213" s="111" t="str">
        <f aca="false">IFERROR(INDEX('Historical Data'!$BC$2:$BC$9,MATCH($A213,'Historical Data'!$BE$2:$BE$9,0)),"")</f>
        <v/>
      </c>
      <c r="X213" s="110" t="str">
        <f aca="false">IF(B213="","",IF(W213=1,"NR + industry + position",IF(W213=2,"NR + ISO + position",IF(W213=3,"NR + industry",IF(W213=4,"NR + ISO",IF(W213=5,"NR + position",IF(W213=6,"NR only","book baseline"))))))&amp;"  ["&amp;IF(T213=1,"seasoned","unseasoned")&amp;IF(U213=1,", defaulted","")&amp;IF(V213=1,", open","")&amp;"]")</f>
        <v/>
      </c>
    </row>
    <row r="214" customFormat="false" ht="15" hidden="false" customHeight="false" outlineLevel="0" collapsed="false">
      <c r="A214" s="110" t="n">
        <v>210</v>
      </c>
      <c r="B214" s="111" t="str">
        <f aca="false">IFERROR(INDEX('Historical Data'!$A$2:$A$9,MATCH($A214,'Historical Data'!$BE$2:$BE$9,0)),"")</f>
        <v/>
      </c>
      <c r="C214" s="111" t="str">
        <f aca="false">IFERROR(INDEX('Historical Data'!$B$2:$B$9,MATCH($A214,'Historical Data'!$BE$2:$BE$9,0)),"")</f>
        <v/>
      </c>
      <c r="D214" s="111" t="str">
        <f aca="false">IFERROR(INDEX('Historical Data'!$D$2:$D$9,MATCH($A214,'Historical Data'!$BE$2:$BE$9,0)),"")</f>
        <v/>
      </c>
      <c r="E214" s="112" t="str">
        <f aca="false">IFERROR(INDEX('Historical Data'!$E$2:$E$9,MATCH($A214,'Historical Data'!$BE$2:$BE$9,0)),"")</f>
        <v/>
      </c>
      <c r="F214" s="111" t="str">
        <f aca="false">IFERROR(INDEX('Historical Data'!$G$2:$G$9,MATCH($A214,'Historical Data'!$BE$2:$BE$9,0)),"")</f>
        <v/>
      </c>
      <c r="G214" s="111" t="str">
        <f aca="false">IFERROR(INDEX('Historical Data'!$Y$2:$Y$9,MATCH($A214,'Historical Data'!$BE$2:$BE$9,0)),"")</f>
        <v/>
      </c>
      <c r="H214" s="111" t="str">
        <f aca="false">IFERROR(INDEX('Historical Data'!$K$2:$K$9,MATCH($A214,'Historical Data'!$BE$2:$BE$9,0)),"")</f>
        <v/>
      </c>
      <c r="I214" s="111" t="str">
        <f aca="false">IFERROR(INDEX('Historical Data'!$J$2:$J$9,MATCH($A214,'Historical Data'!$BE$2:$BE$9,0)),"")</f>
        <v/>
      </c>
      <c r="J214" s="111" t="str">
        <f aca="false">IFERROR(INDEX('Historical Data'!$L$2:$L$9,MATCH($A214,'Historical Data'!$BE$2:$BE$9,0)),"")</f>
        <v/>
      </c>
      <c r="K214" s="113" t="str">
        <f aca="false">IFERROR(INDEX('Historical Data'!$M$2:$M$9,MATCH($A214,'Historical Data'!$BE$2:$BE$9,0)),"")</f>
        <v/>
      </c>
      <c r="L214" s="114" t="str">
        <f aca="false">IFERROR(INDEX('Historical Data'!$N$2:$N$9,MATCH($A214,'Historical Data'!$BE$2:$BE$9,0)),"")</f>
        <v/>
      </c>
      <c r="M214" s="114" t="str">
        <f aca="false">IFERROR(INDEX('Historical Data'!$Q$2:$Q$9,MATCH($A214,'Historical Data'!$BE$2:$BE$9,0)),"")</f>
        <v/>
      </c>
      <c r="N214" s="115" t="str">
        <f aca="false">IFERROR(INDEX('Historical Data'!$S$2:$S$9,MATCH($A214,'Historical Data'!$BE$2:$BE$9,0)),"")</f>
        <v/>
      </c>
      <c r="O214" s="114" t="str">
        <f aca="false">IFERROR(INDEX('Historical Data'!$AJ$2:$AJ$9,MATCH($A214,'Historical Data'!$BE$2:$BE$9,0)),"")</f>
        <v/>
      </c>
      <c r="P214" s="114" t="str">
        <f aca="false">IFERROR(INDEX('Historical Data'!$AK$2:$AK$9,MATCH($A214,'Historical Data'!$BE$2:$BE$9,0)),"")</f>
        <v/>
      </c>
      <c r="Q214" s="111" t="str">
        <f aca="false">IFERROR(INDEX('Historical Data'!$AA$2:$AA$9,MATCH($A214,'Historical Data'!$BE$2:$BE$9,0)),"")</f>
        <v/>
      </c>
      <c r="R214" s="111" t="str">
        <f aca="false">IFERROR(INDEX('Historical Data'!$AB$2:$AB$9,MATCH($A214,'Historical Data'!$BE$2:$BE$9,0)),"")</f>
        <v/>
      </c>
      <c r="S214" s="111" t="str">
        <f aca="false">IFERROR(INDEX('Historical Data'!$AN$2:$AN$9,MATCH($A214,'Historical Data'!$BE$2:$BE$9,0)),"")</f>
        <v/>
      </c>
      <c r="T214" s="111" t="str">
        <f aca="false">IFERROR(INDEX('Historical Data'!$AC$2:$AC$9,MATCH($A214,'Historical Data'!$BE$2:$BE$9,0)),"")</f>
        <v/>
      </c>
      <c r="U214" s="111" t="str">
        <f aca="false">IFERROR(INDEX('Historical Data'!$AE$2:$AE$9,MATCH($A214,'Historical Data'!$BE$2:$BE$9,0)),"")</f>
        <v/>
      </c>
      <c r="V214" s="111" t="str">
        <f aca="false">IFERROR(INDEX('Historical Data'!$AH$2:$AH$9,MATCH($A214,'Historical Data'!$BE$2:$BE$9,0)),"")</f>
        <v/>
      </c>
      <c r="W214" s="111" t="str">
        <f aca="false">IFERROR(INDEX('Historical Data'!$BC$2:$BC$9,MATCH($A214,'Historical Data'!$BE$2:$BE$9,0)),"")</f>
        <v/>
      </c>
      <c r="X214" s="110" t="str">
        <f aca="false">IF(B214="","",IF(W214=1,"NR + industry + position",IF(W214=2,"NR + ISO + position",IF(W214=3,"NR + industry",IF(W214=4,"NR + ISO",IF(W214=5,"NR + position",IF(W214=6,"NR only","book baseline"))))))&amp;"  ["&amp;IF(T214=1,"seasoned","unseasoned")&amp;IF(U214=1,", defaulted","")&amp;IF(V214=1,", open","")&amp;"]")</f>
        <v/>
      </c>
    </row>
    <row r="215" customFormat="false" ht="15" hidden="false" customHeight="false" outlineLevel="0" collapsed="false">
      <c r="A215" s="110" t="n">
        <v>211</v>
      </c>
      <c r="B215" s="111" t="str">
        <f aca="false">IFERROR(INDEX('Historical Data'!$A$2:$A$9,MATCH($A215,'Historical Data'!$BE$2:$BE$9,0)),"")</f>
        <v/>
      </c>
      <c r="C215" s="111" t="str">
        <f aca="false">IFERROR(INDEX('Historical Data'!$B$2:$B$9,MATCH($A215,'Historical Data'!$BE$2:$BE$9,0)),"")</f>
        <v/>
      </c>
      <c r="D215" s="111" t="str">
        <f aca="false">IFERROR(INDEX('Historical Data'!$D$2:$D$9,MATCH($A215,'Historical Data'!$BE$2:$BE$9,0)),"")</f>
        <v/>
      </c>
      <c r="E215" s="112" t="str">
        <f aca="false">IFERROR(INDEX('Historical Data'!$E$2:$E$9,MATCH($A215,'Historical Data'!$BE$2:$BE$9,0)),"")</f>
        <v/>
      </c>
      <c r="F215" s="111" t="str">
        <f aca="false">IFERROR(INDEX('Historical Data'!$G$2:$G$9,MATCH($A215,'Historical Data'!$BE$2:$BE$9,0)),"")</f>
        <v/>
      </c>
      <c r="G215" s="111" t="str">
        <f aca="false">IFERROR(INDEX('Historical Data'!$Y$2:$Y$9,MATCH($A215,'Historical Data'!$BE$2:$BE$9,0)),"")</f>
        <v/>
      </c>
      <c r="H215" s="111" t="str">
        <f aca="false">IFERROR(INDEX('Historical Data'!$K$2:$K$9,MATCH($A215,'Historical Data'!$BE$2:$BE$9,0)),"")</f>
        <v/>
      </c>
      <c r="I215" s="111" t="str">
        <f aca="false">IFERROR(INDEX('Historical Data'!$J$2:$J$9,MATCH($A215,'Historical Data'!$BE$2:$BE$9,0)),"")</f>
        <v/>
      </c>
      <c r="J215" s="111" t="str">
        <f aca="false">IFERROR(INDEX('Historical Data'!$L$2:$L$9,MATCH($A215,'Historical Data'!$BE$2:$BE$9,0)),"")</f>
        <v/>
      </c>
      <c r="K215" s="113" t="str">
        <f aca="false">IFERROR(INDEX('Historical Data'!$M$2:$M$9,MATCH($A215,'Historical Data'!$BE$2:$BE$9,0)),"")</f>
        <v/>
      </c>
      <c r="L215" s="114" t="str">
        <f aca="false">IFERROR(INDEX('Historical Data'!$N$2:$N$9,MATCH($A215,'Historical Data'!$BE$2:$BE$9,0)),"")</f>
        <v/>
      </c>
      <c r="M215" s="114" t="str">
        <f aca="false">IFERROR(INDEX('Historical Data'!$Q$2:$Q$9,MATCH($A215,'Historical Data'!$BE$2:$BE$9,0)),"")</f>
        <v/>
      </c>
      <c r="N215" s="115" t="str">
        <f aca="false">IFERROR(INDEX('Historical Data'!$S$2:$S$9,MATCH($A215,'Historical Data'!$BE$2:$BE$9,0)),"")</f>
        <v/>
      </c>
      <c r="O215" s="114" t="str">
        <f aca="false">IFERROR(INDEX('Historical Data'!$AJ$2:$AJ$9,MATCH($A215,'Historical Data'!$BE$2:$BE$9,0)),"")</f>
        <v/>
      </c>
      <c r="P215" s="114" t="str">
        <f aca="false">IFERROR(INDEX('Historical Data'!$AK$2:$AK$9,MATCH($A215,'Historical Data'!$BE$2:$BE$9,0)),"")</f>
        <v/>
      </c>
      <c r="Q215" s="111" t="str">
        <f aca="false">IFERROR(INDEX('Historical Data'!$AA$2:$AA$9,MATCH($A215,'Historical Data'!$BE$2:$BE$9,0)),"")</f>
        <v/>
      </c>
      <c r="R215" s="111" t="str">
        <f aca="false">IFERROR(INDEX('Historical Data'!$AB$2:$AB$9,MATCH($A215,'Historical Data'!$BE$2:$BE$9,0)),"")</f>
        <v/>
      </c>
      <c r="S215" s="111" t="str">
        <f aca="false">IFERROR(INDEX('Historical Data'!$AN$2:$AN$9,MATCH($A215,'Historical Data'!$BE$2:$BE$9,0)),"")</f>
        <v/>
      </c>
      <c r="T215" s="111" t="str">
        <f aca="false">IFERROR(INDEX('Historical Data'!$AC$2:$AC$9,MATCH($A215,'Historical Data'!$BE$2:$BE$9,0)),"")</f>
        <v/>
      </c>
      <c r="U215" s="111" t="str">
        <f aca="false">IFERROR(INDEX('Historical Data'!$AE$2:$AE$9,MATCH($A215,'Historical Data'!$BE$2:$BE$9,0)),"")</f>
        <v/>
      </c>
      <c r="V215" s="111" t="str">
        <f aca="false">IFERROR(INDEX('Historical Data'!$AH$2:$AH$9,MATCH($A215,'Historical Data'!$BE$2:$BE$9,0)),"")</f>
        <v/>
      </c>
      <c r="W215" s="111" t="str">
        <f aca="false">IFERROR(INDEX('Historical Data'!$BC$2:$BC$9,MATCH($A215,'Historical Data'!$BE$2:$BE$9,0)),"")</f>
        <v/>
      </c>
      <c r="X215" s="110" t="str">
        <f aca="false">IF(B215="","",IF(W215=1,"NR + industry + position",IF(W215=2,"NR + ISO + position",IF(W215=3,"NR + industry",IF(W215=4,"NR + ISO",IF(W215=5,"NR + position",IF(W215=6,"NR only","book baseline"))))))&amp;"  ["&amp;IF(T215=1,"seasoned","unseasoned")&amp;IF(U215=1,", defaulted","")&amp;IF(V215=1,", open","")&amp;"]")</f>
        <v/>
      </c>
    </row>
    <row r="216" customFormat="false" ht="15" hidden="false" customHeight="false" outlineLevel="0" collapsed="false">
      <c r="A216" s="110" t="n">
        <v>212</v>
      </c>
      <c r="B216" s="111" t="str">
        <f aca="false">IFERROR(INDEX('Historical Data'!$A$2:$A$9,MATCH($A216,'Historical Data'!$BE$2:$BE$9,0)),"")</f>
        <v/>
      </c>
      <c r="C216" s="111" t="str">
        <f aca="false">IFERROR(INDEX('Historical Data'!$B$2:$B$9,MATCH($A216,'Historical Data'!$BE$2:$BE$9,0)),"")</f>
        <v/>
      </c>
      <c r="D216" s="111" t="str">
        <f aca="false">IFERROR(INDEX('Historical Data'!$D$2:$D$9,MATCH($A216,'Historical Data'!$BE$2:$BE$9,0)),"")</f>
        <v/>
      </c>
      <c r="E216" s="112" t="str">
        <f aca="false">IFERROR(INDEX('Historical Data'!$E$2:$E$9,MATCH($A216,'Historical Data'!$BE$2:$BE$9,0)),"")</f>
        <v/>
      </c>
      <c r="F216" s="111" t="str">
        <f aca="false">IFERROR(INDEX('Historical Data'!$G$2:$G$9,MATCH($A216,'Historical Data'!$BE$2:$BE$9,0)),"")</f>
        <v/>
      </c>
      <c r="G216" s="111" t="str">
        <f aca="false">IFERROR(INDEX('Historical Data'!$Y$2:$Y$9,MATCH($A216,'Historical Data'!$BE$2:$BE$9,0)),"")</f>
        <v/>
      </c>
      <c r="H216" s="111" t="str">
        <f aca="false">IFERROR(INDEX('Historical Data'!$K$2:$K$9,MATCH($A216,'Historical Data'!$BE$2:$BE$9,0)),"")</f>
        <v/>
      </c>
      <c r="I216" s="111" t="str">
        <f aca="false">IFERROR(INDEX('Historical Data'!$J$2:$J$9,MATCH($A216,'Historical Data'!$BE$2:$BE$9,0)),"")</f>
        <v/>
      </c>
      <c r="J216" s="111" t="str">
        <f aca="false">IFERROR(INDEX('Historical Data'!$L$2:$L$9,MATCH($A216,'Historical Data'!$BE$2:$BE$9,0)),"")</f>
        <v/>
      </c>
      <c r="K216" s="113" t="str">
        <f aca="false">IFERROR(INDEX('Historical Data'!$M$2:$M$9,MATCH($A216,'Historical Data'!$BE$2:$BE$9,0)),"")</f>
        <v/>
      </c>
      <c r="L216" s="114" t="str">
        <f aca="false">IFERROR(INDEX('Historical Data'!$N$2:$N$9,MATCH($A216,'Historical Data'!$BE$2:$BE$9,0)),"")</f>
        <v/>
      </c>
      <c r="M216" s="114" t="str">
        <f aca="false">IFERROR(INDEX('Historical Data'!$Q$2:$Q$9,MATCH($A216,'Historical Data'!$BE$2:$BE$9,0)),"")</f>
        <v/>
      </c>
      <c r="N216" s="115" t="str">
        <f aca="false">IFERROR(INDEX('Historical Data'!$S$2:$S$9,MATCH($A216,'Historical Data'!$BE$2:$BE$9,0)),"")</f>
        <v/>
      </c>
      <c r="O216" s="114" t="str">
        <f aca="false">IFERROR(INDEX('Historical Data'!$AJ$2:$AJ$9,MATCH($A216,'Historical Data'!$BE$2:$BE$9,0)),"")</f>
        <v/>
      </c>
      <c r="P216" s="114" t="str">
        <f aca="false">IFERROR(INDEX('Historical Data'!$AK$2:$AK$9,MATCH($A216,'Historical Data'!$BE$2:$BE$9,0)),"")</f>
        <v/>
      </c>
      <c r="Q216" s="111" t="str">
        <f aca="false">IFERROR(INDEX('Historical Data'!$AA$2:$AA$9,MATCH($A216,'Historical Data'!$BE$2:$BE$9,0)),"")</f>
        <v/>
      </c>
      <c r="R216" s="111" t="str">
        <f aca="false">IFERROR(INDEX('Historical Data'!$AB$2:$AB$9,MATCH($A216,'Historical Data'!$BE$2:$BE$9,0)),"")</f>
        <v/>
      </c>
      <c r="S216" s="111" t="str">
        <f aca="false">IFERROR(INDEX('Historical Data'!$AN$2:$AN$9,MATCH($A216,'Historical Data'!$BE$2:$BE$9,0)),"")</f>
        <v/>
      </c>
      <c r="T216" s="111" t="str">
        <f aca="false">IFERROR(INDEX('Historical Data'!$AC$2:$AC$9,MATCH($A216,'Historical Data'!$BE$2:$BE$9,0)),"")</f>
        <v/>
      </c>
      <c r="U216" s="111" t="str">
        <f aca="false">IFERROR(INDEX('Historical Data'!$AE$2:$AE$9,MATCH($A216,'Historical Data'!$BE$2:$BE$9,0)),"")</f>
        <v/>
      </c>
      <c r="V216" s="111" t="str">
        <f aca="false">IFERROR(INDEX('Historical Data'!$AH$2:$AH$9,MATCH($A216,'Historical Data'!$BE$2:$BE$9,0)),"")</f>
        <v/>
      </c>
      <c r="W216" s="111" t="str">
        <f aca="false">IFERROR(INDEX('Historical Data'!$BC$2:$BC$9,MATCH($A216,'Historical Data'!$BE$2:$BE$9,0)),"")</f>
        <v/>
      </c>
      <c r="X216" s="110" t="str">
        <f aca="false">IF(B216="","",IF(W216=1,"NR + industry + position",IF(W216=2,"NR + ISO + position",IF(W216=3,"NR + industry",IF(W216=4,"NR + ISO",IF(W216=5,"NR + position",IF(W216=6,"NR only","book baseline"))))))&amp;"  ["&amp;IF(T216=1,"seasoned","unseasoned")&amp;IF(U216=1,", defaulted","")&amp;IF(V216=1,", open","")&amp;"]")</f>
        <v/>
      </c>
    </row>
    <row r="217" customFormat="false" ht="15" hidden="false" customHeight="false" outlineLevel="0" collapsed="false">
      <c r="A217" s="110" t="n">
        <v>213</v>
      </c>
      <c r="B217" s="111" t="str">
        <f aca="false">IFERROR(INDEX('Historical Data'!$A$2:$A$9,MATCH($A217,'Historical Data'!$BE$2:$BE$9,0)),"")</f>
        <v/>
      </c>
      <c r="C217" s="111" t="str">
        <f aca="false">IFERROR(INDEX('Historical Data'!$B$2:$B$9,MATCH($A217,'Historical Data'!$BE$2:$BE$9,0)),"")</f>
        <v/>
      </c>
      <c r="D217" s="111" t="str">
        <f aca="false">IFERROR(INDEX('Historical Data'!$D$2:$D$9,MATCH($A217,'Historical Data'!$BE$2:$BE$9,0)),"")</f>
        <v/>
      </c>
      <c r="E217" s="112" t="str">
        <f aca="false">IFERROR(INDEX('Historical Data'!$E$2:$E$9,MATCH($A217,'Historical Data'!$BE$2:$BE$9,0)),"")</f>
        <v/>
      </c>
      <c r="F217" s="111" t="str">
        <f aca="false">IFERROR(INDEX('Historical Data'!$G$2:$G$9,MATCH($A217,'Historical Data'!$BE$2:$BE$9,0)),"")</f>
        <v/>
      </c>
      <c r="G217" s="111" t="str">
        <f aca="false">IFERROR(INDEX('Historical Data'!$Y$2:$Y$9,MATCH($A217,'Historical Data'!$BE$2:$BE$9,0)),"")</f>
        <v/>
      </c>
      <c r="H217" s="111" t="str">
        <f aca="false">IFERROR(INDEX('Historical Data'!$K$2:$K$9,MATCH($A217,'Historical Data'!$BE$2:$BE$9,0)),"")</f>
        <v/>
      </c>
      <c r="I217" s="111" t="str">
        <f aca="false">IFERROR(INDEX('Historical Data'!$J$2:$J$9,MATCH($A217,'Historical Data'!$BE$2:$BE$9,0)),"")</f>
        <v/>
      </c>
      <c r="J217" s="111" t="str">
        <f aca="false">IFERROR(INDEX('Historical Data'!$L$2:$L$9,MATCH($A217,'Historical Data'!$BE$2:$BE$9,0)),"")</f>
        <v/>
      </c>
      <c r="K217" s="113" t="str">
        <f aca="false">IFERROR(INDEX('Historical Data'!$M$2:$M$9,MATCH($A217,'Historical Data'!$BE$2:$BE$9,0)),"")</f>
        <v/>
      </c>
      <c r="L217" s="114" t="str">
        <f aca="false">IFERROR(INDEX('Historical Data'!$N$2:$N$9,MATCH($A217,'Historical Data'!$BE$2:$BE$9,0)),"")</f>
        <v/>
      </c>
      <c r="M217" s="114" t="str">
        <f aca="false">IFERROR(INDEX('Historical Data'!$Q$2:$Q$9,MATCH($A217,'Historical Data'!$BE$2:$BE$9,0)),"")</f>
        <v/>
      </c>
      <c r="N217" s="115" t="str">
        <f aca="false">IFERROR(INDEX('Historical Data'!$S$2:$S$9,MATCH($A217,'Historical Data'!$BE$2:$BE$9,0)),"")</f>
        <v/>
      </c>
      <c r="O217" s="114" t="str">
        <f aca="false">IFERROR(INDEX('Historical Data'!$AJ$2:$AJ$9,MATCH($A217,'Historical Data'!$BE$2:$BE$9,0)),"")</f>
        <v/>
      </c>
      <c r="P217" s="114" t="str">
        <f aca="false">IFERROR(INDEX('Historical Data'!$AK$2:$AK$9,MATCH($A217,'Historical Data'!$BE$2:$BE$9,0)),"")</f>
        <v/>
      </c>
      <c r="Q217" s="111" t="str">
        <f aca="false">IFERROR(INDEX('Historical Data'!$AA$2:$AA$9,MATCH($A217,'Historical Data'!$BE$2:$BE$9,0)),"")</f>
        <v/>
      </c>
      <c r="R217" s="111" t="str">
        <f aca="false">IFERROR(INDEX('Historical Data'!$AB$2:$AB$9,MATCH($A217,'Historical Data'!$BE$2:$BE$9,0)),"")</f>
        <v/>
      </c>
      <c r="S217" s="111" t="str">
        <f aca="false">IFERROR(INDEX('Historical Data'!$AN$2:$AN$9,MATCH($A217,'Historical Data'!$BE$2:$BE$9,0)),"")</f>
        <v/>
      </c>
      <c r="T217" s="111" t="str">
        <f aca="false">IFERROR(INDEX('Historical Data'!$AC$2:$AC$9,MATCH($A217,'Historical Data'!$BE$2:$BE$9,0)),"")</f>
        <v/>
      </c>
      <c r="U217" s="111" t="str">
        <f aca="false">IFERROR(INDEX('Historical Data'!$AE$2:$AE$9,MATCH($A217,'Historical Data'!$BE$2:$BE$9,0)),"")</f>
        <v/>
      </c>
      <c r="V217" s="111" t="str">
        <f aca="false">IFERROR(INDEX('Historical Data'!$AH$2:$AH$9,MATCH($A217,'Historical Data'!$BE$2:$BE$9,0)),"")</f>
        <v/>
      </c>
      <c r="W217" s="111" t="str">
        <f aca="false">IFERROR(INDEX('Historical Data'!$BC$2:$BC$9,MATCH($A217,'Historical Data'!$BE$2:$BE$9,0)),"")</f>
        <v/>
      </c>
      <c r="X217" s="110" t="str">
        <f aca="false">IF(B217="","",IF(W217=1,"NR + industry + position",IF(W217=2,"NR + ISO + position",IF(W217=3,"NR + industry",IF(W217=4,"NR + ISO",IF(W217=5,"NR + position",IF(W217=6,"NR only","book baseline"))))))&amp;"  ["&amp;IF(T217=1,"seasoned","unseasoned")&amp;IF(U217=1,", defaulted","")&amp;IF(V217=1,", open","")&amp;"]")</f>
        <v/>
      </c>
    </row>
    <row r="218" customFormat="false" ht="15" hidden="false" customHeight="false" outlineLevel="0" collapsed="false">
      <c r="A218" s="110" t="n">
        <v>214</v>
      </c>
      <c r="B218" s="111" t="str">
        <f aca="false">IFERROR(INDEX('Historical Data'!$A$2:$A$9,MATCH($A218,'Historical Data'!$BE$2:$BE$9,0)),"")</f>
        <v/>
      </c>
      <c r="C218" s="111" t="str">
        <f aca="false">IFERROR(INDEX('Historical Data'!$B$2:$B$9,MATCH($A218,'Historical Data'!$BE$2:$BE$9,0)),"")</f>
        <v/>
      </c>
      <c r="D218" s="111" t="str">
        <f aca="false">IFERROR(INDEX('Historical Data'!$D$2:$D$9,MATCH($A218,'Historical Data'!$BE$2:$BE$9,0)),"")</f>
        <v/>
      </c>
      <c r="E218" s="112" t="str">
        <f aca="false">IFERROR(INDEX('Historical Data'!$E$2:$E$9,MATCH($A218,'Historical Data'!$BE$2:$BE$9,0)),"")</f>
        <v/>
      </c>
      <c r="F218" s="111" t="str">
        <f aca="false">IFERROR(INDEX('Historical Data'!$G$2:$G$9,MATCH($A218,'Historical Data'!$BE$2:$BE$9,0)),"")</f>
        <v/>
      </c>
      <c r="G218" s="111" t="str">
        <f aca="false">IFERROR(INDEX('Historical Data'!$Y$2:$Y$9,MATCH($A218,'Historical Data'!$BE$2:$BE$9,0)),"")</f>
        <v/>
      </c>
      <c r="H218" s="111" t="str">
        <f aca="false">IFERROR(INDEX('Historical Data'!$K$2:$K$9,MATCH($A218,'Historical Data'!$BE$2:$BE$9,0)),"")</f>
        <v/>
      </c>
      <c r="I218" s="111" t="str">
        <f aca="false">IFERROR(INDEX('Historical Data'!$J$2:$J$9,MATCH($A218,'Historical Data'!$BE$2:$BE$9,0)),"")</f>
        <v/>
      </c>
      <c r="J218" s="111" t="str">
        <f aca="false">IFERROR(INDEX('Historical Data'!$L$2:$L$9,MATCH($A218,'Historical Data'!$BE$2:$BE$9,0)),"")</f>
        <v/>
      </c>
      <c r="K218" s="113" t="str">
        <f aca="false">IFERROR(INDEX('Historical Data'!$M$2:$M$9,MATCH($A218,'Historical Data'!$BE$2:$BE$9,0)),"")</f>
        <v/>
      </c>
      <c r="L218" s="114" t="str">
        <f aca="false">IFERROR(INDEX('Historical Data'!$N$2:$N$9,MATCH($A218,'Historical Data'!$BE$2:$BE$9,0)),"")</f>
        <v/>
      </c>
      <c r="M218" s="114" t="str">
        <f aca="false">IFERROR(INDEX('Historical Data'!$Q$2:$Q$9,MATCH($A218,'Historical Data'!$BE$2:$BE$9,0)),"")</f>
        <v/>
      </c>
      <c r="N218" s="115" t="str">
        <f aca="false">IFERROR(INDEX('Historical Data'!$S$2:$S$9,MATCH($A218,'Historical Data'!$BE$2:$BE$9,0)),"")</f>
        <v/>
      </c>
      <c r="O218" s="114" t="str">
        <f aca="false">IFERROR(INDEX('Historical Data'!$AJ$2:$AJ$9,MATCH($A218,'Historical Data'!$BE$2:$BE$9,0)),"")</f>
        <v/>
      </c>
      <c r="P218" s="114" t="str">
        <f aca="false">IFERROR(INDEX('Historical Data'!$AK$2:$AK$9,MATCH($A218,'Historical Data'!$BE$2:$BE$9,0)),"")</f>
        <v/>
      </c>
      <c r="Q218" s="111" t="str">
        <f aca="false">IFERROR(INDEX('Historical Data'!$AA$2:$AA$9,MATCH($A218,'Historical Data'!$BE$2:$BE$9,0)),"")</f>
        <v/>
      </c>
      <c r="R218" s="111" t="str">
        <f aca="false">IFERROR(INDEX('Historical Data'!$AB$2:$AB$9,MATCH($A218,'Historical Data'!$BE$2:$BE$9,0)),"")</f>
        <v/>
      </c>
      <c r="S218" s="111" t="str">
        <f aca="false">IFERROR(INDEX('Historical Data'!$AN$2:$AN$9,MATCH($A218,'Historical Data'!$BE$2:$BE$9,0)),"")</f>
        <v/>
      </c>
      <c r="T218" s="111" t="str">
        <f aca="false">IFERROR(INDEX('Historical Data'!$AC$2:$AC$9,MATCH($A218,'Historical Data'!$BE$2:$BE$9,0)),"")</f>
        <v/>
      </c>
      <c r="U218" s="111" t="str">
        <f aca="false">IFERROR(INDEX('Historical Data'!$AE$2:$AE$9,MATCH($A218,'Historical Data'!$BE$2:$BE$9,0)),"")</f>
        <v/>
      </c>
      <c r="V218" s="111" t="str">
        <f aca="false">IFERROR(INDEX('Historical Data'!$AH$2:$AH$9,MATCH($A218,'Historical Data'!$BE$2:$BE$9,0)),"")</f>
        <v/>
      </c>
      <c r="W218" s="111" t="str">
        <f aca="false">IFERROR(INDEX('Historical Data'!$BC$2:$BC$9,MATCH($A218,'Historical Data'!$BE$2:$BE$9,0)),"")</f>
        <v/>
      </c>
      <c r="X218" s="110" t="str">
        <f aca="false">IF(B218="","",IF(W218=1,"NR + industry + position",IF(W218=2,"NR + ISO + position",IF(W218=3,"NR + industry",IF(W218=4,"NR + ISO",IF(W218=5,"NR + position",IF(W218=6,"NR only","book baseline"))))))&amp;"  ["&amp;IF(T218=1,"seasoned","unseasoned")&amp;IF(U218=1,", defaulted","")&amp;IF(V218=1,", open","")&amp;"]")</f>
        <v/>
      </c>
    </row>
    <row r="219" customFormat="false" ht="15" hidden="false" customHeight="false" outlineLevel="0" collapsed="false">
      <c r="A219" s="110" t="n">
        <v>215</v>
      </c>
      <c r="B219" s="111" t="str">
        <f aca="false">IFERROR(INDEX('Historical Data'!$A$2:$A$9,MATCH($A219,'Historical Data'!$BE$2:$BE$9,0)),"")</f>
        <v/>
      </c>
      <c r="C219" s="111" t="str">
        <f aca="false">IFERROR(INDEX('Historical Data'!$B$2:$B$9,MATCH($A219,'Historical Data'!$BE$2:$BE$9,0)),"")</f>
        <v/>
      </c>
      <c r="D219" s="111" t="str">
        <f aca="false">IFERROR(INDEX('Historical Data'!$D$2:$D$9,MATCH($A219,'Historical Data'!$BE$2:$BE$9,0)),"")</f>
        <v/>
      </c>
      <c r="E219" s="112" t="str">
        <f aca="false">IFERROR(INDEX('Historical Data'!$E$2:$E$9,MATCH($A219,'Historical Data'!$BE$2:$BE$9,0)),"")</f>
        <v/>
      </c>
      <c r="F219" s="111" t="str">
        <f aca="false">IFERROR(INDEX('Historical Data'!$G$2:$G$9,MATCH($A219,'Historical Data'!$BE$2:$BE$9,0)),"")</f>
        <v/>
      </c>
      <c r="G219" s="111" t="str">
        <f aca="false">IFERROR(INDEX('Historical Data'!$Y$2:$Y$9,MATCH($A219,'Historical Data'!$BE$2:$BE$9,0)),"")</f>
        <v/>
      </c>
      <c r="H219" s="111" t="str">
        <f aca="false">IFERROR(INDEX('Historical Data'!$K$2:$K$9,MATCH($A219,'Historical Data'!$BE$2:$BE$9,0)),"")</f>
        <v/>
      </c>
      <c r="I219" s="111" t="str">
        <f aca="false">IFERROR(INDEX('Historical Data'!$J$2:$J$9,MATCH($A219,'Historical Data'!$BE$2:$BE$9,0)),"")</f>
        <v/>
      </c>
      <c r="J219" s="111" t="str">
        <f aca="false">IFERROR(INDEX('Historical Data'!$L$2:$L$9,MATCH($A219,'Historical Data'!$BE$2:$BE$9,0)),"")</f>
        <v/>
      </c>
      <c r="K219" s="113" t="str">
        <f aca="false">IFERROR(INDEX('Historical Data'!$M$2:$M$9,MATCH($A219,'Historical Data'!$BE$2:$BE$9,0)),"")</f>
        <v/>
      </c>
      <c r="L219" s="114" t="str">
        <f aca="false">IFERROR(INDEX('Historical Data'!$N$2:$N$9,MATCH($A219,'Historical Data'!$BE$2:$BE$9,0)),"")</f>
        <v/>
      </c>
      <c r="M219" s="114" t="str">
        <f aca="false">IFERROR(INDEX('Historical Data'!$Q$2:$Q$9,MATCH($A219,'Historical Data'!$BE$2:$BE$9,0)),"")</f>
        <v/>
      </c>
      <c r="N219" s="115" t="str">
        <f aca="false">IFERROR(INDEX('Historical Data'!$S$2:$S$9,MATCH($A219,'Historical Data'!$BE$2:$BE$9,0)),"")</f>
        <v/>
      </c>
      <c r="O219" s="114" t="str">
        <f aca="false">IFERROR(INDEX('Historical Data'!$AJ$2:$AJ$9,MATCH($A219,'Historical Data'!$BE$2:$BE$9,0)),"")</f>
        <v/>
      </c>
      <c r="P219" s="114" t="str">
        <f aca="false">IFERROR(INDEX('Historical Data'!$AK$2:$AK$9,MATCH($A219,'Historical Data'!$BE$2:$BE$9,0)),"")</f>
        <v/>
      </c>
      <c r="Q219" s="111" t="str">
        <f aca="false">IFERROR(INDEX('Historical Data'!$AA$2:$AA$9,MATCH($A219,'Historical Data'!$BE$2:$BE$9,0)),"")</f>
        <v/>
      </c>
      <c r="R219" s="111" t="str">
        <f aca="false">IFERROR(INDEX('Historical Data'!$AB$2:$AB$9,MATCH($A219,'Historical Data'!$BE$2:$BE$9,0)),"")</f>
        <v/>
      </c>
      <c r="S219" s="111" t="str">
        <f aca="false">IFERROR(INDEX('Historical Data'!$AN$2:$AN$9,MATCH($A219,'Historical Data'!$BE$2:$BE$9,0)),"")</f>
        <v/>
      </c>
      <c r="T219" s="111" t="str">
        <f aca="false">IFERROR(INDEX('Historical Data'!$AC$2:$AC$9,MATCH($A219,'Historical Data'!$BE$2:$BE$9,0)),"")</f>
        <v/>
      </c>
      <c r="U219" s="111" t="str">
        <f aca="false">IFERROR(INDEX('Historical Data'!$AE$2:$AE$9,MATCH($A219,'Historical Data'!$BE$2:$BE$9,0)),"")</f>
        <v/>
      </c>
      <c r="V219" s="111" t="str">
        <f aca="false">IFERROR(INDEX('Historical Data'!$AH$2:$AH$9,MATCH($A219,'Historical Data'!$BE$2:$BE$9,0)),"")</f>
        <v/>
      </c>
      <c r="W219" s="111" t="str">
        <f aca="false">IFERROR(INDEX('Historical Data'!$BC$2:$BC$9,MATCH($A219,'Historical Data'!$BE$2:$BE$9,0)),"")</f>
        <v/>
      </c>
      <c r="X219" s="110" t="str">
        <f aca="false">IF(B219="","",IF(W219=1,"NR + industry + position",IF(W219=2,"NR + ISO + position",IF(W219=3,"NR + industry",IF(W219=4,"NR + ISO",IF(W219=5,"NR + position",IF(W219=6,"NR only","book baseline"))))))&amp;"  ["&amp;IF(T219=1,"seasoned","unseasoned")&amp;IF(U219=1,", defaulted","")&amp;IF(V219=1,", open","")&amp;"]")</f>
        <v/>
      </c>
    </row>
    <row r="220" customFormat="false" ht="15" hidden="false" customHeight="false" outlineLevel="0" collapsed="false">
      <c r="A220" s="110" t="n">
        <v>216</v>
      </c>
      <c r="B220" s="111" t="str">
        <f aca="false">IFERROR(INDEX('Historical Data'!$A$2:$A$9,MATCH($A220,'Historical Data'!$BE$2:$BE$9,0)),"")</f>
        <v/>
      </c>
      <c r="C220" s="111" t="str">
        <f aca="false">IFERROR(INDEX('Historical Data'!$B$2:$B$9,MATCH($A220,'Historical Data'!$BE$2:$BE$9,0)),"")</f>
        <v/>
      </c>
      <c r="D220" s="111" t="str">
        <f aca="false">IFERROR(INDEX('Historical Data'!$D$2:$D$9,MATCH($A220,'Historical Data'!$BE$2:$BE$9,0)),"")</f>
        <v/>
      </c>
      <c r="E220" s="112" t="str">
        <f aca="false">IFERROR(INDEX('Historical Data'!$E$2:$E$9,MATCH($A220,'Historical Data'!$BE$2:$BE$9,0)),"")</f>
        <v/>
      </c>
      <c r="F220" s="111" t="str">
        <f aca="false">IFERROR(INDEX('Historical Data'!$G$2:$G$9,MATCH($A220,'Historical Data'!$BE$2:$BE$9,0)),"")</f>
        <v/>
      </c>
      <c r="G220" s="111" t="str">
        <f aca="false">IFERROR(INDEX('Historical Data'!$Y$2:$Y$9,MATCH($A220,'Historical Data'!$BE$2:$BE$9,0)),"")</f>
        <v/>
      </c>
      <c r="H220" s="111" t="str">
        <f aca="false">IFERROR(INDEX('Historical Data'!$K$2:$K$9,MATCH($A220,'Historical Data'!$BE$2:$BE$9,0)),"")</f>
        <v/>
      </c>
      <c r="I220" s="111" t="str">
        <f aca="false">IFERROR(INDEX('Historical Data'!$J$2:$J$9,MATCH($A220,'Historical Data'!$BE$2:$BE$9,0)),"")</f>
        <v/>
      </c>
      <c r="J220" s="111" t="str">
        <f aca="false">IFERROR(INDEX('Historical Data'!$L$2:$L$9,MATCH($A220,'Historical Data'!$BE$2:$BE$9,0)),"")</f>
        <v/>
      </c>
      <c r="K220" s="113" t="str">
        <f aca="false">IFERROR(INDEX('Historical Data'!$M$2:$M$9,MATCH($A220,'Historical Data'!$BE$2:$BE$9,0)),"")</f>
        <v/>
      </c>
      <c r="L220" s="114" t="str">
        <f aca="false">IFERROR(INDEX('Historical Data'!$N$2:$N$9,MATCH($A220,'Historical Data'!$BE$2:$BE$9,0)),"")</f>
        <v/>
      </c>
      <c r="M220" s="114" t="str">
        <f aca="false">IFERROR(INDEX('Historical Data'!$Q$2:$Q$9,MATCH($A220,'Historical Data'!$BE$2:$BE$9,0)),"")</f>
        <v/>
      </c>
      <c r="N220" s="115" t="str">
        <f aca="false">IFERROR(INDEX('Historical Data'!$S$2:$S$9,MATCH($A220,'Historical Data'!$BE$2:$BE$9,0)),"")</f>
        <v/>
      </c>
      <c r="O220" s="114" t="str">
        <f aca="false">IFERROR(INDEX('Historical Data'!$AJ$2:$AJ$9,MATCH($A220,'Historical Data'!$BE$2:$BE$9,0)),"")</f>
        <v/>
      </c>
      <c r="P220" s="114" t="str">
        <f aca="false">IFERROR(INDEX('Historical Data'!$AK$2:$AK$9,MATCH($A220,'Historical Data'!$BE$2:$BE$9,0)),"")</f>
        <v/>
      </c>
      <c r="Q220" s="111" t="str">
        <f aca="false">IFERROR(INDEX('Historical Data'!$AA$2:$AA$9,MATCH($A220,'Historical Data'!$BE$2:$BE$9,0)),"")</f>
        <v/>
      </c>
      <c r="R220" s="111" t="str">
        <f aca="false">IFERROR(INDEX('Historical Data'!$AB$2:$AB$9,MATCH($A220,'Historical Data'!$BE$2:$BE$9,0)),"")</f>
        <v/>
      </c>
      <c r="S220" s="111" t="str">
        <f aca="false">IFERROR(INDEX('Historical Data'!$AN$2:$AN$9,MATCH($A220,'Historical Data'!$BE$2:$BE$9,0)),"")</f>
        <v/>
      </c>
      <c r="T220" s="111" t="str">
        <f aca="false">IFERROR(INDEX('Historical Data'!$AC$2:$AC$9,MATCH($A220,'Historical Data'!$BE$2:$BE$9,0)),"")</f>
        <v/>
      </c>
      <c r="U220" s="111" t="str">
        <f aca="false">IFERROR(INDEX('Historical Data'!$AE$2:$AE$9,MATCH($A220,'Historical Data'!$BE$2:$BE$9,0)),"")</f>
        <v/>
      </c>
      <c r="V220" s="111" t="str">
        <f aca="false">IFERROR(INDEX('Historical Data'!$AH$2:$AH$9,MATCH($A220,'Historical Data'!$BE$2:$BE$9,0)),"")</f>
        <v/>
      </c>
      <c r="W220" s="111" t="str">
        <f aca="false">IFERROR(INDEX('Historical Data'!$BC$2:$BC$9,MATCH($A220,'Historical Data'!$BE$2:$BE$9,0)),"")</f>
        <v/>
      </c>
      <c r="X220" s="110" t="str">
        <f aca="false">IF(B220="","",IF(W220=1,"NR + industry + position",IF(W220=2,"NR + ISO + position",IF(W220=3,"NR + industry",IF(W220=4,"NR + ISO",IF(W220=5,"NR + position",IF(W220=6,"NR only","book baseline"))))))&amp;"  ["&amp;IF(T220=1,"seasoned","unseasoned")&amp;IF(U220=1,", defaulted","")&amp;IF(V220=1,", open","")&amp;"]")</f>
        <v/>
      </c>
    </row>
    <row r="221" customFormat="false" ht="15" hidden="false" customHeight="false" outlineLevel="0" collapsed="false">
      <c r="A221" s="110" t="n">
        <v>217</v>
      </c>
      <c r="B221" s="111" t="str">
        <f aca="false">IFERROR(INDEX('Historical Data'!$A$2:$A$9,MATCH($A221,'Historical Data'!$BE$2:$BE$9,0)),"")</f>
        <v/>
      </c>
      <c r="C221" s="111" t="str">
        <f aca="false">IFERROR(INDEX('Historical Data'!$B$2:$B$9,MATCH($A221,'Historical Data'!$BE$2:$BE$9,0)),"")</f>
        <v/>
      </c>
      <c r="D221" s="111" t="str">
        <f aca="false">IFERROR(INDEX('Historical Data'!$D$2:$D$9,MATCH($A221,'Historical Data'!$BE$2:$BE$9,0)),"")</f>
        <v/>
      </c>
      <c r="E221" s="112" t="str">
        <f aca="false">IFERROR(INDEX('Historical Data'!$E$2:$E$9,MATCH($A221,'Historical Data'!$BE$2:$BE$9,0)),"")</f>
        <v/>
      </c>
      <c r="F221" s="111" t="str">
        <f aca="false">IFERROR(INDEX('Historical Data'!$G$2:$G$9,MATCH($A221,'Historical Data'!$BE$2:$BE$9,0)),"")</f>
        <v/>
      </c>
      <c r="G221" s="111" t="str">
        <f aca="false">IFERROR(INDEX('Historical Data'!$Y$2:$Y$9,MATCH($A221,'Historical Data'!$BE$2:$BE$9,0)),"")</f>
        <v/>
      </c>
      <c r="H221" s="111" t="str">
        <f aca="false">IFERROR(INDEX('Historical Data'!$K$2:$K$9,MATCH($A221,'Historical Data'!$BE$2:$BE$9,0)),"")</f>
        <v/>
      </c>
      <c r="I221" s="111" t="str">
        <f aca="false">IFERROR(INDEX('Historical Data'!$J$2:$J$9,MATCH($A221,'Historical Data'!$BE$2:$BE$9,0)),"")</f>
        <v/>
      </c>
      <c r="J221" s="111" t="str">
        <f aca="false">IFERROR(INDEX('Historical Data'!$L$2:$L$9,MATCH($A221,'Historical Data'!$BE$2:$BE$9,0)),"")</f>
        <v/>
      </c>
      <c r="K221" s="113" t="str">
        <f aca="false">IFERROR(INDEX('Historical Data'!$M$2:$M$9,MATCH($A221,'Historical Data'!$BE$2:$BE$9,0)),"")</f>
        <v/>
      </c>
      <c r="L221" s="114" t="str">
        <f aca="false">IFERROR(INDEX('Historical Data'!$N$2:$N$9,MATCH($A221,'Historical Data'!$BE$2:$BE$9,0)),"")</f>
        <v/>
      </c>
      <c r="M221" s="114" t="str">
        <f aca="false">IFERROR(INDEX('Historical Data'!$Q$2:$Q$9,MATCH($A221,'Historical Data'!$BE$2:$BE$9,0)),"")</f>
        <v/>
      </c>
      <c r="N221" s="115" t="str">
        <f aca="false">IFERROR(INDEX('Historical Data'!$S$2:$S$9,MATCH($A221,'Historical Data'!$BE$2:$BE$9,0)),"")</f>
        <v/>
      </c>
      <c r="O221" s="114" t="str">
        <f aca="false">IFERROR(INDEX('Historical Data'!$AJ$2:$AJ$9,MATCH($A221,'Historical Data'!$BE$2:$BE$9,0)),"")</f>
        <v/>
      </c>
      <c r="P221" s="114" t="str">
        <f aca="false">IFERROR(INDEX('Historical Data'!$AK$2:$AK$9,MATCH($A221,'Historical Data'!$BE$2:$BE$9,0)),"")</f>
        <v/>
      </c>
      <c r="Q221" s="111" t="str">
        <f aca="false">IFERROR(INDEX('Historical Data'!$AA$2:$AA$9,MATCH($A221,'Historical Data'!$BE$2:$BE$9,0)),"")</f>
        <v/>
      </c>
      <c r="R221" s="111" t="str">
        <f aca="false">IFERROR(INDEX('Historical Data'!$AB$2:$AB$9,MATCH($A221,'Historical Data'!$BE$2:$BE$9,0)),"")</f>
        <v/>
      </c>
      <c r="S221" s="111" t="str">
        <f aca="false">IFERROR(INDEX('Historical Data'!$AN$2:$AN$9,MATCH($A221,'Historical Data'!$BE$2:$BE$9,0)),"")</f>
        <v/>
      </c>
      <c r="T221" s="111" t="str">
        <f aca="false">IFERROR(INDEX('Historical Data'!$AC$2:$AC$9,MATCH($A221,'Historical Data'!$BE$2:$BE$9,0)),"")</f>
        <v/>
      </c>
      <c r="U221" s="111" t="str">
        <f aca="false">IFERROR(INDEX('Historical Data'!$AE$2:$AE$9,MATCH($A221,'Historical Data'!$BE$2:$BE$9,0)),"")</f>
        <v/>
      </c>
      <c r="V221" s="111" t="str">
        <f aca="false">IFERROR(INDEX('Historical Data'!$AH$2:$AH$9,MATCH($A221,'Historical Data'!$BE$2:$BE$9,0)),"")</f>
        <v/>
      </c>
      <c r="W221" s="111" t="str">
        <f aca="false">IFERROR(INDEX('Historical Data'!$BC$2:$BC$9,MATCH($A221,'Historical Data'!$BE$2:$BE$9,0)),"")</f>
        <v/>
      </c>
      <c r="X221" s="110" t="str">
        <f aca="false">IF(B221="","",IF(W221=1,"NR + industry + position",IF(W221=2,"NR + ISO + position",IF(W221=3,"NR + industry",IF(W221=4,"NR + ISO",IF(W221=5,"NR + position",IF(W221=6,"NR only","book baseline"))))))&amp;"  ["&amp;IF(T221=1,"seasoned","unseasoned")&amp;IF(U221=1,", defaulted","")&amp;IF(V221=1,", open","")&amp;"]")</f>
        <v/>
      </c>
    </row>
    <row r="222" customFormat="false" ht="15" hidden="false" customHeight="false" outlineLevel="0" collapsed="false">
      <c r="A222" s="110" t="n">
        <v>218</v>
      </c>
      <c r="B222" s="111" t="str">
        <f aca="false">IFERROR(INDEX('Historical Data'!$A$2:$A$9,MATCH($A222,'Historical Data'!$BE$2:$BE$9,0)),"")</f>
        <v/>
      </c>
      <c r="C222" s="111" t="str">
        <f aca="false">IFERROR(INDEX('Historical Data'!$B$2:$B$9,MATCH($A222,'Historical Data'!$BE$2:$BE$9,0)),"")</f>
        <v/>
      </c>
      <c r="D222" s="111" t="str">
        <f aca="false">IFERROR(INDEX('Historical Data'!$D$2:$D$9,MATCH($A222,'Historical Data'!$BE$2:$BE$9,0)),"")</f>
        <v/>
      </c>
      <c r="E222" s="112" t="str">
        <f aca="false">IFERROR(INDEX('Historical Data'!$E$2:$E$9,MATCH($A222,'Historical Data'!$BE$2:$BE$9,0)),"")</f>
        <v/>
      </c>
      <c r="F222" s="111" t="str">
        <f aca="false">IFERROR(INDEX('Historical Data'!$G$2:$G$9,MATCH($A222,'Historical Data'!$BE$2:$BE$9,0)),"")</f>
        <v/>
      </c>
      <c r="G222" s="111" t="str">
        <f aca="false">IFERROR(INDEX('Historical Data'!$Y$2:$Y$9,MATCH($A222,'Historical Data'!$BE$2:$BE$9,0)),"")</f>
        <v/>
      </c>
      <c r="H222" s="111" t="str">
        <f aca="false">IFERROR(INDEX('Historical Data'!$K$2:$K$9,MATCH($A222,'Historical Data'!$BE$2:$BE$9,0)),"")</f>
        <v/>
      </c>
      <c r="I222" s="111" t="str">
        <f aca="false">IFERROR(INDEX('Historical Data'!$J$2:$J$9,MATCH($A222,'Historical Data'!$BE$2:$BE$9,0)),"")</f>
        <v/>
      </c>
      <c r="J222" s="111" t="str">
        <f aca="false">IFERROR(INDEX('Historical Data'!$L$2:$L$9,MATCH($A222,'Historical Data'!$BE$2:$BE$9,0)),"")</f>
        <v/>
      </c>
      <c r="K222" s="113" t="str">
        <f aca="false">IFERROR(INDEX('Historical Data'!$M$2:$M$9,MATCH($A222,'Historical Data'!$BE$2:$BE$9,0)),"")</f>
        <v/>
      </c>
      <c r="L222" s="114" t="str">
        <f aca="false">IFERROR(INDEX('Historical Data'!$N$2:$N$9,MATCH($A222,'Historical Data'!$BE$2:$BE$9,0)),"")</f>
        <v/>
      </c>
      <c r="M222" s="114" t="str">
        <f aca="false">IFERROR(INDEX('Historical Data'!$Q$2:$Q$9,MATCH($A222,'Historical Data'!$BE$2:$BE$9,0)),"")</f>
        <v/>
      </c>
      <c r="N222" s="115" t="str">
        <f aca="false">IFERROR(INDEX('Historical Data'!$S$2:$S$9,MATCH($A222,'Historical Data'!$BE$2:$BE$9,0)),"")</f>
        <v/>
      </c>
      <c r="O222" s="114" t="str">
        <f aca="false">IFERROR(INDEX('Historical Data'!$AJ$2:$AJ$9,MATCH($A222,'Historical Data'!$BE$2:$BE$9,0)),"")</f>
        <v/>
      </c>
      <c r="P222" s="114" t="str">
        <f aca="false">IFERROR(INDEX('Historical Data'!$AK$2:$AK$9,MATCH($A222,'Historical Data'!$BE$2:$BE$9,0)),"")</f>
        <v/>
      </c>
      <c r="Q222" s="111" t="str">
        <f aca="false">IFERROR(INDEX('Historical Data'!$AA$2:$AA$9,MATCH($A222,'Historical Data'!$BE$2:$BE$9,0)),"")</f>
        <v/>
      </c>
      <c r="R222" s="111" t="str">
        <f aca="false">IFERROR(INDEX('Historical Data'!$AB$2:$AB$9,MATCH($A222,'Historical Data'!$BE$2:$BE$9,0)),"")</f>
        <v/>
      </c>
      <c r="S222" s="111" t="str">
        <f aca="false">IFERROR(INDEX('Historical Data'!$AN$2:$AN$9,MATCH($A222,'Historical Data'!$BE$2:$BE$9,0)),"")</f>
        <v/>
      </c>
      <c r="T222" s="111" t="str">
        <f aca="false">IFERROR(INDEX('Historical Data'!$AC$2:$AC$9,MATCH($A222,'Historical Data'!$BE$2:$BE$9,0)),"")</f>
        <v/>
      </c>
      <c r="U222" s="111" t="str">
        <f aca="false">IFERROR(INDEX('Historical Data'!$AE$2:$AE$9,MATCH($A222,'Historical Data'!$BE$2:$BE$9,0)),"")</f>
        <v/>
      </c>
      <c r="V222" s="111" t="str">
        <f aca="false">IFERROR(INDEX('Historical Data'!$AH$2:$AH$9,MATCH($A222,'Historical Data'!$BE$2:$BE$9,0)),"")</f>
        <v/>
      </c>
      <c r="W222" s="111" t="str">
        <f aca="false">IFERROR(INDEX('Historical Data'!$BC$2:$BC$9,MATCH($A222,'Historical Data'!$BE$2:$BE$9,0)),"")</f>
        <v/>
      </c>
      <c r="X222" s="110" t="str">
        <f aca="false">IF(B222="","",IF(W222=1,"NR + industry + position",IF(W222=2,"NR + ISO + position",IF(W222=3,"NR + industry",IF(W222=4,"NR + ISO",IF(W222=5,"NR + position",IF(W222=6,"NR only","book baseline"))))))&amp;"  ["&amp;IF(T222=1,"seasoned","unseasoned")&amp;IF(U222=1,", defaulted","")&amp;IF(V222=1,", open","")&amp;"]")</f>
        <v/>
      </c>
    </row>
    <row r="223" customFormat="false" ht="15" hidden="false" customHeight="false" outlineLevel="0" collapsed="false">
      <c r="A223" s="110" t="n">
        <v>219</v>
      </c>
      <c r="B223" s="111" t="str">
        <f aca="false">IFERROR(INDEX('Historical Data'!$A$2:$A$9,MATCH($A223,'Historical Data'!$BE$2:$BE$9,0)),"")</f>
        <v/>
      </c>
      <c r="C223" s="111" t="str">
        <f aca="false">IFERROR(INDEX('Historical Data'!$B$2:$B$9,MATCH($A223,'Historical Data'!$BE$2:$BE$9,0)),"")</f>
        <v/>
      </c>
      <c r="D223" s="111" t="str">
        <f aca="false">IFERROR(INDEX('Historical Data'!$D$2:$D$9,MATCH($A223,'Historical Data'!$BE$2:$BE$9,0)),"")</f>
        <v/>
      </c>
      <c r="E223" s="112" t="str">
        <f aca="false">IFERROR(INDEX('Historical Data'!$E$2:$E$9,MATCH($A223,'Historical Data'!$BE$2:$BE$9,0)),"")</f>
        <v/>
      </c>
      <c r="F223" s="111" t="str">
        <f aca="false">IFERROR(INDEX('Historical Data'!$G$2:$G$9,MATCH($A223,'Historical Data'!$BE$2:$BE$9,0)),"")</f>
        <v/>
      </c>
      <c r="G223" s="111" t="str">
        <f aca="false">IFERROR(INDEX('Historical Data'!$Y$2:$Y$9,MATCH($A223,'Historical Data'!$BE$2:$BE$9,0)),"")</f>
        <v/>
      </c>
      <c r="H223" s="111" t="str">
        <f aca="false">IFERROR(INDEX('Historical Data'!$K$2:$K$9,MATCH($A223,'Historical Data'!$BE$2:$BE$9,0)),"")</f>
        <v/>
      </c>
      <c r="I223" s="111" t="str">
        <f aca="false">IFERROR(INDEX('Historical Data'!$J$2:$J$9,MATCH($A223,'Historical Data'!$BE$2:$BE$9,0)),"")</f>
        <v/>
      </c>
      <c r="J223" s="111" t="str">
        <f aca="false">IFERROR(INDEX('Historical Data'!$L$2:$L$9,MATCH($A223,'Historical Data'!$BE$2:$BE$9,0)),"")</f>
        <v/>
      </c>
      <c r="K223" s="113" t="str">
        <f aca="false">IFERROR(INDEX('Historical Data'!$M$2:$M$9,MATCH($A223,'Historical Data'!$BE$2:$BE$9,0)),"")</f>
        <v/>
      </c>
      <c r="L223" s="114" t="str">
        <f aca="false">IFERROR(INDEX('Historical Data'!$N$2:$N$9,MATCH($A223,'Historical Data'!$BE$2:$BE$9,0)),"")</f>
        <v/>
      </c>
      <c r="M223" s="114" t="str">
        <f aca="false">IFERROR(INDEX('Historical Data'!$Q$2:$Q$9,MATCH($A223,'Historical Data'!$BE$2:$BE$9,0)),"")</f>
        <v/>
      </c>
      <c r="N223" s="115" t="str">
        <f aca="false">IFERROR(INDEX('Historical Data'!$S$2:$S$9,MATCH($A223,'Historical Data'!$BE$2:$BE$9,0)),"")</f>
        <v/>
      </c>
      <c r="O223" s="114" t="str">
        <f aca="false">IFERROR(INDEX('Historical Data'!$AJ$2:$AJ$9,MATCH($A223,'Historical Data'!$BE$2:$BE$9,0)),"")</f>
        <v/>
      </c>
      <c r="P223" s="114" t="str">
        <f aca="false">IFERROR(INDEX('Historical Data'!$AK$2:$AK$9,MATCH($A223,'Historical Data'!$BE$2:$BE$9,0)),"")</f>
        <v/>
      </c>
      <c r="Q223" s="111" t="str">
        <f aca="false">IFERROR(INDEX('Historical Data'!$AA$2:$AA$9,MATCH($A223,'Historical Data'!$BE$2:$BE$9,0)),"")</f>
        <v/>
      </c>
      <c r="R223" s="111" t="str">
        <f aca="false">IFERROR(INDEX('Historical Data'!$AB$2:$AB$9,MATCH($A223,'Historical Data'!$BE$2:$BE$9,0)),"")</f>
        <v/>
      </c>
      <c r="S223" s="111" t="str">
        <f aca="false">IFERROR(INDEX('Historical Data'!$AN$2:$AN$9,MATCH($A223,'Historical Data'!$BE$2:$BE$9,0)),"")</f>
        <v/>
      </c>
      <c r="T223" s="111" t="str">
        <f aca="false">IFERROR(INDEX('Historical Data'!$AC$2:$AC$9,MATCH($A223,'Historical Data'!$BE$2:$BE$9,0)),"")</f>
        <v/>
      </c>
      <c r="U223" s="111" t="str">
        <f aca="false">IFERROR(INDEX('Historical Data'!$AE$2:$AE$9,MATCH($A223,'Historical Data'!$BE$2:$BE$9,0)),"")</f>
        <v/>
      </c>
      <c r="V223" s="111" t="str">
        <f aca="false">IFERROR(INDEX('Historical Data'!$AH$2:$AH$9,MATCH($A223,'Historical Data'!$BE$2:$BE$9,0)),"")</f>
        <v/>
      </c>
      <c r="W223" s="111" t="str">
        <f aca="false">IFERROR(INDEX('Historical Data'!$BC$2:$BC$9,MATCH($A223,'Historical Data'!$BE$2:$BE$9,0)),"")</f>
        <v/>
      </c>
      <c r="X223" s="110" t="str">
        <f aca="false">IF(B223="","",IF(W223=1,"NR + industry + position",IF(W223=2,"NR + ISO + position",IF(W223=3,"NR + industry",IF(W223=4,"NR + ISO",IF(W223=5,"NR + position",IF(W223=6,"NR only","book baseline"))))))&amp;"  ["&amp;IF(T223=1,"seasoned","unseasoned")&amp;IF(U223=1,", defaulted","")&amp;IF(V223=1,", open","")&amp;"]")</f>
        <v/>
      </c>
    </row>
    <row r="224" customFormat="false" ht="15" hidden="false" customHeight="false" outlineLevel="0" collapsed="false">
      <c r="A224" s="110" t="n">
        <v>220</v>
      </c>
      <c r="B224" s="111" t="str">
        <f aca="false">IFERROR(INDEX('Historical Data'!$A$2:$A$9,MATCH($A224,'Historical Data'!$BE$2:$BE$9,0)),"")</f>
        <v/>
      </c>
      <c r="C224" s="111" t="str">
        <f aca="false">IFERROR(INDEX('Historical Data'!$B$2:$B$9,MATCH($A224,'Historical Data'!$BE$2:$BE$9,0)),"")</f>
        <v/>
      </c>
      <c r="D224" s="111" t="str">
        <f aca="false">IFERROR(INDEX('Historical Data'!$D$2:$D$9,MATCH($A224,'Historical Data'!$BE$2:$BE$9,0)),"")</f>
        <v/>
      </c>
      <c r="E224" s="112" t="str">
        <f aca="false">IFERROR(INDEX('Historical Data'!$E$2:$E$9,MATCH($A224,'Historical Data'!$BE$2:$BE$9,0)),"")</f>
        <v/>
      </c>
      <c r="F224" s="111" t="str">
        <f aca="false">IFERROR(INDEX('Historical Data'!$G$2:$G$9,MATCH($A224,'Historical Data'!$BE$2:$BE$9,0)),"")</f>
        <v/>
      </c>
      <c r="G224" s="111" t="str">
        <f aca="false">IFERROR(INDEX('Historical Data'!$Y$2:$Y$9,MATCH($A224,'Historical Data'!$BE$2:$BE$9,0)),"")</f>
        <v/>
      </c>
      <c r="H224" s="111" t="str">
        <f aca="false">IFERROR(INDEX('Historical Data'!$K$2:$K$9,MATCH($A224,'Historical Data'!$BE$2:$BE$9,0)),"")</f>
        <v/>
      </c>
      <c r="I224" s="111" t="str">
        <f aca="false">IFERROR(INDEX('Historical Data'!$J$2:$J$9,MATCH($A224,'Historical Data'!$BE$2:$BE$9,0)),"")</f>
        <v/>
      </c>
      <c r="J224" s="111" t="str">
        <f aca="false">IFERROR(INDEX('Historical Data'!$L$2:$L$9,MATCH($A224,'Historical Data'!$BE$2:$BE$9,0)),"")</f>
        <v/>
      </c>
      <c r="K224" s="113" t="str">
        <f aca="false">IFERROR(INDEX('Historical Data'!$M$2:$M$9,MATCH($A224,'Historical Data'!$BE$2:$BE$9,0)),"")</f>
        <v/>
      </c>
      <c r="L224" s="114" t="str">
        <f aca="false">IFERROR(INDEX('Historical Data'!$N$2:$N$9,MATCH($A224,'Historical Data'!$BE$2:$BE$9,0)),"")</f>
        <v/>
      </c>
      <c r="M224" s="114" t="str">
        <f aca="false">IFERROR(INDEX('Historical Data'!$Q$2:$Q$9,MATCH($A224,'Historical Data'!$BE$2:$BE$9,0)),"")</f>
        <v/>
      </c>
      <c r="N224" s="115" t="str">
        <f aca="false">IFERROR(INDEX('Historical Data'!$S$2:$S$9,MATCH($A224,'Historical Data'!$BE$2:$BE$9,0)),"")</f>
        <v/>
      </c>
      <c r="O224" s="114" t="str">
        <f aca="false">IFERROR(INDEX('Historical Data'!$AJ$2:$AJ$9,MATCH($A224,'Historical Data'!$BE$2:$BE$9,0)),"")</f>
        <v/>
      </c>
      <c r="P224" s="114" t="str">
        <f aca="false">IFERROR(INDEX('Historical Data'!$AK$2:$AK$9,MATCH($A224,'Historical Data'!$BE$2:$BE$9,0)),"")</f>
        <v/>
      </c>
      <c r="Q224" s="111" t="str">
        <f aca="false">IFERROR(INDEX('Historical Data'!$AA$2:$AA$9,MATCH($A224,'Historical Data'!$BE$2:$BE$9,0)),"")</f>
        <v/>
      </c>
      <c r="R224" s="111" t="str">
        <f aca="false">IFERROR(INDEX('Historical Data'!$AB$2:$AB$9,MATCH($A224,'Historical Data'!$BE$2:$BE$9,0)),"")</f>
        <v/>
      </c>
      <c r="S224" s="111" t="str">
        <f aca="false">IFERROR(INDEX('Historical Data'!$AN$2:$AN$9,MATCH($A224,'Historical Data'!$BE$2:$BE$9,0)),"")</f>
        <v/>
      </c>
      <c r="T224" s="111" t="str">
        <f aca="false">IFERROR(INDEX('Historical Data'!$AC$2:$AC$9,MATCH($A224,'Historical Data'!$BE$2:$BE$9,0)),"")</f>
        <v/>
      </c>
      <c r="U224" s="111" t="str">
        <f aca="false">IFERROR(INDEX('Historical Data'!$AE$2:$AE$9,MATCH($A224,'Historical Data'!$BE$2:$BE$9,0)),"")</f>
        <v/>
      </c>
      <c r="V224" s="111" t="str">
        <f aca="false">IFERROR(INDEX('Historical Data'!$AH$2:$AH$9,MATCH($A224,'Historical Data'!$BE$2:$BE$9,0)),"")</f>
        <v/>
      </c>
      <c r="W224" s="111" t="str">
        <f aca="false">IFERROR(INDEX('Historical Data'!$BC$2:$BC$9,MATCH($A224,'Historical Data'!$BE$2:$BE$9,0)),"")</f>
        <v/>
      </c>
      <c r="X224" s="110" t="str">
        <f aca="false">IF(B224="","",IF(W224=1,"NR + industry + position",IF(W224=2,"NR + ISO + position",IF(W224=3,"NR + industry",IF(W224=4,"NR + ISO",IF(W224=5,"NR + position",IF(W224=6,"NR only","book baseline"))))))&amp;"  ["&amp;IF(T224=1,"seasoned","unseasoned")&amp;IF(U224=1,", defaulted","")&amp;IF(V224=1,", open","")&amp;"]")</f>
        <v/>
      </c>
    </row>
    <row r="225" customFormat="false" ht="15" hidden="false" customHeight="false" outlineLevel="0" collapsed="false">
      <c r="A225" s="110" t="n">
        <v>221</v>
      </c>
      <c r="B225" s="111" t="str">
        <f aca="false">IFERROR(INDEX('Historical Data'!$A$2:$A$9,MATCH($A225,'Historical Data'!$BE$2:$BE$9,0)),"")</f>
        <v/>
      </c>
      <c r="C225" s="111" t="str">
        <f aca="false">IFERROR(INDEX('Historical Data'!$B$2:$B$9,MATCH($A225,'Historical Data'!$BE$2:$BE$9,0)),"")</f>
        <v/>
      </c>
      <c r="D225" s="111" t="str">
        <f aca="false">IFERROR(INDEX('Historical Data'!$D$2:$D$9,MATCH($A225,'Historical Data'!$BE$2:$BE$9,0)),"")</f>
        <v/>
      </c>
      <c r="E225" s="112" t="str">
        <f aca="false">IFERROR(INDEX('Historical Data'!$E$2:$E$9,MATCH($A225,'Historical Data'!$BE$2:$BE$9,0)),"")</f>
        <v/>
      </c>
      <c r="F225" s="111" t="str">
        <f aca="false">IFERROR(INDEX('Historical Data'!$G$2:$G$9,MATCH($A225,'Historical Data'!$BE$2:$BE$9,0)),"")</f>
        <v/>
      </c>
      <c r="G225" s="111" t="str">
        <f aca="false">IFERROR(INDEX('Historical Data'!$Y$2:$Y$9,MATCH($A225,'Historical Data'!$BE$2:$BE$9,0)),"")</f>
        <v/>
      </c>
      <c r="H225" s="111" t="str">
        <f aca="false">IFERROR(INDEX('Historical Data'!$K$2:$K$9,MATCH($A225,'Historical Data'!$BE$2:$BE$9,0)),"")</f>
        <v/>
      </c>
      <c r="I225" s="111" t="str">
        <f aca="false">IFERROR(INDEX('Historical Data'!$J$2:$J$9,MATCH($A225,'Historical Data'!$BE$2:$BE$9,0)),"")</f>
        <v/>
      </c>
      <c r="J225" s="111" t="str">
        <f aca="false">IFERROR(INDEX('Historical Data'!$L$2:$L$9,MATCH($A225,'Historical Data'!$BE$2:$BE$9,0)),"")</f>
        <v/>
      </c>
      <c r="K225" s="113" t="str">
        <f aca="false">IFERROR(INDEX('Historical Data'!$M$2:$M$9,MATCH($A225,'Historical Data'!$BE$2:$BE$9,0)),"")</f>
        <v/>
      </c>
      <c r="L225" s="114" t="str">
        <f aca="false">IFERROR(INDEX('Historical Data'!$N$2:$N$9,MATCH($A225,'Historical Data'!$BE$2:$BE$9,0)),"")</f>
        <v/>
      </c>
      <c r="M225" s="114" t="str">
        <f aca="false">IFERROR(INDEX('Historical Data'!$Q$2:$Q$9,MATCH($A225,'Historical Data'!$BE$2:$BE$9,0)),"")</f>
        <v/>
      </c>
      <c r="N225" s="115" t="str">
        <f aca="false">IFERROR(INDEX('Historical Data'!$S$2:$S$9,MATCH($A225,'Historical Data'!$BE$2:$BE$9,0)),"")</f>
        <v/>
      </c>
      <c r="O225" s="114" t="str">
        <f aca="false">IFERROR(INDEX('Historical Data'!$AJ$2:$AJ$9,MATCH($A225,'Historical Data'!$BE$2:$BE$9,0)),"")</f>
        <v/>
      </c>
      <c r="P225" s="114" t="str">
        <f aca="false">IFERROR(INDEX('Historical Data'!$AK$2:$AK$9,MATCH($A225,'Historical Data'!$BE$2:$BE$9,0)),"")</f>
        <v/>
      </c>
      <c r="Q225" s="111" t="str">
        <f aca="false">IFERROR(INDEX('Historical Data'!$AA$2:$AA$9,MATCH($A225,'Historical Data'!$BE$2:$BE$9,0)),"")</f>
        <v/>
      </c>
      <c r="R225" s="111" t="str">
        <f aca="false">IFERROR(INDEX('Historical Data'!$AB$2:$AB$9,MATCH($A225,'Historical Data'!$BE$2:$BE$9,0)),"")</f>
        <v/>
      </c>
      <c r="S225" s="111" t="str">
        <f aca="false">IFERROR(INDEX('Historical Data'!$AN$2:$AN$9,MATCH($A225,'Historical Data'!$BE$2:$BE$9,0)),"")</f>
        <v/>
      </c>
      <c r="T225" s="111" t="str">
        <f aca="false">IFERROR(INDEX('Historical Data'!$AC$2:$AC$9,MATCH($A225,'Historical Data'!$BE$2:$BE$9,0)),"")</f>
        <v/>
      </c>
      <c r="U225" s="111" t="str">
        <f aca="false">IFERROR(INDEX('Historical Data'!$AE$2:$AE$9,MATCH($A225,'Historical Data'!$BE$2:$BE$9,0)),"")</f>
        <v/>
      </c>
      <c r="V225" s="111" t="str">
        <f aca="false">IFERROR(INDEX('Historical Data'!$AH$2:$AH$9,MATCH($A225,'Historical Data'!$BE$2:$BE$9,0)),"")</f>
        <v/>
      </c>
      <c r="W225" s="111" t="str">
        <f aca="false">IFERROR(INDEX('Historical Data'!$BC$2:$BC$9,MATCH($A225,'Historical Data'!$BE$2:$BE$9,0)),"")</f>
        <v/>
      </c>
      <c r="X225" s="110" t="str">
        <f aca="false">IF(B225="","",IF(W225=1,"NR + industry + position",IF(W225=2,"NR + ISO + position",IF(W225=3,"NR + industry",IF(W225=4,"NR + ISO",IF(W225=5,"NR + position",IF(W225=6,"NR only","book baseline"))))))&amp;"  ["&amp;IF(T225=1,"seasoned","unseasoned")&amp;IF(U225=1,", defaulted","")&amp;IF(V225=1,", open","")&amp;"]")</f>
        <v/>
      </c>
    </row>
    <row r="226" customFormat="false" ht="15" hidden="false" customHeight="false" outlineLevel="0" collapsed="false">
      <c r="A226" s="110" t="n">
        <v>222</v>
      </c>
      <c r="B226" s="111" t="str">
        <f aca="false">IFERROR(INDEX('Historical Data'!$A$2:$A$9,MATCH($A226,'Historical Data'!$BE$2:$BE$9,0)),"")</f>
        <v/>
      </c>
      <c r="C226" s="111" t="str">
        <f aca="false">IFERROR(INDEX('Historical Data'!$B$2:$B$9,MATCH($A226,'Historical Data'!$BE$2:$BE$9,0)),"")</f>
        <v/>
      </c>
      <c r="D226" s="111" t="str">
        <f aca="false">IFERROR(INDEX('Historical Data'!$D$2:$D$9,MATCH($A226,'Historical Data'!$BE$2:$BE$9,0)),"")</f>
        <v/>
      </c>
      <c r="E226" s="112" t="str">
        <f aca="false">IFERROR(INDEX('Historical Data'!$E$2:$E$9,MATCH($A226,'Historical Data'!$BE$2:$BE$9,0)),"")</f>
        <v/>
      </c>
      <c r="F226" s="111" t="str">
        <f aca="false">IFERROR(INDEX('Historical Data'!$G$2:$G$9,MATCH($A226,'Historical Data'!$BE$2:$BE$9,0)),"")</f>
        <v/>
      </c>
      <c r="G226" s="111" t="str">
        <f aca="false">IFERROR(INDEX('Historical Data'!$Y$2:$Y$9,MATCH($A226,'Historical Data'!$BE$2:$BE$9,0)),"")</f>
        <v/>
      </c>
      <c r="H226" s="111" t="str">
        <f aca="false">IFERROR(INDEX('Historical Data'!$K$2:$K$9,MATCH($A226,'Historical Data'!$BE$2:$BE$9,0)),"")</f>
        <v/>
      </c>
      <c r="I226" s="111" t="str">
        <f aca="false">IFERROR(INDEX('Historical Data'!$J$2:$J$9,MATCH($A226,'Historical Data'!$BE$2:$BE$9,0)),"")</f>
        <v/>
      </c>
      <c r="J226" s="111" t="str">
        <f aca="false">IFERROR(INDEX('Historical Data'!$L$2:$L$9,MATCH($A226,'Historical Data'!$BE$2:$BE$9,0)),"")</f>
        <v/>
      </c>
      <c r="K226" s="113" t="str">
        <f aca="false">IFERROR(INDEX('Historical Data'!$M$2:$M$9,MATCH($A226,'Historical Data'!$BE$2:$BE$9,0)),"")</f>
        <v/>
      </c>
      <c r="L226" s="114" t="str">
        <f aca="false">IFERROR(INDEX('Historical Data'!$N$2:$N$9,MATCH($A226,'Historical Data'!$BE$2:$BE$9,0)),"")</f>
        <v/>
      </c>
      <c r="M226" s="114" t="str">
        <f aca="false">IFERROR(INDEX('Historical Data'!$Q$2:$Q$9,MATCH($A226,'Historical Data'!$BE$2:$BE$9,0)),"")</f>
        <v/>
      </c>
      <c r="N226" s="115" t="str">
        <f aca="false">IFERROR(INDEX('Historical Data'!$S$2:$S$9,MATCH($A226,'Historical Data'!$BE$2:$BE$9,0)),"")</f>
        <v/>
      </c>
      <c r="O226" s="114" t="str">
        <f aca="false">IFERROR(INDEX('Historical Data'!$AJ$2:$AJ$9,MATCH($A226,'Historical Data'!$BE$2:$BE$9,0)),"")</f>
        <v/>
      </c>
      <c r="P226" s="114" t="str">
        <f aca="false">IFERROR(INDEX('Historical Data'!$AK$2:$AK$9,MATCH($A226,'Historical Data'!$BE$2:$BE$9,0)),"")</f>
        <v/>
      </c>
      <c r="Q226" s="111" t="str">
        <f aca="false">IFERROR(INDEX('Historical Data'!$AA$2:$AA$9,MATCH($A226,'Historical Data'!$BE$2:$BE$9,0)),"")</f>
        <v/>
      </c>
      <c r="R226" s="111" t="str">
        <f aca="false">IFERROR(INDEX('Historical Data'!$AB$2:$AB$9,MATCH($A226,'Historical Data'!$BE$2:$BE$9,0)),"")</f>
        <v/>
      </c>
      <c r="S226" s="111" t="str">
        <f aca="false">IFERROR(INDEX('Historical Data'!$AN$2:$AN$9,MATCH($A226,'Historical Data'!$BE$2:$BE$9,0)),"")</f>
        <v/>
      </c>
      <c r="T226" s="111" t="str">
        <f aca="false">IFERROR(INDEX('Historical Data'!$AC$2:$AC$9,MATCH($A226,'Historical Data'!$BE$2:$BE$9,0)),"")</f>
        <v/>
      </c>
      <c r="U226" s="111" t="str">
        <f aca="false">IFERROR(INDEX('Historical Data'!$AE$2:$AE$9,MATCH($A226,'Historical Data'!$BE$2:$BE$9,0)),"")</f>
        <v/>
      </c>
      <c r="V226" s="111" t="str">
        <f aca="false">IFERROR(INDEX('Historical Data'!$AH$2:$AH$9,MATCH($A226,'Historical Data'!$BE$2:$BE$9,0)),"")</f>
        <v/>
      </c>
      <c r="W226" s="111" t="str">
        <f aca="false">IFERROR(INDEX('Historical Data'!$BC$2:$BC$9,MATCH($A226,'Historical Data'!$BE$2:$BE$9,0)),"")</f>
        <v/>
      </c>
      <c r="X226" s="110" t="str">
        <f aca="false">IF(B226="","",IF(W226=1,"NR + industry + position",IF(W226=2,"NR + ISO + position",IF(W226=3,"NR + industry",IF(W226=4,"NR + ISO",IF(W226=5,"NR + position",IF(W226=6,"NR only","book baseline"))))))&amp;"  ["&amp;IF(T226=1,"seasoned","unseasoned")&amp;IF(U226=1,", defaulted","")&amp;IF(V226=1,", open","")&amp;"]")</f>
        <v/>
      </c>
    </row>
    <row r="227" customFormat="false" ht="15" hidden="false" customHeight="false" outlineLevel="0" collapsed="false">
      <c r="A227" s="110" t="n">
        <v>223</v>
      </c>
      <c r="B227" s="111" t="str">
        <f aca="false">IFERROR(INDEX('Historical Data'!$A$2:$A$9,MATCH($A227,'Historical Data'!$BE$2:$BE$9,0)),"")</f>
        <v/>
      </c>
      <c r="C227" s="111" t="str">
        <f aca="false">IFERROR(INDEX('Historical Data'!$B$2:$B$9,MATCH($A227,'Historical Data'!$BE$2:$BE$9,0)),"")</f>
        <v/>
      </c>
      <c r="D227" s="111" t="str">
        <f aca="false">IFERROR(INDEX('Historical Data'!$D$2:$D$9,MATCH($A227,'Historical Data'!$BE$2:$BE$9,0)),"")</f>
        <v/>
      </c>
      <c r="E227" s="112" t="str">
        <f aca="false">IFERROR(INDEX('Historical Data'!$E$2:$E$9,MATCH($A227,'Historical Data'!$BE$2:$BE$9,0)),"")</f>
        <v/>
      </c>
      <c r="F227" s="111" t="str">
        <f aca="false">IFERROR(INDEX('Historical Data'!$G$2:$G$9,MATCH($A227,'Historical Data'!$BE$2:$BE$9,0)),"")</f>
        <v/>
      </c>
      <c r="G227" s="111" t="str">
        <f aca="false">IFERROR(INDEX('Historical Data'!$Y$2:$Y$9,MATCH($A227,'Historical Data'!$BE$2:$BE$9,0)),"")</f>
        <v/>
      </c>
      <c r="H227" s="111" t="str">
        <f aca="false">IFERROR(INDEX('Historical Data'!$K$2:$K$9,MATCH($A227,'Historical Data'!$BE$2:$BE$9,0)),"")</f>
        <v/>
      </c>
      <c r="I227" s="111" t="str">
        <f aca="false">IFERROR(INDEX('Historical Data'!$J$2:$J$9,MATCH($A227,'Historical Data'!$BE$2:$BE$9,0)),"")</f>
        <v/>
      </c>
      <c r="J227" s="111" t="str">
        <f aca="false">IFERROR(INDEX('Historical Data'!$L$2:$L$9,MATCH($A227,'Historical Data'!$BE$2:$BE$9,0)),"")</f>
        <v/>
      </c>
      <c r="K227" s="113" t="str">
        <f aca="false">IFERROR(INDEX('Historical Data'!$M$2:$M$9,MATCH($A227,'Historical Data'!$BE$2:$BE$9,0)),"")</f>
        <v/>
      </c>
      <c r="L227" s="114" t="str">
        <f aca="false">IFERROR(INDEX('Historical Data'!$N$2:$N$9,MATCH($A227,'Historical Data'!$BE$2:$BE$9,0)),"")</f>
        <v/>
      </c>
      <c r="M227" s="114" t="str">
        <f aca="false">IFERROR(INDEX('Historical Data'!$Q$2:$Q$9,MATCH($A227,'Historical Data'!$BE$2:$BE$9,0)),"")</f>
        <v/>
      </c>
      <c r="N227" s="115" t="str">
        <f aca="false">IFERROR(INDEX('Historical Data'!$S$2:$S$9,MATCH($A227,'Historical Data'!$BE$2:$BE$9,0)),"")</f>
        <v/>
      </c>
      <c r="O227" s="114" t="str">
        <f aca="false">IFERROR(INDEX('Historical Data'!$AJ$2:$AJ$9,MATCH($A227,'Historical Data'!$BE$2:$BE$9,0)),"")</f>
        <v/>
      </c>
      <c r="P227" s="114" t="str">
        <f aca="false">IFERROR(INDEX('Historical Data'!$AK$2:$AK$9,MATCH($A227,'Historical Data'!$BE$2:$BE$9,0)),"")</f>
        <v/>
      </c>
      <c r="Q227" s="111" t="str">
        <f aca="false">IFERROR(INDEX('Historical Data'!$AA$2:$AA$9,MATCH($A227,'Historical Data'!$BE$2:$BE$9,0)),"")</f>
        <v/>
      </c>
      <c r="R227" s="111" t="str">
        <f aca="false">IFERROR(INDEX('Historical Data'!$AB$2:$AB$9,MATCH($A227,'Historical Data'!$BE$2:$BE$9,0)),"")</f>
        <v/>
      </c>
      <c r="S227" s="111" t="str">
        <f aca="false">IFERROR(INDEX('Historical Data'!$AN$2:$AN$9,MATCH($A227,'Historical Data'!$BE$2:$BE$9,0)),"")</f>
        <v/>
      </c>
      <c r="T227" s="111" t="str">
        <f aca="false">IFERROR(INDEX('Historical Data'!$AC$2:$AC$9,MATCH($A227,'Historical Data'!$BE$2:$BE$9,0)),"")</f>
        <v/>
      </c>
      <c r="U227" s="111" t="str">
        <f aca="false">IFERROR(INDEX('Historical Data'!$AE$2:$AE$9,MATCH($A227,'Historical Data'!$BE$2:$BE$9,0)),"")</f>
        <v/>
      </c>
      <c r="V227" s="111" t="str">
        <f aca="false">IFERROR(INDEX('Historical Data'!$AH$2:$AH$9,MATCH($A227,'Historical Data'!$BE$2:$BE$9,0)),"")</f>
        <v/>
      </c>
      <c r="W227" s="111" t="str">
        <f aca="false">IFERROR(INDEX('Historical Data'!$BC$2:$BC$9,MATCH($A227,'Historical Data'!$BE$2:$BE$9,0)),"")</f>
        <v/>
      </c>
      <c r="X227" s="110" t="str">
        <f aca="false">IF(B227="","",IF(W227=1,"NR + industry + position",IF(W227=2,"NR + ISO + position",IF(W227=3,"NR + industry",IF(W227=4,"NR + ISO",IF(W227=5,"NR + position",IF(W227=6,"NR only","book baseline"))))))&amp;"  ["&amp;IF(T227=1,"seasoned","unseasoned")&amp;IF(U227=1,", defaulted","")&amp;IF(V227=1,", open","")&amp;"]")</f>
        <v/>
      </c>
    </row>
    <row r="228" customFormat="false" ht="15" hidden="false" customHeight="false" outlineLevel="0" collapsed="false">
      <c r="A228" s="110" t="n">
        <v>224</v>
      </c>
      <c r="B228" s="111" t="str">
        <f aca="false">IFERROR(INDEX('Historical Data'!$A$2:$A$9,MATCH($A228,'Historical Data'!$BE$2:$BE$9,0)),"")</f>
        <v/>
      </c>
      <c r="C228" s="111" t="str">
        <f aca="false">IFERROR(INDEX('Historical Data'!$B$2:$B$9,MATCH($A228,'Historical Data'!$BE$2:$BE$9,0)),"")</f>
        <v/>
      </c>
      <c r="D228" s="111" t="str">
        <f aca="false">IFERROR(INDEX('Historical Data'!$D$2:$D$9,MATCH($A228,'Historical Data'!$BE$2:$BE$9,0)),"")</f>
        <v/>
      </c>
      <c r="E228" s="112" t="str">
        <f aca="false">IFERROR(INDEX('Historical Data'!$E$2:$E$9,MATCH($A228,'Historical Data'!$BE$2:$BE$9,0)),"")</f>
        <v/>
      </c>
      <c r="F228" s="111" t="str">
        <f aca="false">IFERROR(INDEX('Historical Data'!$G$2:$G$9,MATCH($A228,'Historical Data'!$BE$2:$BE$9,0)),"")</f>
        <v/>
      </c>
      <c r="G228" s="111" t="str">
        <f aca="false">IFERROR(INDEX('Historical Data'!$Y$2:$Y$9,MATCH($A228,'Historical Data'!$BE$2:$BE$9,0)),"")</f>
        <v/>
      </c>
      <c r="H228" s="111" t="str">
        <f aca="false">IFERROR(INDEX('Historical Data'!$K$2:$K$9,MATCH($A228,'Historical Data'!$BE$2:$BE$9,0)),"")</f>
        <v/>
      </c>
      <c r="I228" s="111" t="str">
        <f aca="false">IFERROR(INDEX('Historical Data'!$J$2:$J$9,MATCH($A228,'Historical Data'!$BE$2:$BE$9,0)),"")</f>
        <v/>
      </c>
      <c r="J228" s="111" t="str">
        <f aca="false">IFERROR(INDEX('Historical Data'!$L$2:$L$9,MATCH($A228,'Historical Data'!$BE$2:$BE$9,0)),"")</f>
        <v/>
      </c>
      <c r="K228" s="113" t="str">
        <f aca="false">IFERROR(INDEX('Historical Data'!$M$2:$M$9,MATCH($A228,'Historical Data'!$BE$2:$BE$9,0)),"")</f>
        <v/>
      </c>
      <c r="L228" s="114" t="str">
        <f aca="false">IFERROR(INDEX('Historical Data'!$N$2:$N$9,MATCH($A228,'Historical Data'!$BE$2:$BE$9,0)),"")</f>
        <v/>
      </c>
      <c r="M228" s="114" t="str">
        <f aca="false">IFERROR(INDEX('Historical Data'!$Q$2:$Q$9,MATCH($A228,'Historical Data'!$BE$2:$BE$9,0)),"")</f>
        <v/>
      </c>
      <c r="N228" s="115" t="str">
        <f aca="false">IFERROR(INDEX('Historical Data'!$S$2:$S$9,MATCH($A228,'Historical Data'!$BE$2:$BE$9,0)),"")</f>
        <v/>
      </c>
      <c r="O228" s="114" t="str">
        <f aca="false">IFERROR(INDEX('Historical Data'!$AJ$2:$AJ$9,MATCH($A228,'Historical Data'!$BE$2:$BE$9,0)),"")</f>
        <v/>
      </c>
      <c r="P228" s="114" t="str">
        <f aca="false">IFERROR(INDEX('Historical Data'!$AK$2:$AK$9,MATCH($A228,'Historical Data'!$BE$2:$BE$9,0)),"")</f>
        <v/>
      </c>
      <c r="Q228" s="111" t="str">
        <f aca="false">IFERROR(INDEX('Historical Data'!$AA$2:$AA$9,MATCH($A228,'Historical Data'!$BE$2:$BE$9,0)),"")</f>
        <v/>
      </c>
      <c r="R228" s="111" t="str">
        <f aca="false">IFERROR(INDEX('Historical Data'!$AB$2:$AB$9,MATCH($A228,'Historical Data'!$BE$2:$BE$9,0)),"")</f>
        <v/>
      </c>
      <c r="S228" s="111" t="str">
        <f aca="false">IFERROR(INDEX('Historical Data'!$AN$2:$AN$9,MATCH($A228,'Historical Data'!$BE$2:$BE$9,0)),"")</f>
        <v/>
      </c>
      <c r="T228" s="111" t="str">
        <f aca="false">IFERROR(INDEX('Historical Data'!$AC$2:$AC$9,MATCH($A228,'Historical Data'!$BE$2:$BE$9,0)),"")</f>
        <v/>
      </c>
      <c r="U228" s="111" t="str">
        <f aca="false">IFERROR(INDEX('Historical Data'!$AE$2:$AE$9,MATCH($A228,'Historical Data'!$BE$2:$BE$9,0)),"")</f>
        <v/>
      </c>
      <c r="V228" s="111" t="str">
        <f aca="false">IFERROR(INDEX('Historical Data'!$AH$2:$AH$9,MATCH($A228,'Historical Data'!$BE$2:$BE$9,0)),"")</f>
        <v/>
      </c>
      <c r="W228" s="111" t="str">
        <f aca="false">IFERROR(INDEX('Historical Data'!$BC$2:$BC$9,MATCH($A228,'Historical Data'!$BE$2:$BE$9,0)),"")</f>
        <v/>
      </c>
      <c r="X228" s="110" t="str">
        <f aca="false">IF(B228="","",IF(W228=1,"NR + industry + position",IF(W228=2,"NR + ISO + position",IF(W228=3,"NR + industry",IF(W228=4,"NR + ISO",IF(W228=5,"NR + position",IF(W228=6,"NR only","book baseline"))))))&amp;"  ["&amp;IF(T228=1,"seasoned","unseasoned")&amp;IF(U228=1,", defaulted","")&amp;IF(V228=1,", open","")&amp;"]")</f>
        <v/>
      </c>
    </row>
    <row r="229" customFormat="false" ht="15" hidden="false" customHeight="false" outlineLevel="0" collapsed="false">
      <c r="A229" s="110" t="n">
        <v>225</v>
      </c>
      <c r="B229" s="111" t="str">
        <f aca="false">IFERROR(INDEX('Historical Data'!$A$2:$A$9,MATCH($A229,'Historical Data'!$BE$2:$BE$9,0)),"")</f>
        <v/>
      </c>
      <c r="C229" s="111" t="str">
        <f aca="false">IFERROR(INDEX('Historical Data'!$B$2:$B$9,MATCH($A229,'Historical Data'!$BE$2:$BE$9,0)),"")</f>
        <v/>
      </c>
      <c r="D229" s="111" t="str">
        <f aca="false">IFERROR(INDEX('Historical Data'!$D$2:$D$9,MATCH($A229,'Historical Data'!$BE$2:$BE$9,0)),"")</f>
        <v/>
      </c>
      <c r="E229" s="112" t="str">
        <f aca="false">IFERROR(INDEX('Historical Data'!$E$2:$E$9,MATCH($A229,'Historical Data'!$BE$2:$BE$9,0)),"")</f>
        <v/>
      </c>
      <c r="F229" s="111" t="str">
        <f aca="false">IFERROR(INDEX('Historical Data'!$G$2:$G$9,MATCH($A229,'Historical Data'!$BE$2:$BE$9,0)),"")</f>
        <v/>
      </c>
      <c r="G229" s="111" t="str">
        <f aca="false">IFERROR(INDEX('Historical Data'!$Y$2:$Y$9,MATCH($A229,'Historical Data'!$BE$2:$BE$9,0)),"")</f>
        <v/>
      </c>
      <c r="H229" s="111" t="str">
        <f aca="false">IFERROR(INDEX('Historical Data'!$K$2:$K$9,MATCH($A229,'Historical Data'!$BE$2:$BE$9,0)),"")</f>
        <v/>
      </c>
      <c r="I229" s="111" t="str">
        <f aca="false">IFERROR(INDEX('Historical Data'!$J$2:$J$9,MATCH($A229,'Historical Data'!$BE$2:$BE$9,0)),"")</f>
        <v/>
      </c>
      <c r="J229" s="111" t="str">
        <f aca="false">IFERROR(INDEX('Historical Data'!$L$2:$L$9,MATCH($A229,'Historical Data'!$BE$2:$BE$9,0)),"")</f>
        <v/>
      </c>
      <c r="K229" s="113" t="str">
        <f aca="false">IFERROR(INDEX('Historical Data'!$M$2:$M$9,MATCH($A229,'Historical Data'!$BE$2:$BE$9,0)),"")</f>
        <v/>
      </c>
      <c r="L229" s="114" t="str">
        <f aca="false">IFERROR(INDEX('Historical Data'!$N$2:$N$9,MATCH($A229,'Historical Data'!$BE$2:$BE$9,0)),"")</f>
        <v/>
      </c>
      <c r="M229" s="114" t="str">
        <f aca="false">IFERROR(INDEX('Historical Data'!$Q$2:$Q$9,MATCH($A229,'Historical Data'!$BE$2:$BE$9,0)),"")</f>
        <v/>
      </c>
      <c r="N229" s="115" t="str">
        <f aca="false">IFERROR(INDEX('Historical Data'!$S$2:$S$9,MATCH($A229,'Historical Data'!$BE$2:$BE$9,0)),"")</f>
        <v/>
      </c>
      <c r="O229" s="114" t="str">
        <f aca="false">IFERROR(INDEX('Historical Data'!$AJ$2:$AJ$9,MATCH($A229,'Historical Data'!$BE$2:$BE$9,0)),"")</f>
        <v/>
      </c>
      <c r="P229" s="114" t="str">
        <f aca="false">IFERROR(INDEX('Historical Data'!$AK$2:$AK$9,MATCH($A229,'Historical Data'!$BE$2:$BE$9,0)),"")</f>
        <v/>
      </c>
      <c r="Q229" s="111" t="str">
        <f aca="false">IFERROR(INDEX('Historical Data'!$AA$2:$AA$9,MATCH($A229,'Historical Data'!$BE$2:$BE$9,0)),"")</f>
        <v/>
      </c>
      <c r="R229" s="111" t="str">
        <f aca="false">IFERROR(INDEX('Historical Data'!$AB$2:$AB$9,MATCH($A229,'Historical Data'!$BE$2:$BE$9,0)),"")</f>
        <v/>
      </c>
      <c r="S229" s="111" t="str">
        <f aca="false">IFERROR(INDEX('Historical Data'!$AN$2:$AN$9,MATCH($A229,'Historical Data'!$BE$2:$BE$9,0)),"")</f>
        <v/>
      </c>
      <c r="T229" s="111" t="str">
        <f aca="false">IFERROR(INDEX('Historical Data'!$AC$2:$AC$9,MATCH($A229,'Historical Data'!$BE$2:$BE$9,0)),"")</f>
        <v/>
      </c>
      <c r="U229" s="111" t="str">
        <f aca="false">IFERROR(INDEX('Historical Data'!$AE$2:$AE$9,MATCH($A229,'Historical Data'!$BE$2:$BE$9,0)),"")</f>
        <v/>
      </c>
      <c r="V229" s="111" t="str">
        <f aca="false">IFERROR(INDEX('Historical Data'!$AH$2:$AH$9,MATCH($A229,'Historical Data'!$BE$2:$BE$9,0)),"")</f>
        <v/>
      </c>
      <c r="W229" s="111" t="str">
        <f aca="false">IFERROR(INDEX('Historical Data'!$BC$2:$BC$9,MATCH($A229,'Historical Data'!$BE$2:$BE$9,0)),"")</f>
        <v/>
      </c>
      <c r="X229" s="110" t="str">
        <f aca="false">IF(B229="","",IF(W229=1,"NR + industry + position",IF(W229=2,"NR + ISO + position",IF(W229=3,"NR + industry",IF(W229=4,"NR + ISO",IF(W229=5,"NR + position",IF(W229=6,"NR only","book baseline"))))))&amp;"  ["&amp;IF(T229=1,"seasoned","unseasoned")&amp;IF(U229=1,", defaulted","")&amp;IF(V229=1,", open","")&amp;"]")</f>
        <v/>
      </c>
    </row>
    <row r="230" customFormat="false" ht="15" hidden="false" customHeight="false" outlineLevel="0" collapsed="false">
      <c r="A230" s="110" t="n">
        <v>226</v>
      </c>
      <c r="B230" s="111" t="str">
        <f aca="false">IFERROR(INDEX('Historical Data'!$A$2:$A$9,MATCH($A230,'Historical Data'!$BE$2:$BE$9,0)),"")</f>
        <v/>
      </c>
      <c r="C230" s="111" t="str">
        <f aca="false">IFERROR(INDEX('Historical Data'!$B$2:$B$9,MATCH($A230,'Historical Data'!$BE$2:$BE$9,0)),"")</f>
        <v/>
      </c>
      <c r="D230" s="111" t="str">
        <f aca="false">IFERROR(INDEX('Historical Data'!$D$2:$D$9,MATCH($A230,'Historical Data'!$BE$2:$BE$9,0)),"")</f>
        <v/>
      </c>
      <c r="E230" s="112" t="str">
        <f aca="false">IFERROR(INDEX('Historical Data'!$E$2:$E$9,MATCH($A230,'Historical Data'!$BE$2:$BE$9,0)),"")</f>
        <v/>
      </c>
      <c r="F230" s="111" t="str">
        <f aca="false">IFERROR(INDEX('Historical Data'!$G$2:$G$9,MATCH($A230,'Historical Data'!$BE$2:$BE$9,0)),"")</f>
        <v/>
      </c>
      <c r="G230" s="111" t="str">
        <f aca="false">IFERROR(INDEX('Historical Data'!$Y$2:$Y$9,MATCH($A230,'Historical Data'!$BE$2:$BE$9,0)),"")</f>
        <v/>
      </c>
      <c r="H230" s="111" t="str">
        <f aca="false">IFERROR(INDEX('Historical Data'!$K$2:$K$9,MATCH($A230,'Historical Data'!$BE$2:$BE$9,0)),"")</f>
        <v/>
      </c>
      <c r="I230" s="111" t="str">
        <f aca="false">IFERROR(INDEX('Historical Data'!$J$2:$J$9,MATCH($A230,'Historical Data'!$BE$2:$BE$9,0)),"")</f>
        <v/>
      </c>
      <c r="J230" s="111" t="str">
        <f aca="false">IFERROR(INDEX('Historical Data'!$L$2:$L$9,MATCH($A230,'Historical Data'!$BE$2:$BE$9,0)),"")</f>
        <v/>
      </c>
      <c r="K230" s="113" t="str">
        <f aca="false">IFERROR(INDEX('Historical Data'!$M$2:$M$9,MATCH($A230,'Historical Data'!$BE$2:$BE$9,0)),"")</f>
        <v/>
      </c>
      <c r="L230" s="114" t="str">
        <f aca="false">IFERROR(INDEX('Historical Data'!$N$2:$N$9,MATCH($A230,'Historical Data'!$BE$2:$BE$9,0)),"")</f>
        <v/>
      </c>
      <c r="M230" s="114" t="str">
        <f aca="false">IFERROR(INDEX('Historical Data'!$Q$2:$Q$9,MATCH($A230,'Historical Data'!$BE$2:$BE$9,0)),"")</f>
        <v/>
      </c>
      <c r="N230" s="115" t="str">
        <f aca="false">IFERROR(INDEX('Historical Data'!$S$2:$S$9,MATCH($A230,'Historical Data'!$BE$2:$BE$9,0)),"")</f>
        <v/>
      </c>
      <c r="O230" s="114" t="str">
        <f aca="false">IFERROR(INDEX('Historical Data'!$AJ$2:$AJ$9,MATCH($A230,'Historical Data'!$BE$2:$BE$9,0)),"")</f>
        <v/>
      </c>
      <c r="P230" s="114" t="str">
        <f aca="false">IFERROR(INDEX('Historical Data'!$AK$2:$AK$9,MATCH($A230,'Historical Data'!$BE$2:$BE$9,0)),"")</f>
        <v/>
      </c>
      <c r="Q230" s="111" t="str">
        <f aca="false">IFERROR(INDEX('Historical Data'!$AA$2:$AA$9,MATCH($A230,'Historical Data'!$BE$2:$BE$9,0)),"")</f>
        <v/>
      </c>
      <c r="R230" s="111" t="str">
        <f aca="false">IFERROR(INDEX('Historical Data'!$AB$2:$AB$9,MATCH($A230,'Historical Data'!$BE$2:$BE$9,0)),"")</f>
        <v/>
      </c>
      <c r="S230" s="111" t="str">
        <f aca="false">IFERROR(INDEX('Historical Data'!$AN$2:$AN$9,MATCH($A230,'Historical Data'!$BE$2:$BE$9,0)),"")</f>
        <v/>
      </c>
      <c r="T230" s="111" t="str">
        <f aca="false">IFERROR(INDEX('Historical Data'!$AC$2:$AC$9,MATCH($A230,'Historical Data'!$BE$2:$BE$9,0)),"")</f>
        <v/>
      </c>
      <c r="U230" s="111" t="str">
        <f aca="false">IFERROR(INDEX('Historical Data'!$AE$2:$AE$9,MATCH($A230,'Historical Data'!$BE$2:$BE$9,0)),"")</f>
        <v/>
      </c>
      <c r="V230" s="111" t="str">
        <f aca="false">IFERROR(INDEX('Historical Data'!$AH$2:$AH$9,MATCH($A230,'Historical Data'!$BE$2:$BE$9,0)),"")</f>
        <v/>
      </c>
      <c r="W230" s="111" t="str">
        <f aca="false">IFERROR(INDEX('Historical Data'!$BC$2:$BC$9,MATCH($A230,'Historical Data'!$BE$2:$BE$9,0)),"")</f>
        <v/>
      </c>
      <c r="X230" s="110" t="str">
        <f aca="false">IF(B230="","",IF(W230=1,"NR + industry + position",IF(W230=2,"NR + ISO + position",IF(W230=3,"NR + industry",IF(W230=4,"NR + ISO",IF(W230=5,"NR + position",IF(W230=6,"NR only","book baseline"))))))&amp;"  ["&amp;IF(T230=1,"seasoned","unseasoned")&amp;IF(U230=1,", defaulted","")&amp;IF(V230=1,", open","")&amp;"]")</f>
        <v/>
      </c>
    </row>
    <row r="231" customFormat="false" ht="15" hidden="false" customHeight="false" outlineLevel="0" collapsed="false">
      <c r="A231" s="110" t="n">
        <v>227</v>
      </c>
      <c r="B231" s="111" t="str">
        <f aca="false">IFERROR(INDEX('Historical Data'!$A$2:$A$9,MATCH($A231,'Historical Data'!$BE$2:$BE$9,0)),"")</f>
        <v/>
      </c>
      <c r="C231" s="111" t="str">
        <f aca="false">IFERROR(INDEX('Historical Data'!$B$2:$B$9,MATCH($A231,'Historical Data'!$BE$2:$BE$9,0)),"")</f>
        <v/>
      </c>
      <c r="D231" s="111" t="str">
        <f aca="false">IFERROR(INDEX('Historical Data'!$D$2:$D$9,MATCH($A231,'Historical Data'!$BE$2:$BE$9,0)),"")</f>
        <v/>
      </c>
      <c r="E231" s="112" t="str">
        <f aca="false">IFERROR(INDEX('Historical Data'!$E$2:$E$9,MATCH($A231,'Historical Data'!$BE$2:$BE$9,0)),"")</f>
        <v/>
      </c>
      <c r="F231" s="111" t="str">
        <f aca="false">IFERROR(INDEX('Historical Data'!$G$2:$G$9,MATCH($A231,'Historical Data'!$BE$2:$BE$9,0)),"")</f>
        <v/>
      </c>
      <c r="G231" s="111" t="str">
        <f aca="false">IFERROR(INDEX('Historical Data'!$Y$2:$Y$9,MATCH($A231,'Historical Data'!$BE$2:$BE$9,0)),"")</f>
        <v/>
      </c>
      <c r="H231" s="111" t="str">
        <f aca="false">IFERROR(INDEX('Historical Data'!$K$2:$K$9,MATCH($A231,'Historical Data'!$BE$2:$BE$9,0)),"")</f>
        <v/>
      </c>
      <c r="I231" s="111" t="str">
        <f aca="false">IFERROR(INDEX('Historical Data'!$J$2:$J$9,MATCH($A231,'Historical Data'!$BE$2:$BE$9,0)),"")</f>
        <v/>
      </c>
      <c r="J231" s="111" t="str">
        <f aca="false">IFERROR(INDEX('Historical Data'!$L$2:$L$9,MATCH($A231,'Historical Data'!$BE$2:$BE$9,0)),"")</f>
        <v/>
      </c>
      <c r="K231" s="113" t="str">
        <f aca="false">IFERROR(INDEX('Historical Data'!$M$2:$M$9,MATCH($A231,'Historical Data'!$BE$2:$BE$9,0)),"")</f>
        <v/>
      </c>
      <c r="L231" s="114" t="str">
        <f aca="false">IFERROR(INDEX('Historical Data'!$N$2:$N$9,MATCH($A231,'Historical Data'!$BE$2:$BE$9,0)),"")</f>
        <v/>
      </c>
      <c r="M231" s="114" t="str">
        <f aca="false">IFERROR(INDEX('Historical Data'!$Q$2:$Q$9,MATCH($A231,'Historical Data'!$BE$2:$BE$9,0)),"")</f>
        <v/>
      </c>
      <c r="N231" s="115" t="str">
        <f aca="false">IFERROR(INDEX('Historical Data'!$S$2:$S$9,MATCH($A231,'Historical Data'!$BE$2:$BE$9,0)),"")</f>
        <v/>
      </c>
      <c r="O231" s="114" t="str">
        <f aca="false">IFERROR(INDEX('Historical Data'!$AJ$2:$AJ$9,MATCH($A231,'Historical Data'!$BE$2:$BE$9,0)),"")</f>
        <v/>
      </c>
      <c r="P231" s="114" t="str">
        <f aca="false">IFERROR(INDEX('Historical Data'!$AK$2:$AK$9,MATCH($A231,'Historical Data'!$BE$2:$BE$9,0)),"")</f>
        <v/>
      </c>
      <c r="Q231" s="111" t="str">
        <f aca="false">IFERROR(INDEX('Historical Data'!$AA$2:$AA$9,MATCH($A231,'Historical Data'!$BE$2:$BE$9,0)),"")</f>
        <v/>
      </c>
      <c r="R231" s="111" t="str">
        <f aca="false">IFERROR(INDEX('Historical Data'!$AB$2:$AB$9,MATCH($A231,'Historical Data'!$BE$2:$BE$9,0)),"")</f>
        <v/>
      </c>
      <c r="S231" s="111" t="str">
        <f aca="false">IFERROR(INDEX('Historical Data'!$AN$2:$AN$9,MATCH($A231,'Historical Data'!$BE$2:$BE$9,0)),"")</f>
        <v/>
      </c>
      <c r="T231" s="111" t="str">
        <f aca="false">IFERROR(INDEX('Historical Data'!$AC$2:$AC$9,MATCH($A231,'Historical Data'!$BE$2:$BE$9,0)),"")</f>
        <v/>
      </c>
      <c r="U231" s="111" t="str">
        <f aca="false">IFERROR(INDEX('Historical Data'!$AE$2:$AE$9,MATCH($A231,'Historical Data'!$BE$2:$BE$9,0)),"")</f>
        <v/>
      </c>
      <c r="V231" s="111" t="str">
        <f aca="false">IFERROR(INDEX('Historical Data'!$AH$2:$AH$9,MATCH($A231,'Historical Data'!$BE$2:$BE$9,0)),"")</f>
        <v/>
      </c>
      <c r="W231" s="111" t="str">
        <f aca="false">IFERROR(INDEX('Historical Data'!$BC$2:$BC$9,MATCH($A231,'Historical Data'!$BE$2:$BE$9,0)),"")</f>
        <v/>
      </c>
      <c r="X231" s="110" t="str">
        <f aca="false">IF(B231="","",IF(W231=1,"NR + industry + position",IF(W231=2,"NR + ISO + position",IF(W231=3,"NR + industry",IF(W231=4,"NR + ISO",IF(W231=5,"NR + position",IF(W231=6,"NR only","book baseline"))))))&amp;"  ["&amp;IF(T231=1,"seasoned","unseasoned")&amp;IF(U231=1,", defaulted","")&amp;IF(V231=1,", open","")&amp;"]")</f>
        <v/>
      </c>
    </row>
    <row r="232" customFormat="false" ht="15" hidden="false" customHeight="false" outlineLevel="0" collapsed="false">
      <c r="A232" s="110" t="n">
        <v>228</v>
      </c>
      <c r="B232" s="111" t="str">
        <f aca="false">IFERROR(INDEX('Historical Data'!$A$2:$A$9,MATCH($A232,'Historical Data'!$BE$2:$BE$9,0)),"")</f>
        <v/>
      </c>
      <c r="C232" s="111" t="str">
        <f aca="false">IFERROR(INDEX('Historical Data'!$B$2:$B$9,MATCH($A232,'Historical Data'!$BE$2:$BE$9,0)),"")</f>
        <v/>
      </c>
      <c r="D232" s="111" t="str">
        <f aca="false">IFERROR(INDEX('Historical Data'!$D$2:$D$9,MATCH($A232,'Historical Data'!$BE$2:$BE$9,0)),"")</f>
        <v/>
      </c>
      <c r="E232" s="112" t="str">
        <f aca="false">IFERROR(INDEX('Historical Data'!$E$2:$E$9,MATCH($A232,'Historical Data'!$BE$2:$BE$9,0)),"")</f>
        <v/>
      </c>
      <c r="F232" s="111" t="str">
        <f aca="false">IFERROR(INDEX('Historical Data'!$G$2:$G$9,MATCH($A232,'Historical Data'!$BE$2:$BE$9,0)),"")</f>
        <v/>
      </c>
      <c r="G232" s="111" t="str">
        <f aca="false">IFERROR(INDEX('Historical Data'!$Y$2:$Y$9,MATCH($A232,'Historical Data'!$BE$2:$BE$9,0)),"")</f>
        <v/>
      </c>
      <c r="H232" s="111" t="str">
        <f aca="false">IFERROR(INDEX('Historical Data'!$K$2:$K$9,MATCH($A232,'Historical Data'!$BE$2:$BE$9,0)),"")</f>
        <v/>
      </c>
      <c r="I232" s="111" t="str">
        <f aca="false">IFERROR(INDEX('Historical Data'!$J$2:$J$9,MATCH($A232,'Historical Data'!$BE$2:$BE$9,0)),"")</f>
        <v/>
      </c>
      <c r="J232" s="111" t="str">
        <f aca="false">IFERROR(INDEX('Historical Data'!$L$2:$L$9,MATCH($A232,'Historical Data'!$BE$2:$BE$9,0)),"")</f>
        <v/>
      </c>
      <c r="K232" s="113" t="str">
        <f aca="false">IFERROR(INDEX('Historical Data'!$M$2:$M$9,MATCH($A232,'Historical Data'!$BE$2:$BE$9,0)),"")</f>
        <v/>
      </c>
      <c r="L232" s="114" t="str">
        <f aca="false">IFERROR(INDEX('Historical Data'!$N$2:$N$9,MATCH($A232,'Historical Data'!$BE$2:$BE$9,0)),"")</f>
        <v/>
      </c>
      <c r="M232" s="114" t="str">
        <f aca="false">IFERROR(INDEX('Historical Data'!$Q$2:$Q$9,MATCH($A232,'Historical Data'!$BE$2:$BE$9,0)),"")</f>
        <v/>
      </c>
      <c r="N232" s="115" t="str">
        <f aca="false">IFERROR(INDEX('Historical Data'!$S$2:$S$9,MATCH($A232,'Historical Data'!$BE$2:$BE$9,0)),"")</f>
        <v/>
      </c>
      <c r="O232" s="114" t="str">
        <f aca="false">IFERROR(INDEX('Historical Data'!$AJ$2:$AJ$9,MATCH($A232,'Historical Data'!$BE$2:$BE$9,0)),"")</f>
        <v/>
      </c>
      <c r="P232" s="114" t="str">
        <f aca="false">IFERROR(INDEX('Historical Data'!$AK$2:$AK$9,MATCH($A232,'Historical Data'!$BE$2:$BE$9,0)),"")</f>
        <v/>
      </c>
      <c r="Q232" s="111" t="str">
        <f aca="false">IFERROR(INDEX('Historical Data'!$AA$2:$AA$9,MATCH($A232,'Historical Data'!$BE$2:$BE$9,0)),"")</f>
        <v/>
      </c>
      <c r="R232" s="111" t="str">
        <f aca="false">IFERROR(INDEX('Historical Data'!$AB$2:$AB$9,MATCH($A232,'Historical Data'!$BE$2:$BE$9,0)),"")</f>
        <v/>
      </c>
      <c r="S232" s="111" t="str">
        <f aca="false">IFERROR(INDEX('Historical Data'!$AN$2:$AN$9,MATCH($A232,'Historical Data'!$BE$2:$BE$9,0)),"")</f>
        <v/>
      </c>
      <c r="T232" s="111" t="str">
        <f aca="false">IFERROR(INDEX('Historical Data'!$AC$2:$AC$9,MATCH($A232,'Historical Data'!$BE$2:$BE$9,0)),"")</f>
        <v/>
      </c>
      <c r="U232" s="111" t="str">
        <f aca="false">IFERROR(INDEX('Historical Data'!$AE$2:$AE$9,MATCH($A232,'Historical Data'!$BE$2:$BE$9,0)),"")</f>
        <v/>
      </c>
      <c r="V232" s="111" t="str">
        <f aca="false">IFERROR(INDEX('Historical Data'!$AH$2:$AH$9,MATCH($A232,'Historical Data'!$BE$2:$BE$9,0)),"")</f>
        <v/>
      </c>
      <c r="W232" s="111" t="str">
        <f aca="false">IFERROR(INDEX('Historical Data'!$BC$2:$BC$9,MATCH($A232,'Historical Data'!$BE$2:$BE$9,0)),"")</f>
        <v/>
      </c>
      <c r="X232" s="110" t="str">
        <f aca="false">IF(B232="","",IF(W232=1,"NR + industry + position",IF(W232=2,"NR + ISO + position",IF(W232=3,"NR + industry",IF(W232=4,"NR + ISO",IF(W232=5,"NR + position",IF(W232=6,"NR only","book baseline"))))))&amp;"  ["&amp;IF(T232=1,"seasoned","unseasoned")&amp;IF(U232=1,", defaulted","")&amp;IF(V232=1,", open","")&amp;"]")</f>
        <v/>
      </c>
    </row>
    <row r="233" customFormat="false" ht="15" hidden="false" customHeight="false" outlineLevel="0" collapsed="false">
      <c r="A233" s="110" t="n">
        <v>229</v>
      </c>
      <c r="B233" s="111" t="str">
        <f aca="false">IFERROR(INDEX('Historical Data'!$A$2:$A$9,MATCH($A233,'Historical Data'!$BE$2:$BE$9,0)),"")</f>
        <v/>
      </c>
      <c r="C233" s="111" t="str">
        <f aca="false">IFERROR(INDEX('Historical Data'!$B$2:$B$9,MATCH($A233,'Historical Data'!$BE$2:$BE$9,0)),"")</f>
        <v/>
      </c>
      <c r="D233" s="111" t="str">
        <f aca="false">IFERROR(INDEX('Historical Data'!$D$2:$D$9,MATCH($A233,'Historical Data'!$BE$2:$BE$9,0)),"")</f>
        <v/>
      </c>
      <c r="E233" s="112" t="str">
        <f aca="false">IFERROR(INDEX('Historical Data'!$E$2:$E$9,MATCH($A233,'Historical Data'!$BE$2:$BE$9,0)),"")</f>
        <v/>
      </c>
      <c r="F233" s="111" t="str">
        <f aca="false">IFERROR(INDEX('Historical Data'!$G$2:$G$9,MATCH($A233,'Historical Data'!$BE$2:$BE$9,0)),"")</f>
        <v/>
      </c>
      <c r="G233" s="111" t="str">
        <f aca="false">IFERROR(INDEX('Historical Data'!$Y$2:$Y$9,MATCH($A233,'Historical Data'!$BE$2:$BE$9,0)),"")</f>
        <v/>
      </c>
      <c r="H233" s="111" t="str">
        <f aca="false">IFERROR(INDEX('Historical Data'!$K$2:$K$9,MATCH($A233,'Historical Data'!$BE$2:$BE$9,0)),"")</f>
        <v/>
      </c>
      <c r="I233" s="111" t="str">
        <f aca="false">IFERROR(INDEX('Historical Data'!$J$2:$J$9,MATCH($A233,'Historical Data'!$BE$2:$BE$9,0)),"")</f>
        <v/>
      </c>
      <c r="J233" s="111" t="str">
        <f aca="false">IFERROR(INDEX('Historical Data'!$L$2:$L$9,MATCH($A233,'Historical Data'!$BE$2:$BE$9,0)),"")</f>
        <v/>
      </c>
      <c r="K233" s="113" t="str">
        <f aca="false">IFERROR(INDEX('Historical Data'!$M$2:$M$9,MATCH($A233,'Historical Data'!$BE$2:$BE$9,0)),"")</f>
        <v/>
      </c>
      <c r="L233" s="114" t="str">
        <f aca="false">IFERROR(INDEX('Historical Data'!$N$2:$N$9,MATCH($A233,'Historical Data'!$BE$2:$BE$9,0)),"")</f>
        <v/>
      </c>
      <c r="M233" s="114" t="str">
        <f aca="false">IFERROR(INDEX('Historical Data'!$Q$2:$Q$9,MATCH($A233,'Historical Data'!$BE$2:$BE$9,0)),"")</f>
        <v/>
      </c>
      <c r="N233" s="115" t="str">
        <f aca="false">IFERROR(INDEX('Historical Data'!$S$2:$S$9,MATCH($A233,'Historical Data'!$BE$2:$BE$9,0)),"")</f>
        <v/>
      </c>
      <c r="O233" s="114" t="str">
        <f aca="false">IFERROR(INDEX('Historical Data'!$AJ$2:$AJ$9,MATCH($A233,'Historical Data'!$BE$2:$BE$9,0)),"")</f>
        <v/>
      </c>
      <c r="P233" s="114" t="str">
        <f aca="false">IFERROR(INDEX('Historical Data'!$AK$2:$AK$9,MATCH($A233,'Historical Data'!$BE$2:$BE$9,0)),"")</f>
        <v/>
      </c>
      <c r="Q233" s="111" t="str">
        <f aca="false">IFERROR(INDEX('Historical Data'!$AA$2:$AA$9,MATCH($A233,'Historical Data'!$BE$2:$BE$9,0)),"")</f>
        <v/>
      </c>
      <c r="R233" s="111" t="str">
        <f aca="false">IFERROR(INDEX('Historical Data'!$AB$2:$AB$9,MATCH($A233,'Historical Data'!$BE$2:$BE$9,0)),"")</f>
        <v/>
      </c>
      <c r="S233" s="111" t="str">
        <f aca="false">IFERROR(INDEX('Historical Data'!$AN$2:$AN$9,MATCH($A233,'Historical Data'!$BE$2:$BE$9,0)),"")</f>
        <v/>
      </c>
      <c r="T233" s="111" t="str">
        <f aca="false">IFERROR(INDEX('Historical Data'!$AC$2:$AC$9,MATCH($A233,'Historical Data'!$BE$2:$BE$9,0)),"")</f>
        <v/>
      </c>
      <c r="U233" s="111" t="str">
        <f aca="false">IFERROR(INDEX('Historical Data'!$AE$2:$AE$9,MATCH($A233,'Historical Data'!$BE$2:$BE$9,0)),"")</f>
        <v/>
      </c>
      <c r="V233" s="111" t="str">
        <f aca="false">IFERROR(INDEX('Historical Data'!$AH$2:$AH$9,MATCH($A233,'Historical Data'!$BE$2:$BE$9,0)),"")</f>
        <v/>
      </c>
      <c r="W233" s="111" t="str">
        <f aca="false">IFERROR(INDEX('Historical Data'!$BC$2:$BC$9,MATCH($A233,'Historical Data'!$BE$2:$BE$9,0)),"")</f>
        <v/>
      </c>
      <c r="X233" s="110" t="str">
        <f aca="false">IF(B233="","",IF(W233=1,"NR + industry + position",IF(W233=2,"NR + ISO + position",IF(W233=3,"NR + industry",IF(W233=4,"NR + ISO",IF(W233=5,"NR + position",IF(W233=6,"NR only","book baseline"))))))&amp;"  ["&amp;IF(T233=1,"seasoned","unseasoned")&amp;IF(U233=1,", defaulted","")&amp;IF(V233=1,", open","")&amp;"]")</f>
        <v/>
      </c>
    </row>
    <row r="234" customFormat="false" ht="15" hidden="false" customHeight="false" outlineLevel="0" collapsed="false">
      <c r="A234" s="110" t="n">
        <v>230</v>
      </c>
      <c r="B234" s="111" t="str">
        <f aca="false">IFERROR(INDEX('Historical Data'!$A$2:$A$9,MATCH($A234,'Historical Data'!$BE$2:$BE$9,0)),"")</f>
        <v/>
      </c>
      <c r="C234" s="111" t="str">
        <f aca="false">IFERROR(INDEX('Historical Data'!$B$2:$B$9,MATCH($A234,'Historical Data'!$BE$2:$BE$9,0)),"")</f>
        <v/>
      </c>
      <c r="D234" s="111" t="str">
        <f aca="false">IFERROR(INDEX('Historical Data'!$D$2:$D$9,MATCH($A234,'Historical Data'!$BE$2:$BE$9,0)),"")</f>
        <v/>
      </c>
      <c r="E234" s="112" t="str">
        <f aca="false">IFERROR(INDEX('Historical Data'!$E$2:$E$9,MATCH($A234,'Historical Data'!$BE$2:$BE$9,0)),"")</f>
        <v/>
      </c>
      <c r="F234" s="111" t="str">
        <f aca="false">IFERROR(INDEX('Historical Data'!$G$2:$G$9,MATCH($A234,'Historical Data'!$BE$2:$BE$9,0)),"")</f>
        <v/>
      </c>
      <c r="G234" s="111" t="str">
        <f aca="false">IFERROR(INDEX('Historical Data'!$Y$2:$Y$9,MATCH($A234,'Historical Data'!$BE$2:$BE$9,0)),"")</f>
        <v/>
      </c>
      <c r="H234" s="111" t="str">
        <f aca="false">IFERROR(INDEX('Historical Data'!$K$2:$K$9,MATCH($A234,'Historical Data'!$BE$2:$BE$9,0)),"")</f>
        <v/>
      </c>
      <c r="I234" s="111" t="str">
        <f aca="false">IFERROR(INDEX('Historical Data'!$J$2:$J$9,MATCH($A234,'Historical Data'!$BE$2:$BE$9,0)),"")</f>
        <v/>
      </c>
      <c r="J234" s="111" t="str">
        <f aca="false">IFERROR(INDEX('Historical Data'!$L$2:$L$9,MATCH($A234,'Historical Data'!$BE$2:$BE$9,0)),"")</f>
        <v/>
      </c>
      <c r="K234" s="113" t="str">
        <f aca="false">IFERROR(INDEX('Historical Data'!$M$2:$M$9,MATCH($A234,'Historical Data'!$BE$2:$BE$9,0)),"")</f>
        <v/>
      </c>
      <c r="L234" s="114" t="str">
        <f aca="false">IFERROR(INDEX('Historical Data'!$N$2:$N$9,MATCH($A234,'Historical Data'!$BE$2:$BE$9,0)),"")</f>
        <v/>
      </c>
      <c r="M234" s="114" t="str">
        <f aca="false">IFERROR(INDEX('Historical Data'!$Q$2:$Q$9,MATCH($A234,'Historical Data'!$BE$2:$BE$9,0)),"")</f>
        <v/>
      </c>
      <c r="N234" s="115" t="str">
        <f aca="false">IFERROR(INDEX('Historical Data'!$S$2:$S$9,MATCH($A234,'Historical Data'!$BE$2:$BE$9,0)),"")</f>
        <v/>
      </c>
      <c r="O234" s="114" t="str">
        <f aca="false">IFERROR(INDEX('Historical Data'!$AJ$2:$AJ$9,MATCH($A234,'Historical Data'!$BE$2:$BE$9,0)),"")</f>
        <v/>
      </c>
      <c r="P234" s="114" t="str">
        <f aca="false">IFERROR(INDEX('Historical Data'!$AK$2:$AK$9,MATCH($A234,'Historical Data'!$BE$2:$BE$9,0)),"")</f>
        <v/>
      </c>
      <c r="Q234" s="111" t="str">
        <f aca="false">IFERROR(INDEX('Historical Data'!$AA$2:$AA$9,MATCH($A234,'Historical Data'!$BE$2:$BE$9,0)),"")</f>
        <v/>
      </c>
      <c r="R234" s="111" t="str">
        <f aca="false">IFERROR(INDEX('Historical Data'!$AB$2:$AB$9,MATCH($A234,'Historical Data'!$BE$2:$BE$9,0)),"")</f>
        <v/>
      </c>
      <c r="S234" s="111" t="str">
        <f aca="false">IFERROR(INDEX('Historical Data'!$AN$2:$AN$9,MATCH($A234,'Historical Data'!$BE$2:$BE$9,0)),"")</f>
        <v/>
      </c>
      <c r="T234" s="111" t="str">
        <f aca="false">IFERROR(INDEX('Historical Data'!$AC$2:$AC$9,MATCH($A234,'Historical Data'!$BE$2:$BE$9,0)),"")</f>
        <v/>
      </c>
      <c r="U234" s="111" t="str">
        <f aca="false">IFERROR(INDEX('Historical Data'!$AE$2:$AE$9,MATCH($A234,'Historical Data'!$BE$2:$BE$9,0)),"")</f>
        <v/>
      </c>
      <c r="V234" s="111" t="str">
        <f aca="false">IFERROR(INDEX('Historical Data'!$AH$2:$AH$9,MATCH($A234,'Historical Data'!$BE$2:$BE$9,0)),"")</f>
        <v/>
      </c>
      <c r="W234" s="111" t="str">
        <f aca="false">IFERROR(INDEX('Historical Data'!$BC$2:$BC$9,MATCH($A234,'Historical Data'!$BE$2:$BE$9,0)),"")</f>
        <v/>
      </c>
      <c r="X234" s="110" t="str">
        <f aca="false">IF(B234="","",IF(W234=1,"NR + industry + position",IF(W234=2,"NR + ISO + position",IF(W234=3,"NR + industry",IF(W234=4,"NR + ISO",IF(W234=5,"NR + position",IF(W234=6,"NR only","book baseline"))))))&amp;"  ["&amp;IF(T234=1,"seasoned","unseasoned")&amp;IF(U234=1,", defaulted","")&amp;IF(V234=1,", open","")&amp;"]")</f>
        <v/>
      </c>
    </row>
    <row r="235" customFormat="false" ht="15" hidden="false" customHeight="false" outlineLevel="0" collapsed="false">
      <c r="A235" s="110" t="n">
        <v>231</v>
      </c>
      <c r="B235" s="111" t="str">
        <f aca="false">IFERROR(INDEX('Historical Data'!$A$2:$A$9,MATCH($A235,'Historical Data'!$BE$2:$BE$9,0)),"")</f>
        <v/>
      </c>
      <c r="C235" s="111" t="str">
        <f aca="false">IFERROR(INDEX('Historical Data'!$B$2:$B$9,MATCH($A235,'Historical Data'!$BE$2:$BE$9,0)),"")</f>
        <v/>
      </c>
      <c r="D235" s="111" t="str">
        <f aca="false">IFERROR(INDEX('Historical Data'!$D$2:$D$9,MATCH($A235,'Historical Data'!$BE$2:$BE$9,0)),"")</f>
        <v/>
      </c>
      <c r="E235" s="112" t="str">
        <f aca="false">IFERROR(INDEX('Historical Data'!$E$2:$E$9,MATCH($A235,'Historical Data'!$BE$2:$BE$9,0)),"")</f>
        <v/>
      </c>
      <c r="F235" s="111" t="str">
        <f aca="false">IFERROR(INDEX('Historical Data'!$G$2:$G$9,MATCH($A235,'Historical Data'!$BE$2:$BE$9,0)),"")</f>
        <v/>
      </c>
      <c r="G235" s="111" t="str">
        <f aca="false">IFERROR(INDEX('Historical Data'!$Y$2:$Y$9,MATCH($A235,'Historical Data'!$BE$2:$BE$9,0)),"")</f>
        <v/>
      </c>
      <c r="H235" s="111" t="str">
        <f aca="false">IFERROR(INDEX('Historical Data'!$K$2:$K$9,MATCH($A235,'Historical Data'!$BE$2:$BE$9,0)),"")</f>
        <v/>
      </c>
      <c r="I235" s="111" t="str">
        <f aca="false">IFERROR(INDEX('Historical Data'!$J$2:$J$9,MATCH($A235,'Historical Data'!$BE$2:$BE$9,0)),"")</f>
        <v/>
      </c>
      <c r="J235" s="111" t="str">
        <f aca="false">IFERROR(INDEX('Historical Data'!$L$2:$L$9,MATCH($A235,'Historical Data'!$BE$2:$BE$9,0)),"")</f>
        <v/>
      </c>
      <c r="K235" s="113" t="str">
        <f aca="false">IFERROR(INDEX('Historical Data'!$M$2:$M$9,MATCH($A235,'Historical Data'!$BE$2:$BE$9,0)),"")</f>
        <v/>
      </c>
      <c r="L235" s="114" t="str">
        <f aca="false">IFERROR(INDEX('Historical Data'!$N$2:$N$9,MATCH($A235,'Historical Data'!$BE$2:$BE$9,0)),"")</f>
        <v/>
      </c>
      <c r="M235" s="114" t="str">
        <f aca="false">IFERROR(INDEX('Historical Data'!$Q$2:$Q$9,MATCH($A235,'Historical Data'!$BE$2:$BE$9,0)),"")</f>
        <v/>
      </c>
      <c r="N235" s="115" t="str">
        <f aca="false">IFERROR(INDEX('Historical Data'!$S$2:$S$9,MATCH($A235,'Historical Data'!$BE$2:$BE$9,0)),"")</f>
        <v/>
      </c>
      <c r="O235" s="114" t="str">
        <f aca="false">IFERROR(INDEX('Historical Data'!$AJ$2:$AJ$9,MATCH($A235,'Historical Data'!$BE$2:$BE$9,0)),"")</f>
        <v/>
      </c>
      <c r="P235" s="114" t="str">
        <f aca="false">IFERROR(INDEX('Historical Data'!$AK$2:$AK$9,MATCH($A235,'Historical Data'!$BE$2:$BE$9,0)),"")</f>
        <v/>
      </c>
      <c r="Q235" s="111" t="str">
        <f aca="false">IFERROR(INDEX('Historical Data'!$AA$2:$AA$9,MATCH($A235,'Historical Data'!$BE$2:$BE$9,0)),"")</f>
        <v/>
      </c>
      <c r="R235" s="111" t="str">
        <f aca="false">IFERROR(INDEX('Historical Data'!$AB$2:$AB$9,MATCH($A235,'Historical Data'!$BE$2:$BE$9,0)),"")</f>
        <v/>
      </c>
      <c r="S235" s="111" t="str">
        <f aca="false">IFERROR(INDEX('Historical Data'!$AN$2:$AN$9,MATCH($A235,'Historical Data'!$BE$2:$BE$9,0)),"")</f>
        <v/>
      </c>
      <c r="T235" s="111" t="str">
        <f aca="false">IFERROR(INDEX('Historical Data'!$AC$2:$AC$9,MATCH($A235,'Historical Data'!$BE$2:$BE$9,0)),"")</f>
        <v/>
      </c>
      <c r="U235" s="111" t="str">
        <f aca="false">IFERROR(INDEX('Historical Data'!$AE$2:$AE$9,MATCH($A235,'Historical Data'!$BE$2:$BE$9,0)),"")</f>
        <v/>
      </c>
      <c r="V235" s="111" t="str">
        <f aca="false">IFERROR(INDEX('Historical Data'!$AH$2:$AH$9,MATCH($A235,'Historical Data'!$BE$2:$BE$9,0)),"")</f>
        <v/>
      </c>
      <c r="W235" s="111" t="str">
        <f aca="false">IFERROR(INDEX('Historical Data'!$BC$2:$BC$9,MATCH($A235,'Historical Data'!$BE$2:$BE$9,0)),"")</f>
        <v/>
      </c>
      <c r="X235" s="110" t="str">
        <f aca="false">IF(B235="","",IF(W235=1,"NR + industry + position",IF(W235=2,"NR + ISO + position",IF(W235=3,"NR + industry",IF(W235=4,"NR + ISO",IF(W235=5,"NR + position",IF(W235=6,"NR only","book baseline"))))))&amp;"  ["&amp;IF(T235=1,"seasoned","unseasoned")&amp;IF(U235=1,", defaulted","")&amp;IF(V235=1,", open","")&amp;"]")</f>
        <v/>
      </c>
    </row>
    <row r="236" customFormat="false" ht="15" hidden="false" customHeight="false" outlineLevel="0" collapsed="false">
      <c r="A236" s="110" t="n">
        <v>232</v>
      </c>
      <c r="B236" s="111" t="str">
        <f aca="false">IFERROR(INDEX('Historical Data'!$A$2:$A$9,MATCH($A236,'Historical Data'!$BE$2:$BE$9,0)),"")</f>
        <v/>
      </c>
      <c r="C236" s="111" t="str">
        <f aca="false">IFERROR(INDEX('Historical Data'!$B$2:$B$9,MATCH($A236,'Historical Data'!$BE$2:$BE$9,0)),"")</f>
        <v/>
      </c>
      <c r="D236" s="111" t="str">
        <f aca="false">IFERROR(INDEX('Historical Data'!$D$2:$D$9,MATCH($A236,'Historical Data'!$BE$2:$BE$9,0)),"")</f>
        <v/>
      </c>
      <c r="E236" s="112" t="str">
        <f aca="false">IFERROR(INDEX('Historical Data'!$E$2:$E$9,MATCH($A236,'Historical Data'!$BE$2:$BE$9,0)),"")</f>
        <v/>
      </c>
      <c r="F236" s="111" t="str">
        <f aca="false">IFERROR(INDEX('Historical Data'!$G$2:$G$9,MATCH($A236,'Historical Data'!$BE$2:$BE$9,0)),"")</f>
        <v/>
      </c>
      <c r="G236" s="111" t="str">
        <f aca="false">IFERROR(INDEX('Historical Data'!$Y$2:$Y$9,MATCH($A236,'Historical Data'!$BE$2:$BE$9,0)),"")</f>
        <v/>
      </c>
      <c r="H236" s="111" t="str">
        <f aca="false">IFERROR(INDEX('Historical Data'!$K$2:$K$9,MATCH($A236,'Historical Data'!$BE$2:$BE$9,0)),"")</f>
        <v/>
      </c>
      <c r="I236" s="111" t="str">
        <f aca="false">IFERROR(INDEX('Historical Data'!$J$2:$J$9,MATCH($A236,'Historical Data'!$BE$2:$BE$9,0)),"")</f>
        <v/>
      </c>
      <c r="J236" s="111" t="str">
        <f aca="false">IFERROR(INDEX('Historical Data'!$L$2:$L$9,MATCH($A236,'Historical Data'!$BE$2:$BE$9,0)),"")</f>
        <v/>
      </c>
      <c r="K236" s="113" t="str">
        <f aca="false">IFERROR(INDEX('Historical Data'!$M$2:$M$9,MATCH($A236,'Historical Data'!$BE$2:$BE$9,0)),"")</f>
        <v/>
      </c>
      <c r="L236" s="114" t="str">
        <f aca="false">IFERROR(INDEX('Historical Data'!$N$2:$N$9,MATCH($A236,'Historical Data'!$BE$2:$BE$9,0)),"")</f>
        <v/>
      </c>
      <c r="M236" s="114" t="str">
        <f aca="false">IFERROR(INDEX('Historical Data'!$Q$2:$Q$9,MATCH($A236,'Historical Data'!$BE$2:$BE$9,0)),"")</f>
        <v/>
      </c>
      <c r="N236" s="115" t="str">
        <f aca="false">IFERROR(INDEX('Historical Data'!$S$2:$S$9,MATCH($A236,'Historical Data'!$BE$2:$BE$9,0)),"")</f>
        <v/>
      </c>
      <c r="O236" s="114" t="str">
        <f aca="false">IFERROR(INDEX('Historical Data'!$AJ$2:$AJ$9,MATCH($A236,'Historical Data'!$BE$2:$BE$9,0)),"")</f>
        <v/>
      </c>
      <c r="P236" s="114" t="str">
        <f aca="false">IFERROR(INDEX('Historical Data'!$AK$2:$AK$9,MATCH($A236,'Historical Data'!$BE$2:$BE$9,0)),"")</f>
        <v/>
      </c>
      <c r="Q236" s="111" t="str">
        <f aca="false">IFERROR(INDEX('Historical Data'!$AA$2:$AA$9,MATCH($A236,'Historical Data'!$BE$2:$BE$9,0)),"")</f>
        <v/>
      </c>
      <c r="R236" s="111" t="str">
        <f aca="false">IFERROR(INDEX('Historical Data'!$AB$2:$AB$9,MATCH($A236,'Historical Data'!$BE$2:$BE$9,0)),"")</f>
        <v/>
      </c>
      <c r="S236" s="111" t="str">
        <f aca="false">IFERROR(INDEX('Historical Data'!$AN$2:$AN$9,MATCH($A236,'Historical Data'!$BE$2:$BE$9,0)),"")</f>
        <v/>
      </c>
      <c r="T236" s="111" t="str">
        <f aca="false">IFERROR(INDEX('Historical Data'!$AC$2:$AC$9,MATCH($A236,'Historical Data'!$BE$2:$BE$9,0)),"")</f>
        <v/>
      </c>
      <c r="U236" s="111" t="str">
        <f aca="false">IFERROR(INDEX('Historical Data'!$AE$2:$AE$9,MATCH($A236,'Historical Data'!$BE$2:$BE$9,0)),"")</f>
        <v/>
      </c>
      <c r="V236" s="111" t="str">
        <f aca="false">IFERROR(INDEX('Historical Data'!$AH$2:$AH$9,MATCH($A236,'Historical Data'!$BE$2:$BE$9,0)),"")</f>
        <v/>
      </c>
      <c r="W236" s="111" t="str">
        <f aca="false">IFERROR(INDEX('Historical Data'!$BC$2:$BC$9,MATCH($A236,'Historical Data'!$BE$2:$BE$9,0)),"")</f>
        <v/>
      </c>
      <c r="X236" s="110" t="str">
        <f aca="false">IF(B236="","",IF(W236=1,"NR + industry + position",IF(W236=2,"NR + ISO + position",IF(W236=3,"NR + industry",IF(W236=4,"NR + ISO",IF(W236=5,"NR + position",IF(W236=6,"NR only","book baseline"))))))&amp;"  ["&amp;IF(T236=1,"seasoned","unseasoned")&amp;IF(U236=1,", defaulted","")&amp;IF(V236=1,", open","")&amp;"]")</f>
        <v/>
      </c>
    </row>
    <row r="237" customFormat="false" ht="15" hidden="false" customHeight="false" outlineLevel="0" collapsed="false">
      <c r="A237" s="110" t="n">
        <v>233</v>
      </c>
      <c r="B237" s="111" t="str">
        <f aca="false">IFERROR(INDEX('Historical Data'!$A$2:$A$9,MATCH($A237,'Historical Data'!$BE$2:$BE$9,0)),"")</f>
        <v/>
      </c>
      <c r="C237" s="111" t="str">
        <f aca="false">IFERROR(INDEX('Historical Data'!$B$2:$B$9,MATCH($A237,'Historical Data'!$BE$2:$BE$9,0)),"")</f>
        <v/>
      </c>
      <c r="D237" s="111" t="str">
        <f aca="false">IFERROR(INDEX('Historical Data'!$D$2:$D$9,MATCH($A237,'Historical Data'!$BE$2:$BE$9,0)),"")</f>
        <v/>
      </c>
      <c r="E237" s="112" t="str">
        <f aca="false">IFERROR(INDEX('Historical Data'!$E$2:$E$9,MATCH($A237,'Historical Data'!$BE$2:$BE$9,0)),"")</f>
        <v/>
      </c>
      <c r="F237" s="111" t="str">
        <f aca="false">IFERROR(INDEX('Historical Data'!$G$2:$G$9,MATCH($A237,'Historical Data'!$BE$2:$BE$9,0)),"")</f>
        <v/>
      </c>
      <c r="G237" s="111" t="str">
        <f aca="false">IFERROR(INDEX('Historical Data'!$Y$2:$Y$9,MATCH($A237,'Historical Data'!$BE$2:$BE$9,0)),"")</f>
        <v/>
      </c>
      <c r="H237" s="111" t="str">
        <f aca="false">IFERROR(INDEX('Historical Data'!$K$2:$K$9,MATCH($A237,'Historical Data'!$BE$2:$BE$9,0)),"")</f>
        <v/>
      </c>
      <c r="I237" s="111" t="str">
        <f aca="false">IFERROR(INDEX('Historical Data'!$J$2:$J$9,MATCH($A237,'Historical Data'!$BE$2:$BE$9,0)),"")</f>
        <v/>
      </c>
      <c r="J237" s="111" t="str">
        <f aca="false">IFERROR(INDEX('Historical Data'!$L$2:$L$9,MATCH($A237,'Historical Data'!$BE$2:$BE$9,0)),"")</f>
        <v/>
      </c>
      <c r="K237" s="113" t="str">
        <f aca="false">IFERROR(INDEX('Historical Data'!$M$2:$M$9,MATCH($A237,'Historical Data'!$BE$2:$BE$9,0)),"")</f>
        <v/>
      </c>
      <c r="L237" s="114" t="str">
        <f aca="false">IFERROR(INDEX('Historical Data'!$N$2:$N$9,MATCH($A237,'Historical Data'!$BE$2:$BE$9,0)),"")</f>
        <v/>
      </c>
      <c r="M237" s="114" t="str">
        <f aca="false">IFERROR(INDEX('Historical Data'!$Q$2:$Q$9,MATCH($A237,'Historical Data'!$BE$2:$BE$9,0)),"")</f>
        <v/>
      </c>
      <c r="N237" s="115" t="str">
        <f aca="false">IFERROR(INDEX('Historical Data'!$S$2:$S$9,MATCH($A237,'Historical Data'!$BE$2:$BE$9,0)),"")</f>
        <v/>
      </c>
      <c r="O237" s="114" t="str">
        <f aca="false">IFERROR(INDEX('Historical Data'!$AJ$2:$AJ$9,MATCH($A237,'Historical Data'!$BE$2:$BE$9,0)),"")</f>
        <v/>
      </c>
      <c r="P237" s="114" t="str">
        <f aca="false">IFERROR(INDEX('Historical Data'!$AK$2:$AK$9,MATCH($A237,'Historical Data'!$BE$2:$BE$9,0)),"")</f>
        <v/>
      </c>
      <c r="Q237" s="111" t="str">
        <f aca="false">IFERROR(INDEX('Historical Data'!$AA$2:$AA$9,MATCH($A237,'Historical Data'!$BE$2:$BE$9,0)),"")</f>
        <v/>
      </c>
      <c r="R237" s="111" t="str">
        <f aca="false">IFERROR(INDEX('Historical Data'!$AB$2:$AB$9,MATCH($A237,'Historical Data'!$BE$2:$BE$9,0)),"")</f>
        <v/>
      </c>
      <c r="S237" s="111" t="str">
        <f aca="false">IFERROR(INDEX('Historical Data'!$AN$2:$AN$9,MATCH($A237,'Historical Data'!$BE$2:$BE$9,0)),"")</f>
        <v/>
      </c>
      <c r="T237" s="111" t="str">
        <f aca="false">IFERROR(INDEX('Historical Data'!$AC$2:$AC$9,MATCH($A237,'Historical Data'!$BE$2:$BE$9,0)),"")</f>
        <v/>
      </c>
      <c r="U237" s="111" t="str">
        <f aca="false">IFERROR(INDEX('Historical Data'!$AE$2:$AE$9,MATCH($A237,'Historical Data'!$BE$2:$BE$9,0)),"")</f>
        <v/>
      </c>
      <c r="V237" s="111" t="str">
        <f aca="false">IFERROR(INDEX('Historical Data'!$AH$2:$AH$9,MATCH($A237,'Historical Data'!$BE$2:$BE$9,0)),"")</f>
        <v/>
      </c>
      <c r="W237" s="111" t="str">
        <f aca="false">IFERROR(INDEX('Historical Data'!$BC$2:$BC$9,MATCH($A237,'Historical Data'!$BE$2:$BE$9,0)),"")</f>
        <v/>
      </c>
      <c r="X237" s="110" t="str">
        <f aca="false">IF(B237="","",IF(W237=1,"NR + industry + position",IF(W237=2,"NR + ISO + position",IF(W237=3,"NR + industry",IF(W237=4,"NR + ISO",IF(W237=5,"NR + position",IF(W237=6,"NR only","book baseline"))))))&amp;"  ["&amp;IF(T237=1,"seasoned","unseasoned")&amp;IF(U237=1,", defaulted","")&amp;IF(V237=1,", open","")&amp;"]")</f>
        <v/>
      </c>
    </row>
    <row r="238" customFormat="false" ht="15" hidden="false" customHeight="false" outlineLevel="0" collapsed="false">
      <c r="A238" s="110" t="n">
        <v>234</v>
      </c>
      <c r="B238" s="111" t="str">
        <f aca="false">IFERROR(INDEX('Historical Data'!$A$2:$A$9,MATCH($A238,'Historical Data'!$BE$2:$BE$9,0)),"")</f>
        <v/>
      </c>
      <c r="C238" s="111" t="str">
        <f aca="false">IFERROR(INDEX('Historical Data'!$B$2:$B$9,MATCH($A238,'Historical Data'!$BE$2:$BE$9,0)),"")</f>
        <v/>
      </c>
      <c r="D238" s="111" t="str">
        <f aca="false">IFERROR(INDEX('Historical Data'!$D$2:$D$9,MATCH($A238,'Historical Data'!$BE$2:$BE$9,0)),"")</f>
        <v/>
      </c>
      <c r="E238" s="112" t="str">
        <f aca="false">IFERROR(INDEX('Historical Data'!$E$2:$E$9,MATCH($A238,'Historical Data'!$BE$2:$BE$9,0)),"")</f>
        <v/>
      </c>
      <c r="F238" s="111" t="str">
        <f aca="false">IFERROR(INDEX('Historical Data'!$G$2:$G$9,MATCH($A238,'Historical Data'!$BE$2:$BE$9,0)),"")</f>
        <v/>
      </c>
      <c r="G238" s="111" t="str">
        <f aca="false">IFERROR(INDEX('Historical Data'!$Y$2:$Y$9,MATCH($A238,'Historical Data'!$BE$2:$BE$9,0)),"")</f>
        <v/>
      </c>
      <c r="H238" s="111" t="str">
        <f aca="false">IFERROR(INDEX('Historical Data'!$K$2:$K$9,MATCH($A238,'Historical Data'!$BE$2:$BE$9,0)),"")</f>
        <v/>
      </c>
      <c r="I238" s="111" t="str">
        <f aca="false">IFERROR(INDEX('Historical Data'!$J$2:$J$9,MATCH($A238,'Historical Data'!$BE$2:$BE$9,0)),"")</f>
        <v/>
      </c>
      <c r="J238" s="111" t="str">
        <f aca="false">IFERROR(INDEX('Historical Data'!$L$2:$L$9,MATCH($A238,'Historical Data'!$BE$2:$BE$9,0)),"")</f>
        <v/>
      </c>
      <c r="K238" s="113" t="str">
        <f aca="false">IFERROR(INDEX('Historical Data'!$M$2:$M$9,MATCH($A238,'Historical Data'!$BE$2:$BE$9,0)),"")</f>
        <v/>
      </c>
      <c r="L238" s="114" t="str">
        <f aca="false">IFERROR(INDEX('Historical Data'!$N$2:$N$9,MATCH($A238,'Historical Data'!$BE$2:$BE$9,0)),"")</f>
        <v/>
      </c>
      <c r="M238" s="114" t="str">
        <f aca="false">IFERROR(INDEX('Historical Data'!$Q$2:$Q$9,MATCH($A238,'Historical Data'!$BE$2:$BE$9,0)),"")</f>
        <v/>
      </c>
      <c r="N238" s="115" t="str">
        <f aca="false">IFERROR(INDEX('Historical Data'!$S$2:$S$9,MATCH($A238,'Historical Data'!$BE$2:$BE$9,0)),"")</f>
        <v/>
      </c>
      <c r="O238" s="114" t="str">
        <f aca="false">IFERROR(INDEX('Historical Data'!$AJ$2:$AJ$9,MATCH($A238,'Historical Data'!$BE$2:$BE$9,0)),"")</f>
        <v/>
      </c>
      <c r="P238" s="114" t="str">
        <f aca="false">IFERROR(INDEX('Historical Data'!$AK$2:$AK$9,MATCH($A238,'Historical Data'!$BE$2:$BE$9,0)),"")</f>
        <v/>
      </c>
      <c r="Q238" s="111" t="str">
        <f aca="false">IFERROR(INDEX('Historical Data'!$AA$2:$AA$9,MATCH($A238,'Historical Data'!$BE$2:$BE$9,0)),"")</f>
        <v/>
      </c>
      <c r="R238" s="111" t="str">
        <f aca="false">IFERROR(INDEX('Historical Data'!$AB$2:$AB$9,MATCH($A238,'Historical Data'!$BE$2:$BE$9,0)),"")</f>
        <v/>
      </c>
      <c r="S238" s="111" t="str">
        <f aca="false">IFERROR(INDEX('Historical Data'!$AN$2:$AN$9,MATCH($A238,'Historical Data'!$BE$2:$BE$9,0)),"")</f>
        <v/>
      </c>
      <c r="T238" s="111" t="str">
        <f aca="false">IFERROR(INDEX('Historical Data'!$AC$2:$AC$9,MATCH($A238,'Historical Data'!$BE$2:$BE$9,0)),"")</f>
        <v/>
      </c>
      <c r="U238" s="111" t="str">
        <f aca="false">IFERROR(INDEX('Historical Data'!$AE$2:$AE$9,MATCH($A238,'Historical Data'!$BE$2:$BE$9,0)),"")</f>
        <v/>
      </c>
      <c r="V238" s="111" t="str">
        <f aca="false">IFERROR(INDEX('Historical Data'!$AH$2:$AH$9,MATCH($A238,'Historical Data'!$BE$2:$BE$9,0)),"")</f>
        <v/>
      </c>
      <c r="W238" s="111" t="str">
        <f aca="false">IFERROR(INDEX('Historical Data'!$BC$2:$BC$9,MATCH($A238,'Historical Data'!$BE$2:$BE$9,0)),"")</f>
        <v/>
      </c>
      <c r="X238" s="110" t="str">
        <f aca="false">IF(B238="","",IF(W238=1,"NR + industry + position",IF(W238=2,"NR + ISO + position",IF(W238=3,"NR + industry",IF(W238=4,"NR + ISO",IF(W238=5,"NR + position",IF(W238=6,"NR only","book baseline"))))))&amp;"  ["&amp;IF(T238=1,"seasoned","unseasoned")&amp;IF(U238=1,", defaulted","")&amp;IF(V238=1,", open","")&amp;"]")</f>
        <v/>
      </c>
    </row>
    <row r="239" customFormat="false" ht="15" hidden="false" customHeight="false" outlineLevel="0" collapsed="false">
      <c r="A239" s="110" t="n">
        <v>235</v>
      </c>
      <c r="B239" s="111" t="str">
        <f aca="false">IFERROR(INDEX('Historical Data'!$A$2:$A$9,MATCH($A239,'Historical Data'!$BE$2:$BE$9,0)),"")</f>
        <v/>
      </c>
      <c r="C239" s="111" t="str">
        <f aca="false">IFERROR(INDEX('Historical Data'!$B$2:$B$9,MATCH($A239,'Historical Data'!$BE$2:$BE$9,0)),"")</f>
        <v/>
      </c>
      <c r="D239" s="111" t="str">
        <f aca="false">IFERROR(INDEX('Historical Data'!$D$2:$D$9,MATCH($A239,'Historical Data'!$BE$2:$BE$9,0)),"")</f>
        <v/>
      </c>
      <c r="E239" s="112" t="str">
        <f aca="false">IFERROR(INDEX('Historical Data'!$E$2:$E$9,MATCH($A239,'Historical Data'!$BE$2:$BE$9,0)),"")</f>
        <v/>
      </c>
      <c r="F239" s="111" t="str">
        <f aca="false">IFERROR(INDEX('Historical Data'!$G$2:$G$9,MATCH($A239,'Historical Data'!$BE$2:$BE$9,0)),"")</f>
        <v/>
      </c>
      <c r="G239" s="111" t="str">
        <f aca="false">IFERROR(INDEX('Historical Data'!$Y$2:$Y$9,MATCH($A239,'Historical Data'!$BE$2:$BE$9,0)),"")</f>
        <v/>
      </c>
      <c r="H239" s="111" t="str">
        <f aca="false">IFERROR(INDEX('Historical Data'!$K$2:$K$9,MATCH($A239,'Historical Data'!$BE$2:$BE$9,0)),"")</f>
        <v/>
      </c>
      <c r="I239" s="111" t="str">
        <f aca="false">IFERROR(INDEX('Historical Data'!$J$2:$J$9,MATCH($A239,'Historical Data'!$BE$2:$BE$9,0)),"")</f>
        <v/>
      </c>
      <c r="J239" s="111" t="str">
        <f aca="false">IFERROR(INDEX('Historical Data'!$L$2:$L$9,MATCH($A239,'Historical Data'!$BE$2:$BE$9,0)),"")</f>
        <v/>
      </c>
      <c r="K239" s="113" t="str">
        <f aca="false">IFERROR(INDEX('Historical Data'!$M$2:$M$9,MATCH($A239,'Historical Data'!$BE$2:$BE$9,0)),"")</f>
        <v/>
      </c>
      <c r="L239" s="114" t="str">
        <f aca="false">IFERROR(INDEX('Historical Data'!$N$2:$N$9,MATCH($A239,'Historical Data'!$BE$2:$BE$9,0)),"")</f>
        <v/>
      </c>
      <c r="M239" s="114" t="str">
        <f aca="false">IFERROR(INDEX('Historical Data'!$Q$2:$Q$9,MATCH($A239,'Historical Data'!$BE$2:$BE$9,0)),"")</f>
        <v/>
      </c>
      <c r="N239" s="115" t="str">
        <f aca="false">IFERROR(INDEX('Historical Data'!$S$2:$S$9,MATCH($A239,'Historical Data'!$BE$2:$BE$9,0)),"")</f>
        <v/>
      </c>
      <c r="O239" s="114" t="str">
        <f aca="false">IFERROR(INDEX('Historical Data'!$AJ$2:$AJ$9,MATCH($A239,'Historical Data'!$BE$2:$BE$9,0)),"")</f>
        <v/>
      </c>
      <c r="P239" s="114" t="str">
        <f aca="false">IFERROR(INDEX('Historical Data'!$AK$2:$AK$9,MATCH($A239,'Historical Data'!$BE$2:$BE$9,0)),"")</f>
        <v/>
      </c>
      <c r="Q239" s="111" t="str">
        <f aca="false">IFERROR(INDEX('Historical Data'!$AA$2:$AA$9,MATCH($A239,'Historical Data'!$BE$2:$BE$9,0)),"")</f>
        <v/>
      </c>
      <c r="R239" s="111" t="str">
        <f aca="false">IFERROR(INDEX('Historical Data'!$AB$2:$AB$9,MATCH($A239,'Historical Data'!$BE$2:$BE$9,0)),"")</f>
        <v/>
      </c>
      <c r="S239" s="111" t="str">
        <f aca="false">IFERROR(INDEX('Historical Data'!$AN$2:$AN$9,MATCH($A239,'Historical Data'!$BE$2:$BE$9,0)),"")</f>
        <v/>
      </c>
      <c r="T239" s="111" t="str">
        <f aca="false">IFERROR(INDEX('Historical Data'!$AC$2:$AC$9,MATCH($A239,'Historical Data'!$BE$2:$BE$9,0)),"")</f>
        <v/>
      </c>
      <c r="U239" s="111" t="str">
        <f aca="false">IFERROR(INDEX('Historical Data'!$AE$2:$AE$9,MATCH($A239,'Historical Data'!$BE$2:$BE$9,0)),"")</f>
        <v/>
      </c>
      <c r="V239" s="111" t="str">
        <f aca="false">IFERROR(INDEX('Historical Data'!$AH$2:$AH$9,MATCH($A239,'Historical Data'!$BE$2:$BE$9,0)),"")</f>
        <v/>
      </c>
      <c r="W239" s="111" t="str">
        <f aca="false">IFERROR(INDEX('Historical Data'!$BC$2:$BC$9,MATCH($A239,'Historical Data'!$BE$2:$BE$9,0)),"")</f>
        <v/>
      </c>
      <c r="X239" s="110" t="str">
        <f aca="false">IF(B239="","",IF(W239=1,"NR + industry + position",IF(W239=2,"NR + ISO + position",IF(W239=3,"NR + industry",IF(W239=4,"NR + ISO",IF(W239=5,"NR + position",IF(W239=6,"NR only","book baseline"))))))&amp;"  ["&amp;IF(T239=1,"seasoned","unseasoned")&amp;IF(U239=1,", defaulted","")&amp;IF(V239=1,", open","")&amp;"]")</f>
        <v/>
      </c>
    </row>
    <row r="240" customFormat="false" ht="15" hidden="false" customHeight="false" outlineLevel="0" collapsed="false">
      <c r="A240" s="110" t="n">
        <v>236</v>
      </c>
      <c r="B240" s="111" t="str">
        <f aca="false">IFERROR(INDEX('Historical Data'!$A$2:$A$9,MATCH($A240,'Historical Data'!$BE$2:$BE$9,0)),"")</f>
        <v/>
      </c>
      <c r="C240" s="111" t="str">
        <f aca="false">IFERROR(INDEX('Historical Data'!$B$2:$B$9,MATCH($A240,'Historical Data'!$BE$2:$BE$9,0)),"")</f>
        <v/>
      </c>
      <c r="D240" s="111" t="str">
        <f aca="false">IFERROR(INDEX('Historical Data'!$D$2:$D$9,MATCH($A240,'Historical Data'!$BE$2:$BE$9,0)),"")</f>
        <v/>
      </c>
      <c r="E240" s="112" t="str">
        <f aca="false">IFERROR(INDEX('Historical Data'!$E$2:$E$9,MATCH($A240,'Historical Data'!$BE$2:$BE$9,0)),"")</f>
        <v/>
      </c>
      <c r="F240" s="111" t="str">
        <f aca="false">IFERROR(INDEX('Historical Data'!$G$2:$G$9,MATCH($A240,'Historical Data'!$BE$2:$BE$9,0)),"")</f>
        <v/>
      </c>
      <c r="G240" s="111" t="str">
        <f aca="false">IFERROR(INDEX('Historical Data'!$Y$2:$Y$9,MATCH($A240,'Historical Data'!$BE$2:$BE$9,0)),"")</f>
        <v/>
      </c>
      <c r="H240" s="111" t="str">
        <f aca="false">IFERROR(INDEX('Historical Data'!$K$2:$K$9,MATCH($A240,'Historical Data'!$BE$2:$BE$9,0)),"")</f>
        <v/>
      </c>
      <c r="I240" s="111" t="str">
        <f aca="false">IFERROR(INDEX('Historical Data'!$J$2:$J$9,MATCH($A240,'Historical Data'!$BE$2:$BE$9,0)),"")</f>
        <v/>
      </c>
      <c r="J240" s="111" t="str">
        <f aca="false">IFERROR(INDEX('Historical Data'!$L$2:$L$9,MATCH($A240,'Historical Data'!$BE$2:$BE$9,0)),"")</f>
        <v/>
      </c>
      <c r="K240" s="113" t="str">
        <f aca="false">IFERROR(INDEX('Historical Data'!$M$2:$M$9,MATCH($A240,'Historical Data'!$BE$2:$BE$9,0)),"")</f>
        <v/>
      </c>
      <c r="L240" s="114" t="str">
        <f aca="false">IFERROR(INDEX('Historical Data'!$N$2:$N$9,MATCH($A240,'Historical Data'!$BE$2:$BE$9,0)),"")</f>
        <v/>
      </c>
      <c r="M240" s="114" t="str">
        <f aca="false">IFERROR(INDEX('Historical Data'!$Q$2:$Q$9,MATCH($A240,'Historical Data'!$BE$2:$BE$9,0)),"")</f>
        <v/>
      </c>
      <c r="N240" s="115" t="str">
        <f aca="false">IFERROR(INDEX('Historical Data'!$S$2:$S$9,MATCH($A240,'Historical Data'!$BE$2:$BE$9,0)),"")</f>
        <v/>
      </c>
      <c r="O240" s="114" t="str">
        <f aca="false">IFERROR(INDEX('Historical Data'!$AJ$2:$AJ$9,MATCH($A240,'Historical Data'!$BE$2:$BE$9,0)),"")</f>
        <v/>
      </c>
      <c r="P240" s="114" t="str">
        <f aca="false">IFERROR(INDEX('Historical Data'!$AK$2:$AK$9,MATCH($A240,'Historical Data'!$BE$2:$BE$9,0)),"")</f>
        <v/>
      </c>
      <c r="Q240" s="111" t="str">
        <f aca="false">IFERROR(INDEX('Historical Data'!$AA$2:$AA$9,MATCH($A240,'Historical Data'!$BE$2:$BE$9,0)),"")</f>
        <v/>
      </c>
      <c r="R240" s="111" t="str">
        <f aca="false">IFERROR(INDEX('Historical Data'!$AB$2:$AB$9,MATCH($A240,'Historical Data'!$BE$2:$BE$9,0)),"")</f>
        <v/>
      </c>
      <c r="S240" s="111" t="str">
        <f aca="false">IFERROR(INDEX('Historical Data'!$AN$2:$AN$9,MATCH($A240,'Historical Data'!$BE$2:$BE$9,0)),"")</f>
        <v/>
      </c>
      <c r="T240" s="111" t="str">
        <f aca="false">IFERROR(INDEX('Historical Data'!$AC$2:$AC$9,MATCH($A240,'Historical Data'!$BE$2:$BE$9,0)),"")</f>
        <v/>
      </c>
      <c r="U240" s="111" t="str">
        <f aca="false">IFERROR(INDEX('Historical Data'!$AE$2:$AE$9,MATCH($A240,'Historical Data'!$BE$2:$BE$9,0)),"")</f>
        <v/>
      </c>
      <c r="V240" s="111" t="str">
        <f aca="false">IFERROR(INDEX('Historical Data'!$AH$2:$AH$9,MATCH($A240,'Historical Data'!$BE$2:$BE$9,0)),"")</f>
        <v/>
      </c>
      <c r="W240" s="111" t="str">
        <f aca="false">IFERROR(INDEX('Historical Data'!$BC$2:$BC$9,MATCH($A240,'Historical Data'!$BE$2:$BE$9,0)),"")</f>
        <v/>
      </c>
      <c r="X240" s="110" t="str">
        <f aca="false">IF(B240="","",IF(W240=1,"NR + industry + position",IF(W240=2,"NR + ISO + position",IF(W240=3,"NR + industry",IF(W240=4,"NR + ISO",IF(W240=5,"NR + position",IF(W240=6,"NR only","book baseline"))))))&amp;"  ["&amp;IF(T240=1,"seasoned","unseasoned")&amp;IF(U240=1,", defaulted","")&amp;IF(V240=1,", open","")&amp;"]")</f>
        <v/>
      </c>
    </row>
    <row r="241" customFormat="false" ht="15" hidden="false" customHeight="false" outlineLevel="0" collapsed="false">
      <c r="A241" s="110" t="n">
        <v>237</v>
      </c>
      <c r="B241" s="111" t="str">
        <f aca="false">IFERROR(INDEX('Historical Data'!$A$2:$A$9,MATCH($A241,'Historical Data'!$BE$2:$BE$9,0)),"")</f>
        <v/>
      </c>
      <c r="C241" s="111" t="str">
        <f aca="false">IFERROR(INDEX('Historical Data'!$B$2:$B$9,MATCH($A241,'Historical Data'!$BE$2:$BE$9,0)),"")</f>
        <v/>
      </c>
      <c r="D241" s="111" t="str">
        <f aca="false">IFERROR(INDEX('Historical Data'!$D$2:$D$9,MATCH($A241,'Historical Data'!$BE$2:$BE$9,0)),"")</f>
        <v/>
      </c>
      <c r="E241" s="112" t="str">
        <f aca="false">IFERROR(INDEX('Historical Data'!$E$2:$E$9,MATCH($A241,'Historical Data'!$BE$2:$BE$9,0)),"")</f>
        <v/>
      </c>
      <c r="F241" s="111" t="str">
        <f aca="false">IFERROR(INDEX('Historical Data'!$G$2:$G$9,MATCH($A241,'Historical Data'!$BE$2:$BE$9,0)),"")</f>
        <v/>
      </c>
      <c r="G241" s="111" t="str">
        <f aca="false">IFERROR(INDEX('Historical Data'!$Y$2:$Y$9,MATCH($A241,'Historical Data'!$BE$2:$BE$9,0)),"")</f>
        <v/>
      </c>
      <c r="H241" s="111" t="str">
        <f aca="false">IFERROR(INDEX('Historical Data'!$K$2:$K$9,MATCH($A241,'Historical Data'!$BE$2:$BE$9,0)),"")</f>
        <v/>
      </c>
      <c r="I241" s="111" t="str">
        <f aca="false">IFERROR(INDEX('Historical Data'!$J$2:$J$9,MATCH($A241,'Historical Data'!$BE$2:$BE$9,0)),"")</f>
        <v/>
      </c>
      <c r="J241" s="111" t="str">
        <f aca="false">IFERROR(INDEX('Historical Data'!$L$2:$L$9,MATCH($A241,'Historical Data'!$BE$2:$BE$9,0)),"")</f>
        <v/>
      </c>
      <c r="K241" s="113" t="str">
        <f aca="false">IFERROR(INDEX('Historical Data'!$M$2:$M$9,MATCH($A241,'Historical Data'!$BE$2:$BE$9,0)),"")</f>
        <v/>
      </c>
      <c r="L241" s="114" t="str">
        <f aca="false">IFERROR(INDEX('Historical Data'!$N$2:$N$9,MATCH($A241,'Historical Data'!$BE$2:$BE$9,0)),"")</f>
        <v/>
      </c>
      <c r="M241" s="114" t="str">
        <f aca="false">IFERROR(INDEX('Historical Data'!$Q$2:$Q$9,MATCH($A241,'Historical Data'!$BE$2:$BE$9,0)),"")</f>
        <v/>
      </c>
      <c r="N241" s="115" t="str">
        <f aca="false">IFERROR(INDEX('Historical Data'!$S$2:$S$9,MATCH($A241,'Historical Data'!$BE$2:$BE$9,0)),"")</f>
        <v/>
      </c>
      <c r="O241" s="114" t="str">
        <f aca="false">IFERROR(INDEX('Historical Data'!$AJ$2:$AJ$9,MATCH($A241,'Historical Data'!$BE$2:$BE$9,0)),"")</f>
        <v/>
      </c>
      <c r="P241" s="114" t="str">
        <f aca="false">IFERROR(INDEX('Historical Data'!$AK$2:$AK$9,MATCH($A241,'Historical Data'!$BE$2:$BE$9,0)),"")</f>
        <v/>
      </c>
      <c r="Q241" s="111" t="str">
        <f aca="false">IFERROR(INDEX('Historical Data'!$AA$2:$AA$9,MATCH($A241,'Historical Data'!$BE$2:$BE$9,0)),"")</f>
        <v/>
      </c>
      <c r="R241" s="111" t="str">
        <f aca="false">IFERROR(INDEX('Historical Data'!$AB$2:$AB$9,MATCH($A241,'Historical Data'!$BE$2:$BE$9,0)),"")</f>
        <v/>
      </c>
      <c r="S241" s="111" t="str">
        <f aca="false">IFERROR(INDEX('Historical Data'!$AN$2:$AN$9,MATCH($A241,'Historical Data'!$BE$2:$BE$9,0)),"")</f>
        <v/>
      </c>
      <c r="T241" s="111" t="str">
        <f aca="false">IFERROR(INDEX('Historical Data'!$AC$2:$AC$9,MATCH($A241,'Historical Data'!$BE$2:$BE$9,0)),"")</f>
        <v/>
      </c>
      <c r="U241" s="111" t="str">
        <f aca="false">IFERROR(INDEX('Historical Data'!$AE$2:$AE$9,MATCH($A241,'Historical Data'!$BE$2:$BE$9,0)),"")</f>
        <v/>
      </c>
      <c r="V241" s="111" t="str">
        <f aca="false">IFERROR(INDEX('Historical Data'!$AH$2:$AH$9,MATCH($A241,'Historical Data'!$BE$2:$BE$9,0)),"")</f>
        <v/>
      </c>
      <c r="W241" s="111" t="str">
        <f aca="false">IFERROR(INDEX('Historical Data'!$BC$2:$BC$9,MATCH($A241,'Historical Data'!$BE$2:$BE$9,0)),"")</f>
        <v/>
      </c>
      <c r="X241" s="110" t="str">
        <f aca="false">IF(B241="","",IF(W241=1,"NR + industry + position",IF(W241=2,"NR + ISO + position",IF(W241=3,"NR + industry",IF(W241=4,"NR + ISO",IF(W241=5,"NR + position",IF(W241=6,"NR only","book baseline"))))))&amp;"  ["&amp;IF(T241=1,"seasoned","unseasoned")&amp;IF(U241=1,", defaulted","")&amp;IF(V241=1,", open","")&amp;"]")</f>
        <v/>
      </c>
    </row>
    <row r="242" customFormat="false" ht="15" hidden="false" customHeight="false" outlineLevel="0" collapsed="false">
      <c r="A242" s="110" t="n">
        <v>238</v>
      </c>
      <c r="B242" s="111" t="str">
        <f aca="false">IFERROR(INDEX('Historical Data'!$A$2:$A$9,MATCH($A242,'Historical Data'!$BE$2:$BE$9,0)),"")</f>
        <v/>
      </c>
      <c r="C242" s="111" t="str">
        <f aca="false">IFERROR(INDEX('Historical Data'!$B$2:$B$9,MATCH($A242,'Historical Data'!$BE$2:$BE$9,0)),"")</f>
        <v/>
      </c>
      <c r="D242" s="111" t="str">
        <f aca="false">IFERROR(INDEX('Historical Data'!$D$2:$D$9,MATCH($A242,'Historical Data'!$BE$2:$BE$9,0)),"")</f>
        <v/>
      </c>
      <c r="E242" s="112" t="str">
        <f aca="false">IFERROR(INDEX('Historical Data'!$E$2:$E$9,MATCH($A242,'Historical Data'!$BE$2:$BE$9,0)),"")</f>
        <v/>
      </c>
      <c r="F242" s="111" t="str">
        <f aca="false">IFERROR(INDEX('Historical Data'!$G$2:$G$9,MATCH($A242,'Historical Data'!$BE$2:$BE$9,0)),"")</f>
        <v/>
      </c>
      <c r="G242" s="111" t="str">
        <f aca="false">IFERROR(INDEX('Historical Data'!$Y$2:$Y$9,MATCH($A242,'Historical Data'!$BE$2:$BE$9,0)),"")</f>
        <v/>
      </c>
      <c r="H242" s="111" t="str">
        <f aca="false">IFERROR(INDEX('Historical Data'!$K$2:$K$9,MATCH($A242,'Historical Data'!$BE$2:$BE$9,0)),"")</f>
        <v/>
      </c>
      <c r="I242" s="111" t="str">
        <f aca="false">IFERROR(INDEX('Historical Data'!$J$2:$J$9,MATCH($A242,'Historical Data'!$BE$2:$BE$9,0)),"")</f>
        <v/>
      </c>
      <c r="J242" s="111" t="str">
        <f aca="false">IFERROR(INDEX('Historical Data'!$L$2:$L$9,MATCH($A242,'Historical Data'!$BE$2:$BE$9,0)),"")</f>
        <v/>
      </c>
      <c r="K242" s="113" t="str">
        <f aca="false">IFERROR(INDEX('Historical Data'!$M$2:$M$9,MATCH($A242,'Historical Data'!$BE$2:$BE$9,0)),"")</f>
        <v/>
      </c>
      <c r="L242" s="114" t="str">
        <f aca="false">IFERROR(INDEX('Historical Data'!$N$2:$N$9,MATCH($A242,'Historical Data'!$BE$2:$BE$9,0)),"")</f>
        <v/>
      </c>
      <c r="M242" s="114" t="str">
        <f aca="false">IFERROR(INDEX('Historical Data'!$Q$2:$Q$9,MATCH($A242,'Historical Data'!$BE$2:$BE$9,0)),"")</f>
        <v/>
      </c>
      <c r="N242" s="115" t="str">
        <f aca="false">IFERROR(INDEX('Historical Data'!$S$2:$S$9,MATCH($A242,'Historical Data'!$BE$2:$BE$9,0)),"")</f>
        <v/>
      </c>
      <c r="O242" s="114" t="str">
        <f aca="false">IFERROR(INDEX('Historical Data'!$AJ$2:$AJ$9,MATCH($A242,'Historical Data'!$BE$2:$BE$9,0)),"")</f>
        <v/>
      </c>
      <c r="P242" s="114" t="str">
        <f aca="false">IFERROR(INDEX('Historical Data'!$AK$2:$AK$9,MATCH($A242,'Historical Data'!$BE$2:$BE$9,0)),"")</f>
        <v/>
      </c>
      <c r="Q242" s="111" t="str">
        <f aca="false">IFERROR(INDEX('Historical Data'!$AA$2:$AA$9,MATCH($A242,'Historical Data'!$BE$2:$BE$9,0)),"")</f>
        <v/>
      </c>
      <c r="R242" s="111" t="str">
        <f aca="false">IFERROR(INDEX('Historical Data'!$AB$2:$AB$9,MATCH($A242,'Historical Data'!$BE$2:$BE$9,0)),"")</f>
        <v/>
      </c>
      <c r="S242" s="111" t="str">
        <f aca="false">IFERROR(INDEX('Historical Data'!$AN$2:$AN$9,MATCH($A242,'Historical Data'!$BE$2:$BE$9,0)),"")</f>
        <v/>
      </c>
      <c r="T242" s="111" t="str">
        <f aca="false">IFERROR(INDEX('Historical Data'!$AC$2:$AC$9,MATCH($A242,'Historical Data'!$BE$2:$BE$9,0)),"")</f>
        <v/>
      </c>
      <c r="U242" s="111" t="str">
        <f aca="false">IFERROR(INDEX('Historical Data'!$AE$2:$AE$9,MATCH($A242,'Historical Data'!$BE$2:$BE$9,0)),"")</f>
        <v/>
      </c>
      <c r="V242" s="111" t="str">
        <f aca="false">IFERROR(INDEX('Historical Data'!$AH$2:$AH$9,MATCH($A242,'Historical Data'!$BE$2:$BE$9,0)),"")</f>
        <v/>
      </c>
      <c r="W242" s="111" t="str">
        <f aca="false">IFERROR(INDEX('Historical Data'!$BC$2:$BC$9,MATCH($A242,'Historical Data'!$BE$2:$BE$9,0)),"")</f>
        <v/>
      </c>
      <c r="X242" s="110" t="str">
        <f aca="false">IF(B242="","",IF(W242=1,"NR + industry + position",IF(W242=2,"NR + ISO + position",IF(W242=3,"NR + industry",IF(W242=4,"NR + ISO",IF(W242=5,"NR + position",IF(W242=6,"NR only","book baseline"))))))&amp;"  ["&amp;IF(T242=1,"seasoned","unseasoned")&amp;IF(U242=1,", defaulted","")&amp;IF(V242=1,", open","")&amp;"]")</f>
        <v/>
      </c>
    </row>
    <row r="243" customFormat="false" ht="15" hidden="false" customHeight="false" outlineLevel="0" collapsed="false">
      <c r="A243" s="110" t="n">
        <v>239</v>
      </c>
      <c r="B243" s="111" t="str">
        <f aca="false">IFERROR(INDEX('Historical Data'!$A$2:$A$9,MATCH($A243,'Historical Data'!$BE$2:$BE$9,0)),"")</f>
        <v/>
      </c>
      <c r="C243" s="111" t="str">
        <f aca="false">IFERROR(INDEX('Historical Data'!$B$2:$B$9,MATCH($A243,'Historical Data'!$BE$2:$BE$9,0)),"")</f>
        <v/>
      </c>
      <c r="D243" s="111" t="str">
        <f aca="false">IFERROR(INDEX('Historical Data'!$D$2:$D$9,MATCH($A243,'Historical Data'!$BE$2:$BE$9,0)),"")</f>
        <v/>
      </c>
      <c r="E243" s="112" t="str">
        <f aca="false">IFERROR(INDEX('Historical Data'!$E$2:$E$9,MATCH($A243,'Historical Data'!$BE$2:$BE$9,0)),"")</f>
        <v/>
      </c>
      <c r="F243" s="111" t="str">
        <f aca="false">IFERROR(INDEX('Historical Data'!$G$2:$G$9,MATCH($A243,'Historical Data'!$BE$2:$BE$9,0)),"")</f>
        <v/>
      </c>
      <c r="G243" s="111" t="str">
        <f aca="false">IFERROR(INDEX('Historical Data'!$Y$2:$Y$9,MATCH($A243,'Historical Data'!$BE$2:$BE$9,0)),"")</f>
        <v/>
      </c>
      <c r="H243" s="111" t="str">
        <f aca="false">IFERROR(INDEX('Historical Data'!$K$2:$K$9,MATCH($A243,'Historical Data'!$BE$2:$BE$9,0)),"")</f>
        <v/>
      </c>
      <c r="I243" s="111" t="str">
        <f aca="false">IFERROR(INDEX('Historical Data'!$J$2:$J$9,MATCH($A243,'Historical Data'!$BE$2:$BE$9,0)),"")</f>
        <v/>
      </c>
      <c r="J243" s="111" t="str">
        <f aca="false">IFERROR(INDEX('Historical Data'!$L$2:$L$9,MATCH($A243,'Historical Data'!$BE$2:$BE$9,0)),"")</f>
        <v/>
      </c>
      <c r="K243" s="113" t="str">
        <f aca="false">IFERROR(INDEX('Historical Data'!$M$2:$M$9,MATCH($A243,'Historical Data'!$BE$2:$BE$9,0)),"")</f>
        <v/>
      </c>
      <c r="L243" s="114" t="str">
        <f aca="false">IFERROR(INDEX('Historical Data'!$N$2:$N$9,MATCH($A243,'Historical Data'!$BE$2:$BE$9,0)),"")</f>
        <v/>
      </c>
      <c r="M243" s="114" t="str">
        <f aca="false">IFERROR(INDEX('Historical Data'!$Q$2:$Q$9,MATCH($A243,'Historical Data'!$BE$2:$BE$9,0)),"")</f>
        <v/>
      </c>
      <c r="N243" s="115" t="str">
        <f aca="false">IFERROR(INDEX('Historical Data'!$S$2:$S$9,MATCH($A243,'Historical Data'!$BE$2:$BE$9,0)),"")</f>
        <v/>
      </c>
      <c r="O243" s="114" t="str">
        <f aca="false">IFERROR(INDEX('Historical Data'!$AJ$2:$AJ$9,MATCH($A243,'Historical Data'!$BE$2:$BE$9,0)),"")</f>
        <v/>
      </c>
      <c r="P243" s="114" t="str">
        <f aca="false">IFERROR(INDEX('Historical Data'!$AK$2:$AK$9,MATCH($A243,'Historical Data'!$BE$2:$BE$9,0)),"")</f>
        <v/>
      </c>
      <c r="Q243" s="111" t="str">
        <f aca="false">IFERROR(INDEX('Historical Data'!$AA$2:$AA$9,MATCH($A243,'Historical Data'!$BE$2:$BE$9,0)),"")</f>
        <v/>
      </c>
      <c r="R243" s="111" t="str">
        <f aca="false">IFERROR(INDEX('Historical Data'!$AB$2:$AB$9,MATCH($A243,'Historical Data'!$BE$2:$BE$9,0)),"")</f>
        <v/>
      </c>
      <c r="S243" s="111" t="str">
        <f aca="false">IFERROR(INDEX('Historical Data'!$AN$2:$AN$9,MATCH($A243,'Historical Data'!$BE$2:$BE$9,0)),"")</f>
        <v/>
      </c>
      <c r="T243" s="111" t="str">
        <f aca="false">IFERROR(INDEX('Historical Data'!$AC$2:$AC$9,MATCH($A243,'Historical Data'!$BE$2:$BE$9,0)),"")</f>
        <v/>
      </c>
      <c r="U243" s="111" t="str">
        <f aca="false">IFERROR(INDEX('Historical Data'!$AE$2:$AE$9,MATCH($A243,'Historical Data'!$BE$2:$BE$9,0)),"")</f>
        <v/>
      </c>
      <c r="V243" s="111" t="str">
        <f aca="false">IFERROR(INDEX('Historical Data'!$AH$2:$AH$9,MATCH($A243,'Historical Data'!$BE$2:$BE$9,0)),"")</f>
        <v/>
      </c>
      <c r="W243" s="111" t="str">
        <f aca="false">IFERROR(INDEX('Historical Data'!$BC$2:$BC$9,MATCH($A243,'Historical Data'!$BE$2:$BE$9,0)),"")</f>
        <v/>
      </c>
      <c r="X243" s="110" t="str">
        <f aca="false">IF(B243="","",IF(W243=1,"NR + industry + position",IF(W243=2,"NR + ISO + position",IF(W243=3,"NR + industry",IF(W243=4,"NR + ISO",IF(W243=5,"NR + position",IF(W243=6,"NR only","book baseline"))))))&amp;"  ["&amp;IF(T243=1,"seasoned","unseasoned")&amp;IF(U243=1,", defaulted","")&amp;IF(V243=1,", open","")&amp;"]")</f>
        <v/>
      </c>
    </row>
    <row r="244" customFormat="false" ht="15" hidden="false" customHeight="false" outlineLevel="0" collapsed="false">
      <c r="A244" s="110" t="n">
        <v>240</v>
      </c>
      <c r="B244" s="111" t="str">
        <f aca="false">IFERROR(INDEX('Historical Data'!$A$2:$A$9,MATCH($A244,'Historical Data'!$BE$2:$BE$9,0)),"")</f>
        <v/>
      </c>
      <c r="C244" s="111" t="str">
        <f aca="false">IFERROR(INDEX('Historical Data'!$B$2:$B$9,MATCH($A244,'Historical Data'!$BE$2:$BE$9,0)),"")</f>
        <v/>
      </c>
      <c r="D244" s="111" t="str">
        <f aca="false">IFERROR(INDEX('Historical Data'!$D$2:$D$9,MATCH($A244,'Historical Data'!$BE$2:$BE$9,0)),"")</f>
        <v/>
      </c>
      <c r="E244" s="112" t="str">
        <f aca="false">IFERROR(INDEX('Historical Data'!$E$2:$E$9,MATCH($A244,'Historical Data'!$BE$2:$BE$9,0)),"")</f>
        <v/>
      </c>
      <c r="F244" s="111" t="str">
        <f aca="false">IFERROR(INDEX('Historical Data'!$G$2:$G$9,MATCH($A244,'Historical Data'!$BE$2:$BE$9,0)),"")</f>
        <v/>
      </c>
      <c r="G244" s="111" t="str">
        <f aca="false">IFERROR(INDEX('Historical Data'!$Y$2:$Y$9,MATCH($A244,'Historical Data'!$BE$2:$BE$9,0)),"")</f>
        <v/>
      </c>
      <c r="H244" s="111" t="str">
        <f aca="false">IFERROR(INDEX('Historical Data'!$K$2:$K$9,MATCH($A244,'Historical Data'!$BE$2:$BE$9,0)),"")</f>
        <v/>
      </c>
      <c r="I244" s="111" t="str">
        <f aca="false">IFERROR(INDEX('Historical Data'!$J$2:$J$9,MATCH($A244,'Historical Data'!$BE$2:$BE$9,0)),"")</f>
        <v/>
      </c>
      <c r="J244" s="111" t="str">
        <f aca="false">IFERROR(INDEX('Historical Data'!$L$2:$L$9,MATCH($A244,'Historical Data'!$BE$2:$BE$9,0)),"")</f>
        <v/>
      </c>
      <c r="K244" s="113" t="str">
        <f aca="false">IFERROR(INDEX('Historical Data'!$M$2:$M$9,MATCH($A244,'Historical Data'!$BE$2:$BE$9,0)),"")</f>
        <v/>
      </c>
      <c r="L244" s="114" t="str">
        <f aca="false">IFERROR(INDEX('Historical Data'!$N$2:$N$9,MATCH($A244,'Historical Data'!$BE$2:$BE$9,0)),"")</f>
        <v/>
      </c>
      <c r="M244" s="114" t="str">
        <f aca="false">IFERROR(INDEX('Historical Data'!$Q$2:$Q$9,MATCH($A244,'Historical Data'!$BE$2:$BE$9,0)),"")</f>
        <v/>
      </c>
      <c r="N244" s="115" t="str">
        <f aca="false">IFERROR(INDEX('Historical Data'!$S$2:$S$9,MATCH($A244,'Historical Data'!$BE$2:$BE$9,0)),"")</f>
        <v/>
      </c>
      <c r="O244" s="114" t="str">
        <f aca="false">IFERROR(INDEX('Historical Data'!$AJ$2:$AJ$9,MATCH($A244,'Historical Data'!$BE$2:$BE$9,0)),"")</f>
        <v/>
      </c>
      <c r="P244" s="114" t="str">
        <f aca="false">IFERROR(INDEX('Historical Data'!$AK$2:$AK$9,MATCH($A244,'Historical Data'!$BE$2:$BE$9,0)),"")</f>
        <v/>
      </c>
      <c r="Q244" s="111" t="str">
        <f aca="false">IFERROR(INDEX('Historical Data'!$AA$2:$AA$9,MATCH($A244,'Historical Data'!$BE$2:$BE$9,0)),"")</f>
        <v/>
      </c>
      <c r="R244" s="111" t="str">
        <f aca="false">IFERROR(INDEX('Historical Data'!$AB$2:$AB$9,MATCH($A244,'Historical Data'!$BE$2:$BE$9,0)),"")</f>
        <v/>
      </c>
      <c r="S244" s="111" t="str">
        <f aca="false">IFERROR(INDEX('Historical Data'!$AN$2:$AN$9,MATCH($A244,'Historical Data'!$BE$2:$BE$9,0)),"")</f>
        <v/>
      </c>
      <c r="T244" s="111" t="str">
        <f aca="false">IFERROR(INDEX('Historical Data'!$AC$2:$AC$9,MATCH($A244,'Historical Data'!$BE$2:$BE$9,0)),"")</f>
        <v/>
      </c>
      <c r="U244" s="111" t="str">
        <f aca="false">IFERROR(INDEX('Historical Data'!$AE$2:$AE$9,MATCH($A244,'Historical Data'!$BE$2:$BE$9,0)),"")</f>
        <v/>
      </c>
      <c r="V244" s="111" t="str">
        <f aca="false">IFERROR(INDEX('Historical Data'!$AH$2:$AH$9,MATCH($A244,'Historical Data'!$BE$2:$BE$9,0)),"")</f>
        <v/>
      </c>
      <c r="W244" s="111" t="str">
        <f aca="false">IFERROR(INDEX('Historical Data'!$BC$2:$BC$9,MATCH($A244,'Historical Data'!$BE$2:$BE$9,0)),"")</f>
        <v/>
      </c>
      <c r="X244" s="110" t="str">
        <f aca="false">IF(B244="","",IF(W244=1,"NR + industry + position",IF(W244=2,"NR + ISO + position",IF(W244=3,"NR + industry",IF(W244=4,"NR + ISO",IF(W244=5,"NR + position",IF(W244=6,"NR only","book baseline"))))))&amp;"  ["&amp;IF(T244=1,"seasoned","unseasoned")&amp;IF(U244=1,", defaulted","")&amp;IF(V244=1,", open","")&amp;"]")</f>
        <v/>
      </c>
    </row>
    <row r="245" customFormat="false" ht="15" hidden="false" customHeight="false" outlineLevel="0" collapsed="false">
      <c r="A245" s="110" t="n">
        <v>241</v>
      </c>
      <c r="B245" s="111" t="str">
        <f aca="false">IFERROR(INDEX('Historical Data'!$A$2:$A$9,MATCH($A245,'Historical Data'!$BE$2:$BE$9,0)),"")</f>
        <v/>
      </c>
      <c r="C245" s="111" t="str">
        <f aca="false">IFERROR(INDEX('Historical Data'!$B$2:$B$9,MATCH($A245,'Historical Data'!$BE$2:$BE$9,0)),"")</f>
        <v/>
      </c>
      <c r="D245" s="111" t="str">
        <f aca="false">IFERROR(INDEX('Historical Data'!$D$2:$D$9,MATCH($A245,'Historical Data'!$BE$2:$BE$9,0)),"")</f>
        <v/>
      </c>
      <c r="E245" s="112" t="str">
        <f aca="false">IFERROR(INDEX('Historical Data'!$E$2:$E$9,MATCH($A245,'Historical Data'!$BE$2:$BE$9,0)),"")</f>
        <v/>
      </c>
      <c r="F245" s="111" t="str">
        <f aca="false">IFERROR(INDEX('Historical Data'!$G$2:$G$9,MATCH($A245,'Historical Data'!$BE$2:$BE$9,0)),"")</f>
        <v/>
      </c>
      <c r="G245" s="111" t="str">
        <f aca="false">IFERROR(INDEX('Historical Data'!$Y$2:$Y$9,MATCH($A245,'Historical Data'!$BE$2:$BE$9,0)),"")</f>
        <v/>
      </c>
      <c r="H245" s="111" t="str">
        <f aca="false">IFERROR(INDEX('Historical Data'!$K$2:$K$9,MATCH($A245,'Historical Data'!$BE$2:$BE$9,0)),"")</f>
        <v/>
      </c>
      <c r="I245" s="111" t="str">
        <f aca="false">IFERROR(INDEX('Historical Data'!$J$2:$J$9,MATCH($A245,'Historical Data'!$BE$2:$BE$9,0)),"")</f>
        <v/>
      </c>
      <c r="J245" s="111" t="str">
        <f aca="false">IFERROR(INDEX('Historical Data'!$L$2:$L$9,MATCH($A245,'Historical Data'!$BE$2:$BE$9,0)),"")</f>
        <v/>
      </c>
      <c r="K245" s="113" t="str">
        <f aca="false">IFERROR(INDEX('Historical Data'!$M$2:$M$9,MATCH($A245,'Historical Data'!$BE$2:$BE$9,0)),"")</f>
        <v/>
      </c>
      <c r="L245" s="114" t="str">
        <f aca="false">IFERROR(INDEX('Historical Data'!$N$2:$N$9,MATCH($A245,'Historical Data'!$BE$2:$BE$9,0)),"")</f>
        <v/>
      </c>
      <c r="M245" s="114" t="str">
        <f aca="false">IFERROR(INDEX('Historical Data'!$Q$2:$Q$9,MATCH($A245,'Historical Data'!$BE$2:$BE$9,0)),"")</f>
        <v/>
      </c>
      <c r="N245" s="115" t="str">
        <f aca="false">IFERROR(INDEX('Historical Data'!$S$2:$S$9,MATCH($A245,'Historical Data'!$BE$2:$BE$9,0)),"")</f>
        <v/>
      </c>
      <c r="O245" s="114" t="str">
        <f aca="false">IFERROR(INDEX('Historical Data'!$AJ$2:$AJ$9,MATCH($A245,'Historical Data'!$BE$2:$BE$9,0)),"")</f>
        <v/>
      </c>
      <c r="P245" s="114" t="str">
        <f aca="false">IFERROR(INDEX('Historical Data'!$AK$2:$AK$9,MATCH($A245,'Historical Data'!$BE$2:$BE$9,0)),"")</f>
        <v/>
      </c>
      <c r="Q245" s="111" t="str">
        <f aca="false">IFERROR(INDEX('Historical Data'!$AA$2:$AA$9,MATCH($A245,'Historical Data'!$BE$2:$BE$9,0)),"")</f>
        <v/>
      </c>
      <c r="R245" s="111" t="str">
        <f aca="false">IFERROR(INDEX('Historical Data'!$AB$2:$AB$9,MATCH($A245,'Historical Data'!$BE$2:$BE$9,0)),"")</f>
        <v/>
      </c>
      <c r="S245" s="111" t="str">
        <f aca="false">IFERROR(INDEX('Historical Data'!$AN$2:$AN$9,MATCH($A245,'Historical Data'!$BE$2:$BE$9,0)),"")</f>
        <v/>
      </c>
      <c r="T245" s="111" t="str">
        <f aca="false">IFERROR(INDEX('Historical Data'!$AC$2:$AC$9,MATCH($A245,'Historical Data'!$BE$2:$BE$9,0)),"")</f>
        <v/>
      </c>
      <c r="U245" s="111" t="str">
        <f aca="false">IFERROR(INDEX('Historical Data'!$AE$2:$AE$9,MATCH($A245,'Historical Data'!$BE$2:$BE$9,0)),"")</f>
        <v/>
      </c>
      <c r="V245" s="111" t="str">
        <f aca="false">IFERROR(INDEX('Historical Data'!$AH$2:$AH$9,MATCH($A245,'Historical Data'!$BE$2:$BE$9,0)),"")</f>
        <v/>
      </c>
      <c r="W245" s="111" t="str">
        <f aca="false">IFERROR(INDEX('Historical Data'!$BC$2:$BC$9,MATCH($A245,'Historical Data'!$BE$2:$BE$9,0)),"")</f>
        <v/>
      </c>
      <c r="X245" s="110" t="str">
        <f aca="false">IF(B245="","",IF(W245=1,"NR + industry + position",IF(W245=2,"NR + ISO + position",IF(W245=3,"NR + industry",IF(W245=4,"NR + ISO",IF(W245=5,"NR + position",IF(W245=6,"NR only","book baseline"))))))&amp;"  ["&amp;IF(T245=1,"seasoned","unseasoned")&amp;IF(U245=1,", defaulted","")&amp;IF(V245=1,", open","")&amp;"]")</f>
        <v/>
      </c>
    </row>
    <row r="246" customFormat="false" ht="15" hidden="false" customHeight="false" outlineLevel="0" collapsed="false">
      <c r="A246" s="110" t="n">
        <v>242</v>
      </c>
      <c r="B246" s="111" t="str">
        <f aca="false">IFERROR(INDEX('Historical Data'!$A$2:$A$9,MATCH($A246,'Historical Data'!$BE$2:$BE$9,0)),"")</f>
        <v/>
      </c>
      <c r="C246" s="111" t="str">
        <f aca="false">IFERROR(INDEX('Historical Data'!$B$2:$B$9,MATCH($A246,'Historical Data'!$BE$2:$BE$9,0)),"")</f>
        <v/>
      </c>
      <c r="D246" s="111" t="str">
        <f aca="false">IFERROR(INDEX('Historical Data'!$D$2:$D$9,MATCH($A246,'Historical Data'!$BE$2:$BE$9,0)),"")</f>
        <v/>
      </c>
      <c r="E246" s="112" t="str">
        <f aca="false">IFERROR(INDEX('Historical Data'!$E$2:$E$9,MATCH($A246,'Historical Data'!$BE$2:$BE$9,0)),"")</f>
        <v/>
      </c>
      <c r="F246" s="111" t="str">
        <f aca="false">IFERROR(INDEX('Historical Data'!$G$2:$G$9,MATCH($A246,'Historical Data'!$BE$2:$BE$9,0)),"")</f>
        <v/>
      </c>
      <c r="G246" s="111" t="str">
        <f aca="false">IFERROR(INDEX('Historical Data'!$Y$2:$Y$9,MATCH($A246,'Historical Data'!$BE$2:$BE$9,0)),"")</f>
        <v/>
      </c>
      <c r="H246" s="111" t="str">
        <f aca="false">IFERROR(INDEX('Historical Data'!$K$2:$K$9,MATCH($A246,'Historical Data'!$BE$2:$BE$9,0)),"")</f>
        <v/>
      </c>
      <c r="I246" s="111" t="str">
        <f aca="false">IFERROR(INDEX('Historical Data'!$J$2:$J$9,MATCH($A246,'Historical Data'!$BE$2:$BE$9,0)),"")</f>
        <v/>
      </c>
      <c r="J246" s="111" t="str">
        <f aca="false">IFERROR(INDEX('Historical Data'!$L$2:$L$9,MATCH($A246,'Historical Data'!$BE$2:$BE$9,0)),"")</f>
        <v/>
      </c>
      <c r="K246" s="113" t="str">
        <f aca="false">IFERROR(INDEX('Historical Data'!$M$2:$M$9,MATCH($A246,'Historical Data'!$BE$2:$BE$9,0)),"")</f>
        <v/>
      </c>
      <c r="L246" s="114" t="str">
        <f aca="false">IFERROR(INDEX('Historical Data'!$N$2:$N$9,MATCH($A246,'Historical Data'!$BE$2:$BE$9,0)),"")</f>
        <v/>
      </c>
      <c r="M246" s="114" t="str">
        <f aca="false">IFERROR(INDEX('Historical Data'!$Q$2:$Q$9,MATCH($A246,'Historical Data'!$BE$2:$BE$9,0)),"")</f>
        <v/>
      </c>
      <c r="N246" s="115" t="str">
        <f aca="false">IFERROR(INDEX('Historical Data'!$S$2:$S$9,MATCH($A246,'Historical Data'!$BE$2:$BE$9,0)),"")</f>
        <v/>
      </c>
      <c r="O246" s="114" t="str">
        <f aca="false">IFERROR(INDEX('Historical Data'!$AJ$2:$AJ$9,MATCH($A246,'Historical Data'!$BE$2:$BE$9,0)),"")</f>
        <v/>
      </c>
      <c r="P246" s="114" t="str">
        <f aca="false">IFERROR(INDEX('Historical Data'!$AK$2:$AK$9,MATCH($A246,'Historical Data'!$BE$2:$BE$9,0)),"")</f>
        <v/>
      </c>
      <c r="Q246" s="111" t="str">
        <f aca="false">IFERROR(INDEX('Historical Data'!$AA$2:$AA$9,MATCH($A246,'Historical Data'!$BE$2:$BE$9,0)),"")</f>
        <v/>
      </c>
      <c r="R246" s="111" t="str">
        <f aca="false">IFERROR(INDEX('Historical Data'!$AB$2:$AB$9,MATCH($A246,'Historical Data'!$BE$2:$BE$9,0)),"")</f>
        <v/>
      </c>
      <c r="S246" s="111" t="str">
        <f aca="false">IFERROR(INDEX('Historical Data'!$AN$2:$AN$9,MATCH($A246,'Historical Data'!$BE$2:$BE$9,0)),"")</f>
        <v/>
      </c>
      <c r="T246" s="111" t="str">
        <f aca="false">IFERROR(INDEX('Historical Data'!$AC$2:$AC$9,MATCH($A246,'Historical Data'!$BE$2:$BE$9,0)),"")</f>
        <v/>
      </c>
      <c r="U246" s="111" t="str">
        <f aca="false">IFERROR(INDEX('Historical Data'!$AE$2:$AE$9,MATCH($A246,'Historical Data'!$BE$2:$BE$9,0)),"")</f>
        <v/>
      </c>
      <c r="V246" s="111" t="str">
        <f aca="false">IFERROR(INDEX('Historical Data'!$AH$2:$AH$9,MATCH($A246,'Historical Data'!$BE$2:$BE$9,0)),"")</f>
        <v/>
      </c>
      <c r="W246" s="111" t="str">
        <f aca="false">IFERROR(INDEX('Historical Data'!$BC$2:$BC$9,MATCH($A246,'Historical Data'!$BE$2:$BE$9,0)),"")</f>
        <v/>
      </c>
      <c r="X246" s="110" t="str">
        <f aca="false">IF(B246="","",IF(W246=1,"NR + industry + position",IF(W246=2,"NR + ISO + position",IF(W246=3,"NR + industry",IF(W246=4,"NR + ISO",IF(W246=5,"NR + position",IF(W246=6,"NR only","book baseline"))))))&amp;"  ["&amp;IF(T246=1,"seasoned","unseasoned")&amp;IF(U246=1,", defaulted","")&amp;IF(V246=1,", open","")&amp;"]")</f>
        <v/>
      </c>
    </row>
    <row r="247" customFormat="false" ht="15" hidden="false" customHeight="false" outlineLevel="0" collapsed="false">
      <c r="A247" s="110" t="n">
        <v>243</v>
      </c>
      <c r="B247" s="111" t="str">
        <f aca="false">IFERROR(INDEX('Historical Data'!$A$2:$A$9,MATCH($A247,'Historical Data'!$BE$2:$BE$9,0)),"")</f>
        <v/>
      </c>
      <c r="C247" s="111" t="str">
        <f aca="false">IFERROR(INDEX('Historical Data'!$B$2:$B$9,MATCH($A247,'Historical Data'!$BE$2:$BE$9,0)),"")</f>
        <v/>
      </c>
      <c r="D247" s="111" t="str">
        <f aca="false">IFERROR(INDEX('Historical Data'!$D$2:$D$9,MATCH($A247,'Historical Data'!$BE$2:$BE$9,0)),"")</f>
        <v/>
      </c>
      <c r="E247" s="112" t="str">
        <f aca="false">IFERROR(INDEX('Historical Data'!$E$2:$E$9,MATCH($A247,'Historical Data'!$BE$2:$BE$9,0)),"")</f>
        <v/>
      </c>
      <c r="F247" s="111" t="str">
        <f aca="false">IFERROR(INDEX('Historical Data'!$G$2:$G$9,MATCH($A247,'Historical Data'!$BE$2:$BE$9,0)),"")</f>
        <v/>
      </c>
      <c r="G247" s="111" t="str">
        <f aca="false">IFERROR(INDEX('Historical Data'!$Y$2:$Y$9,MATCH($A247,'Historical Data'!$BE$2:$BE$9,0)),"")</f>
        <v/>
      </c>
      <c r="H247" s="111" t="str">
        <f aca="false">IFERROR(INDEX('Historical Data'!$K$2:$K$9,MATCH($A247,'Historical Data'!$BE$2:$BE$9,0)),"")</f>
        <v/>
      </c>
      <c r="I247" s="111" t="str">
        <f aca="false">IFERROR(INDEX('Historical Data'!$J$2:$J$9,MATCH($A247,'Historical Data'!$BE$2:$BE$9,0)),"")</f>
        <v/>
      </c>
      <c r="J247" s="111" t="str">
        <f aca="false">IFERROR(INDEX('Historical Data'!$L$2:$L$9,MATCH($A247,'Historical Data'!$BE$2:$BE$9,0)),"")</f>
        <v/>
      </c>
      <c r="K247" s="113" t="str">
        <f aca="false">IFERROR(INDEX('Historical Data'!$M$2:$M$9,MATCH($A247,'Historical Data'!$BE$2:$BE$9,0)),"")</f>
        <v/>
      </c>
      <c r="L247" s="114" t="str">
        <f aca="false">IFERROR(INDEX('Historical Data'!$N$2:$N$9,MATCH($A247,'Historical Data'!$BE$2:$BE$9,0)),"")</f>
        <v/>
      </c>
      <c r="M247" s="114" t="str">
        <f aca="false">IFERROR(INDEX('Historical Data'!$Q$2:$Q$9,MATCH($A247,'Historical Data'!$BE$2:$BE$9,0)),"")</f>
        <v/>
      </c>
      <c r="N247" s="115" t="str">
        <f aca="false">IFERROR(INDEX('Historical Data'!$S$2:$S$9,MATCH($A247,'Historical Data'!$BE$2:$BE$9,0)),"")</f>
        <v/>
      </c>
      <c r="O247" s="114" t="str">
        <f aca="false">IFERROR(INDEX('Historical Data'!$AJ$2:$AJ$9,MATCH($A247,'Historical Data'!$BE$2:$BE$9,0)),"")</f>
        <v/>
      </c>
      <c r="P247" s="114" t="str">
        <f aca="false">IFERROR(INDEX('Historical Data'!$AK$2:$AK$9,MATCH($A247,'Historical Data'!$BE$2:$BE$9,0)),"")</f>
        <v/>
      </c>
      <c r="Q247" s="111" t="str">
        <f aca="false">IFERROR(INDEX('Historical Data'!$AA$2:$AA$9,MATCH($A247,'Historical Data'!$BE$2:$BE$9,0)),"")</f>
        <v/>
      </c>
      <c r="R247" s="111" t="str">
        <f aca="false">IFERROR(INDEX('Historical Data'!$AB$2:$AB$9,MATCH($A247,'Historical Data'!$BE$2:$BE$9,0)),"")</f>
        <v/>
      </c>
      <c r="S247" s="111" t="str">
        <f aca="false">IFERROR(INDEX('Historical Data'!$AN$2:$AN$9,MATCH($A247,'Historical Data'!$BE$2:$BE$9,0)),"")</f>
        <v/>
      </c>
      <c r="T247" s="111" t="str">
        <f aca="false">IFERROR(INDEX('Historical Data'!$AC$2:$AC$9,MATCH($A247,'Historical Data'!$BE$2:$BE$9,0)),"")</f>
        <v/>
      </c>
      <c r="U247" s="111" t="str">
        <f aca="false">IFERROR(INDEX('Historical Data'!$AE$2:$AE$9,MATCH($A247,'Historical Data'!$BE$2:$BE$9,0)),"")</f>
        <v/>
      </c>
      <c r="V247" s="111" t="str">
        <f aca="false">IFERROR(INDEX('Historical Data'!$AH$2:$AH$9,MATCH($A247,'Historical Data'!$BE$2:$BE$9,0)),"")</f>
        <v/>
      </c>
      <c r="W247" s="111" t="str">
        <f aca="false">IFERROR(INDEX('Historical Data'!$BC$2:$BC$9,MATCH($A247,'Historical Data'!$BE$2:$BE$9,0)),"")</f>
        <v/>
      </c>
      <c r="X247" s="110" t="str">
        <f aca="false">IF(B247="","",IF(W247=1,"NR + industry + position",IF(W247=2,"NR + ISO + position",IF(W247=3,"NR + industry",IF(W247=4,"NR + ISO",IF(W247=5,"NR + position",IF(W247=6,"NR only","book baseline"))))))&amp;"  ["&amp;IF(T247=1,"seasoned","unseasoned")&amp;IF(U247=1,", defaulted","")&amp;IF(V247=1,", open","")&amp;"]")</f>
        <v/>
      </c>
    </row>
    <row r="248" customFormat="false" ht="15" hidden="false" customHeight="false" outlineLevel="0" collapsed="false">
      <c r="A248" s="110" t="n">
        <v>244</v>
      </c>
      <c r="B248" s="111" t="str">
        <f aca="false">IFERROR(INDEX('Historical Data'!$A$2:$A$9,MATCH($A248,'Historical Data'!$BE$2:$BE$9,0)),"")</f>
        <v/>
      </c>
      <c r="C248" s="111" t="str">
        <f aca="false">IFERROR(INDEX('Historical Data'!$B$2:$B$9,MATCH($A248,'Historical Data'!$BE$2:$BE$9,0)),"")</f>
        <v/>
      </c>
      <c r="D248" s="111" t="str">
        <f aca="false">IFERROR(INDEX('Historical Data'!$D$2:$D$9,MATCH($A248,'Historical Data'!$BE$2:$BE$9,0)),"")</f>
        <v/>
      </c>
      <c r="E248" s="112" t="str">
        <f aca="false">IFERROR(INDEX('Historical Data'!$E$2:$E$9,MATCH($A248,'Historical Data'!$BE$2:$BE$9,0)),"")</f>
        <v/>
      </c>
      <c r="F248" s="111" t="str">
        <f aca="false">IFERROR(INDEX('Historical Data'!$G$2:$G$9,MATCH($A248,'Historical Data'!$BE$2:$BE$9,0)),"")</f>
        <v/>
      </c>
      <c r="G248" s="111" t="str">
        <f aca="false">IFERROR(INDEX('Historical Data'!$Y$2:$Y$9,MATCH($A248,'Historical Data'!$BE$2:$BE$9,0)),"")</f>
        <v/>
      </c>
      <c r="H248" s="111" t="str">
        <f aca="false">IFERROR(INDEX('Historical Data'!$K$2:$K$9,MATCH($A248,'Historical Data'!$BE$2:$BE$9,0)),"")</f>
        <v/>
      </c>
      <c r="I248" s="111" t="str">
        <f aca="false">IFERROR(INDEX('Historical Data'!$J$2:$J$9,MATCH($A248,'Historical Data'!$BE$2:$BE$9,0)),"")</f>
        <v/>
      </c>
      <c r="J248" s="111" t="str">
        <f aca="false">IFERROR(INDEX('Historical Data'!$L$2:$L$9,MATCH($A248,'Historical Data'!$BE$2:$BE$9,0)),"")</f>
        <v/>
      </c>
      <c r="K248" s="113" t="str">
        <f aca="false">IFERROR(INDEX('Historical Data'!$M$2:$M$9,MATCH($A248,'Historical Data'!$BE$2:$BE$9,0)),"")</f>
        <v/>
      </c>
      <c r="L248" s="114" t="str">
        <f aca="false">IFERROR(INDEX('Historical Data'!$N$2:$N$9,MATCH($A248,'Historical Data'!$BE$2:$BE$9,0)),"")</f>
        <v/>
      </c>
      <c r="M248" s="114" t="str">
        <f aca="false">IFERROR(INDEX('Historical Data'!$Q$2:$Q$9,MATCH($A248,'Historical Data'!$BE$2:$BE$9,0)),"")</f>
        <v/>
      </c>
      <c r="N248" s="115" t="str">
        <f aca="false">IFERROR(INDEX('Historical Data'!$S$2:$S$9,MATCH($A248,'Historical Data'!$BE$2:$BE$9,0)),"")</f>
        <v/>
      </c>
      <c r="O248" s="114" t="str">
        <f aca="false">IFERROR(INDEX('Historical Data'!$AJ$2:$AJ$9,MATCH($A248,'Historical Data'!$BE$2:$BE$9,0)),"")</f>
        <v/>
      </c>
      <c r="P248" s="114" t="str">
        <f aca="false">IFERROR(INDEX('Historical Data'!$AK$2:$AK$9,MATCH($A248,'Historical Data'!$BE$2:$BE$9,0)),"")</f>
        <v/>
      </c>
      <c r="Q248" s="111" t="str">
        <f aca="false">IFERROR(INDEX('Historical Data'!$AA$2:$AA$9,MATCH($A248,'Historical Data'!$BE$2:$BE$9,0)),"")</f>
        <v/>
      </c>
      <c r="R248" s="111" t="str">
        <f aca="false">IFERROR(INDEX('Historical Data'!$AB$2:$AB$9,MATCH($A248,'Historical Data'!$BE$2:$BE$9,0)),"")</f>
        <v/>
      </c>
      <c r="S248" s="111" t="str">
        <f aca="false">IFERROR(INDEX('Historical Data'!$AN$2:$AN$9,MATCH($A248,'Historical Data'!$BE$2:$BE$9,0)),"")</f>
        <v/>
      </c>
      <c r="T248" s="111" t="str">
        <f aca="false">IFERROR(INDEX('Historical Data'!$AC$2:$AC$9,MATCH($A248,'Historical Data'!$BE$2:$BE$9,0)),"")</f>
        <v/>
      </c>
      <c r="U248" s="111" t="str">
        <f aca="false">IFERROR(INDEX('Historical Data'!$AE$2:$AE$9,MATCH($A248,'Historical Data'!$BE$2:$BE$9,0)),"")</f>
        <v/>
      </c>
      <c r="V248" s="111" t="str">
        <f aca="false">IFERROR(INDEX('Historical Data'!$AH$2:$AH$9,MATCH($A248,'Historical Data'!$BE$2:$BE$9,0)),"")</f>
        <v/>
      </c>
      <c r="W248" s="111" t="str">
        <f aca="false">IFERROR(INDEX('Historical Data'!$BC$2:$BC$9,MATCH($A248,'Historical Data'!$BE$2:$BE$9,0)),"")</f>
        <v/>
      </c>
      <c r="X248" s="110" t="str">
        <f aca="false">IF(B248="","",IF(W248=1,"NR + industry + position",IF(W248=2,"NR + ISO + position",IF(W248=3,"NR + industry",IF(W248=4,"NR + ISO",IF(W248=5,"NR + position",IF(W248=6,"NR only","book baseline"))))))&amp;"  ["&amp;IF(T248=1,"seasoned","unseasoned")&amp;IF(U248=1,", defaulted","")&amp;IF(V248=1,", open","")&amp;"]")</f>
        <v/>
      </c>
    </row>
    <row r="249" customFormat="false" ht="15" hidden="false" customHeight="false" outlineLevel="0" collapsed="false">
      <c r="A249" s="110" t="n">
        <v>245</v>
      </c>
      <c r="B249" s="111" t="str">
        <f aca="false">IFERROR(INDEX('Historical Data'!$A$2:$A$9,MATCH($A249,'Historical Data'!$BE$2:$BE$9,0)),"")</f>
        <v/>
      </c>
      <c r="C249" s="111" t="str">
        <f aca="false">IFERROR(INDEX('Historical Data'!$B$2:$B$9,MATCH($A249,'Historical Data'!$BE$2:$BE$9,0)),"")</f>
        <v/>
      </c>
      <c r="D249" s="111" t="str">
        <f aca="false">IFERROR(INDEX('Historical Data'!$D$2:$D$9,MATCH($A249,'Historical Data'!$BE$2:$BE$9,0)),"")</f>
        <v/>
      </c>
      <c r="E249" s="112" t="str">
        <f aca="false">IFERROR(INDEX('Historical Data'!$E$2:$E$9,MATCH($A249,'Historical Data'!$BE$2:$BE$9,0)),"")</f>
        <v/>
      </c>
      <c r="F249" s="111" t="str">
        <f aca="false">IFERROR(INDEX('Historical Data'!$G$2:$G$9,MATCH($A249,'Historical Data'!$BE$2:$BE$9,0)),"")</f>
        <v/>
      </c>
      <c r="G249" s="111" t="str">
        <f aca="false">IFERROR(INDEX('Historical Data'!$Y$2:$Y$9,MATCH($A249,'Historical Data'!$BE$2:$BE$9,0)),"")</f>
        <v/>
      </c>
      <c r="H249" s="111" t="str">
        <f aca="false">IFERROR(INDEX('Historical Data'!$K$2:$K$9,MATCH($A249,'Historical Data'!$BE$2:$BE$9,0)),"")</f>
        <v/>
      </c>
      <c r="I249" s="111" t="str">
        <f aca="false">IFERROR(INDEX('Historical Data'!$J$2:$J$9,MATCH($A249,'Historical Data'!$BE$2:$BE$9,0)),"")</f>
        <v/>
      </c>
      <c r="J249" s="111" t="str">
        <f aca="false">IFERROR(INDEX('Historical Data'!$L$2:$L$9,MATCH($A249,'Historical Data'!$BE$2:$BE$9,0)),"")</f>
        <v/>
      </c>
      <c r="K249" s="113" t="str">
        <f aca="false">IFERROR(INDEX('Historical Data'!$M$2:$M$9,MATCH($A249,'Historical Data'!$BE$2:$BE$9,0)),"")</f>
        <v/>
      </c>
      <c r="L249" s="114" t="str">
        <f aca="false">IFERROR(INDEX('Historical Data'!$N$2:$N$9,MATCH($A249,'Historical Data'!$BE$2:$BE$9,0)),"")</f>
        <v/>
      </c>
      <c r="M249" s="114" t="str">
        <f aca="false">IFERROR(INDEX('Historical Data'!$Q$2:$Q$9,MATCH($A249,'Historical Data'!$BE$2:$BE$9,0)),"")</f>
        <v/>
      </c>
      <c r="N249" s="115" t="str">
        <f aca="false">IFERROR(INDEX('Historical Data'!$S$2:$S$9,MATCH($A249,'Historical Data'!$BE$2:$BE$9,0)),"")</f>
        <v/>
      </c>
      <c r="O249" s="114" t="str">
        <f aca="false">IFERROR(INDEX('Historical Data'!$AJ$2:$AJ$9,MATCH($A249,'Historical Data'!$BE$2:$BE$9,0)),"")</f>
        <v/>
      </c>
      <c r="P249" s="114" t="str">
        <f aca="false">IFERROR(INDEX('Historical Data'!$AK$2:$AK$9,MATCH($A249,'Historical Data'!$BE$2:$BE$9,0)),"")</f>
        <v/>
      </c>
      <c r="Q249" s="111" t="str">
        <f aca="false">IFERROR(INDEX('Historical Data'!$AA$2:$AA$9,MATCH($A249,'Historical Data'!$BE$2:$BE$9,0)),"")</f>
        <v/>
      </c>
      <c r="R249" s="111" t="str">
        <f aca="false">IFERROR(INDEX('Historical Data'!$AB$2:$AB$9,MATCH($A249,'Historical Data'!$BE$2:$BE$9,0)),"")</f>
        <v/>
      </c>
      <c r="S249" s="111" t="str">
        <f aca="false">IFERROR(INDEX('Historical Data'!$AN$2:$AN$9,MATCH($A249,'Historical Data'!$BE$2:$BE$9,0)),"")</f>
        <v/>
      </c>
      <c r="T249" s="111" t="str">
        <f aca="false">IFERROR(INDEX('Historical Data'!$AC$2:$AC$9,MATCH($A249,'Historical Data'!$BE$2:$BE$9,0)),"")</f>
        <v/>
      </c>
      <c r="U249" s="111" t="str">
        <f aca="false">IFERROR(INDEX('Historical Data'!$AE$2:$AE$9,MATCH($A249,'Historical Data'!$BE$2:$BE$9,0)),"")</f>
        <v/>
      </c>
      <c r="V249" s="111" t="str">
        <f aca="false">IFERROR(INDEX('Historical Data'!$AH$2:$AH$9,MATCH($A249,'Historical Data'!$BE$2:$BE$9,0)),"")</f>
        <v/>
      </c>
      <c r="W249" s="111" t="str">
        <f aca="false">IFERROR(INDEX('Historical Data'!$BC$2:$BC$9,MATCH($A249,'Historical Data'!$BE$2:$BE$9,0)),"")</f>
        <v/>
      </c>
      <c r="X249" s="110" t="str">
        <f aca="false">IF(B249="","",IF(W249=1,"NR + industry + position",IF(W249=2,"NR + ISO + position",IF(W249=3,"NR + industry",IF(W249=4,"NR + ISO",IF(W249=5,"NR + position",IF(W249=6,"NR only","book baseline"))))))&amp;"  ["&amp;IF(T249=1,"seasoned","unseasoned")&amp;IF(U249=1,", defaulted","")&amp;IF(V249=1,", open","")&amp;"]")</f>
        <v/>
      </c>
    </row>
    <row r="250" customFormat="false" ht="15" hidden="false" customHeight="false" outlineLevel="0" collapsed="false">
      <c r="A250" s="110" t="n">
        <v>246</v>
      </c>
      <c r="B250" s="111" t="str">
        <f aca="false">IFERROR(INDEX('Historical Data'!$A$2:$A$9,MATCH($A250,'Historical Data'!$BE$2:$BE$9,0)),"")</f>
        <v/>
      </c>
      <c r="C250" s="111" t="str">
        <f aca="false">IFERROR(INDEX('Historical Data'!$B$2:$B$9,MATCH($A250,'Historical Data'!$BE$2:$BE$9,0)),"")</f>
        <v/>
      </c>
      <c r="D250" s="111" t="str">
        <f aca="false">IFERROR(INDEX('Historical Data'!$D$2:$D$9,MATCH($A250,'Historical Data'!$BE$2:$BE$9,0)),"")</f>
        <v/>
      </c>
      <c r="E250" s="112" t="str">
        <f aca="false">IFERROR(INDEX('Historical Data'!$E$2:$E$9,MATCH($A250,'Historical Data'!$BE$2:$BE$9,0)),"")</f>
        <v/>
      </c>
      <c r="F250" s="111" t="str">
        <f aca="false">IFERROR(INDEX('Historical Data'!$G$2:$G$9,MATCH($A250,'Historical Data'!$BE$2:$BE$9,0)),"")</f>
        <v/>
      </c>
      <c r="G250" s="111" t="str">
        <f aca="false">IFERROR(INDEX('Historical Data'!$Y$2:$Y$9,MATCH($A250,'Historical Data'!$BE$2:$BE$9,0)),"")</f>
        <v/>
      </c>
      <c r="H250" s="111" t="str">
        <f aca="false">IFERROR(INDEX('Historical Data'!$K$2:$K$9,MATCH($A250,'Historical Data'!$BE$2:$BE$9,0)),"")</f>
        <v/>
      </c>
      <c r="I250" s="111" t="str">
        <f aca="false">IFERROR(INDEX('Historical Data'!$J$2:$J$9,MATCH($A250,'Historical Data'!$BE$2:$BE$9,0)),"")</f>
        <v/>
      </c>
      <c r="J250" s="111" t="str">
        <f aca="false">IFERROR(INDEX('Historical Data'!$L$2:$L$9,MATCH($A250,'Historical Data'!$BE$2:$BE$9,0)),"")</f>
        <v/>
      </c>
      <c r="K250" s="113" t="str">
        <f aca="false">IFERROR(INDEX('Historical Data'!$M$2:$M$9,MATCH($A250,'Historical Data'!$BE$2:$BE$9,0)),"")</f>
        <v/>
      </c>
      <c r="L250" s="114" t="str">
        <f aca="false">IFERROR(INDEX('Historical Data'!$N$2:$N$9,MATCH($A250,'Historical Data'!$BE$2:$BE$9,0)),"")</f>
        <v/>
      </c>
      <c r="M250" s="114" t="str">
        <f aca="false">IFERROR(INDEX('Historical Data'!$Q$2:$Q$9,MATCH($A250,'Historical Data'!$BE$2:$BE$9,0)),"")</f>
        <v/>
      </c>
      <c r="N250" s="115" t="str">
        <f aca="false">IFERROR(INDEX('Historical Data'!$S$2:$S$9,MATCH($A250,'Historical Data'!$BE$2:$BE$9,0)),"")</f>
        <v/>
      </c>
      <c r="O250" s="114" t="str">
        <f aca="false">IFERROR(INDEX('Historical Data'!$AJ$2:$AJ$9,MATCH($A250,'Historical Data'!$BE$2:$BE$9,0)),"")</f>
        <v/>
      </c>
      <c r="P250" s="114" t="str">
        <f aca="false">IFERROR(INDEX('Historical Data'!$AK$2:$AK$9,MATCH($A250,'Historical Data'!$BE$2:$BE$9,0)),"")</f>
        <v/>
      </c>
      <c r="Q250" s="111" t="str">
        <f aca="false">IFERROR(INDEX('Historical Data'!$AA$2:$AA$9,MATCH($A250,'Historical Data'!$BE$2:$BE$9,0)),"")</f>
        <v/>
      </c>
      <c r="R250" s="111" t="str">
        <f aca="false">IFERROR(INDEX('Historical Data'!$AB$2:$AB$9,MATCH($A250,'Historical Data'!$BE$2:$BE$9,0)),"")</f>
        <v/>
      </c>
      <c r="S250" s="111" t="str">
        <f aca="false">IFERROR(INDEX('Historical Data'!$AN$2:$AN$9,MATCH($A250,'Historical Data'!$BE$2:$BE$9,0)),"")</f>
        <v/>
      </c>
      <c r="T250" s="111" t="str">
        <f aca="false">IFERROR(INDEX('Historical Data'!$AC$2:$AC$9,MATCH($A250,'Historical Data'!$BE$2:$BE$9,0)),"")</f>
        <v/>
      </c>
      <c r="U250" s="111" t="str">
        <f aca="false">IFERROR(INDEX('Historical Data'!$AE$2:$AE$9,MATCH($A250,'Historical Data'!$BE$2:$BE$9,0)),"")</f>
        <v/>
      </c>
      <c r="V250" s="111" t="str">
        <f aca="false">IFERROR(INDEX('Historical Data'!$AH$2:$AH$9,MATCH($A250,'Historical Data'!$BE$2:$BE$9,0)),"")</f>
        <v/>
      </c>
      <c r="W250" s="111" t="str">
        <f aca="false">IFERROR(INDEX('Historical Data'!$BC$2:$BC$9,MATCH($A250,'Historical Data'!$BE$2:$BE$9,0)),"")</f>
        <v/>
      </c>
      <c r="X250" s="110" t="str">
        <f aca="false">IF(B250="","",IF(W250=1,"NR + industry + position",IF(W250=2,"NR + ISO + position",IF(W250=3,"NR + industry",IF(W250=4,"NR + ISO",IF(W250=5,"NR + position",IF(W250=6,"NR only","book baseline"))))))&amp;"  ["&amp;IF(T250=1,"seasoned","unseasoned")&amp;IF(U250=1,", defaulted","")&amp;IF(V250=1,", open","")&amp;"]")</f>
        <v/>
      </c>
    </row>
    <row r="251" customFormat="false" ht="15" hidden="false" customHeight="false" outlineLevel="0" collapsed="false">
      <c r="A251" s="110" t="n">
        <v>247</v>
      </c>
      <c r="B251" s="111" t="str">
        <f aca="false">IFERROR(INDEX('Historical Data'!$A$2:$A$9,MATCH($A251,'Historical Data'!$BE$2:$BE$9,0)),"")</f>
        <v/>
      </c>
      <c r="C251" s="111" t="str">
        <f aca="false">IFERROR(INDEX('Historical Data'!$B$2:$B$9,MATCH($A251,'Historical Data'!$BE$2:$BE$9,0)),"")</f>
        <v/>
      </c>
      <c r="D251" s="111" t="str">
        <f aca="false">IFERROR(INDEX('Historical Data'!$D$2:$D$9,MATCH($A251,'Historical Data'!$BE$2:$BE$9,0)),"")</f>
        <v/>
      </c>
      <c r="E251" s="112" t="str">
        <f aca="false">IFERROR(INDEX('Historical Data'!$E$2:$E$9,MATCH($A251,'Historical Data'!$BE$2:$BE$9,0)),"")</f>
        <v/>
      </c>
      <c r="F251" s="111" t="str">
        <f aca="false">IFERROR(INDEX('Historical Data'!$G$2:$G$9,MATCH($A251,'Historical Data'!$BE$2:$BE$9,0)),"")</f>
        <v/>
      </c>
      <c r="G251" s="111" t="str">
        <f aca="false">IFERROR(INDEX('Historical Data'!$Y$2:$Y$9,MATCH($A251,'Historical Data'!$BE$2:$BE$9,0)),"")</f>
        <v/>
      </c>
      <c r="H251" s="111" t="str">
        <f aca="false">IFERROR(INDEX('Historical Data'!$K$2:$K$9,MATCH($A251,'Historical Data'!$BE$2:$BE$9,0)),"")</f>
        <v/>
      </c>
      <c r="I251" s="111" t="str">
        <f aca="false">IFERROR(INDEX('Historical Data'!$J$2:$J$9,MATCH($A251,'Historical Data'!$BE$2:$BE$9,0)),"")</f>
        <v/>
      </c>
      <c r="J251" s="111" t="str">
        <f aca="false">IFERROR(INDEX('Historical Data'!$L$2:$L$9,MATCH($A251,'Historical Data'!$BE$2:$BE$9,0)),"")</f>
        <v/>
      </c>
      <c r="K251" s="113" t="str">
        <f aca="false">IFERROR(INDEX('Historical Data'!$M$2:$M$9,MATCH($A251,'Historical Data'!$BE$2:$BE$9,0)),"")</f>
        <v/>
      </c>
      <c r="L251" s="114" t="str">
        <f aca="false">IFERROR(INDEX('Historical Data'!$N$2:$N$9,MATCH($A251,'Historical Data'!$BE$2:$BE$9,0)),"")</f>
        <v/>
      </c>
      <c r="M251" s="114" t="str">
        <f aca="false">IFERROR(INDEX('Historical Data'!$Q$2:$Q$9,MATCH($A251,'Historical Data'!$BE$2:$BE$9,0)),"")</f>
        <v/>
      </c>
      <c r="N251" s="115" t="str">
        <f aca="false">IFERROR(INDEX('Historical Data'!$S$2:$S$9,MATCH($A251,'Historical Data'!$BE$2:$BE$9,0)),"")</f>
        <v/>
      </c>
      <c r="O251" s="114" t="str">
        <f aca="false">IFERROR(INDEX('Historical Data'!$AJ$2:$AJ$9,MATCH($A251,'Historical Data'!$BE$2:$BE$9,0)),"")</f>
        <v/>
      </c>
      <c r="P251" s="114" t="str">
        <f aca="false">IFERROR(INDEX('Historical Data'!$AK$2:$AK$9,MATCH($A251,'Historical Data'!$BE$2:$BE$9,0)),"")</f>
        <v/>
      </c>
      <c r="Q251" s="111" t="str">
        <f aca="false">IFERROR(INDEX('Historical Data'!$AA$2:$AA$9,MATCH($A251,'Historical Data'!$BE$2:$BE$9,0)),"")</f>
        <v/>
      </c>
      <c r="R251" s="111" t="str">
        <f aca="false">IFERROR(INDEX('Historical Data'!$AB$2:$AB$9,MATCH($A251,'Historical Data'!$BE$2:$BE$9,0)),"")</f>
        <v/>
      </c>
      <c r="S251" s="111" t="str">
        <f aca="false">IFERROR(INDEX('Historical Data'!$AN$2:$AN$9,MATCH($A251,'Historical Data'!$BE$2:$BE$9,0)),"")</f>
        <v/>
      </c>
      <c r="T251" s="111" t="str">
        <f aca="false">IFERROR(INDEX('Historical Data'!$AC$2:$AC$9,MATCH($A251,'Historical Data'!$BE$2:$BE$9,0)),"")</f>
        <v/>
      </c>
      <c r="U251" s="111" t="str">
        <f aca="false">IFERROR(INDEX('Historical Data'!$AE$2:$AE$9,MATCH($A251,'Historical Data'!$BE$2:$BE$9,0)),"")</f>
        <v/>
      </c>
      <c r="V251" s="111" t="str">
        <f aca="false">IFERROR(INDEX('Historical Data'!$AH$2:$AH$9,MATCH($A251,'Historical Data'!$BE$2:$BE$9,0)),"")</f>
        <v/>
      </c>
      <c r="W251" s="111" t="str">
        <f aca="false">IFERROR(INDEX('Historical Data'!$BC$2:$BC$9,MATCH($A251,'Historical Data'!$BE$2:$BE$9,0)),"")</f>
        <v/>
      </c>
      <c r="X251" s="110" t="str">
        <f aca="false">IF(B251="","",IF(W251=1,"NR + industry + position",IF(W251=2,"NR + ISO + position",IF(W251=3,"NR + industry",IF(W251=4,"NR + ISO",IF(W251=5,"NR + position",IF(W251=6,"NR only","book baseline"))))))&amp;"  ["&amp;IF(T251=1,"seasoned","unseasoned")&amp;IF(U251=1,", defaulted","")&amp;IF(V251=1,", open","")&amp;"]")</f>
        <v/>
      </c>
    </row>
    <row r="252" customFormat="false" ht="15" hidden="false" customHeight="false" outlineLevel="0" collapsed="false">
      <c r="A252" s="110" t="n">
        <v>248</v>
      </c>
      <c r="B252" s="111" t="str">
        <f aca="false">IFERROR(INDEX('Historical Data'!$A$2:$A$9,MATCH($A252,'Historical Data'!$BE$2:$BE$9,0)),"")</f>
        <v/>
      </c>
      <c r="C252" s="111" t="str">
        <f aca="false">IFERROR(INDEX('Historical Data'!$B$2:$B$9,MATCH($A252,'Historical Data'!$BE$2:$BE$9,0)),"")</f>
        <v/>
      </c>
      <c r="D252" s="111" t="str">
        <f aca="false">IFERROR(INDEX('Historical Data'!$D$2:$D$9,MATCH($A252,'Historical Data'!$BE$2:$BE$9,0)),"")</f>
        <v/>
      </c>
      <c r="E252" s="112" t="str">
        <f aca="false">IFERROR(INDEX('Historical Data'!$E$2:$E$9,MATCH($A252,'Historical Data'!$BE$2:$BE$9,0)),"")</f>
        <v/>
      </c>
      <c r="F252" s="111" t="str">
        <f aca="false">IFERROR(INDEX('Historical Data'!$G$2:$G$9,MATCH($A252,'Historical Data'!$BE$2:$BE$9,0)),"")</f>
        <v/>
      </c>
      <c r="G252" s="111" t="str">
        <f aca="false">IFERROR(INDEX('Historical Data'!$Y$2:$Y$9,MATCH($A252,'Historical Data'!$BE$2:$BE$9,0)),"")</f>
        <v/>
      </c>
      <c r="H252" s="111" t="str">
        <f aca="false">IFERROR(INDEX('Historical Data'!$K$2:$K$9,MATCH($A252,'Historical Data'!$BE$2:$BE$9,0)),"")</f>
        <v/>
      </c>
      <c r="I252" s="111" t="str">
        <f aca="false">IFERROR(INDEX('Historical Data'!$J$2:$J$9,MATCH($A252,'Historical Data'!$BE$2:$BE$9,0)),"")</f>
        <v/>
      </c>
      <c r="J252" s="111" t="str">
        <f aca="false">IFERROR(INDEX('Historical Data'!$L$2:$L$9,MATCH($A252,'Historical Data'!$BE$2:$BE$9,0)),"")</f>
        <v/>
      </c>
      <c r="K252" s="113" t="str">
        <f aca="false">IFERROR(INDEX('Historical Data'!$M$2:$M$9,MATCH($A252,'Historical Data'!$BE$2:$BE$9,0)),"")</f>
        <v/>
      </c>
      <c r="L252" s="114" t="str">
        <f aca="false">IFERROR(INDEX('Historical Data'!$N$2:$N$9,MATCH($A252,'Historical Data'!$BE$2:$BE$9,0)),"")</f>
        <v/>
      </c>
      <c r="M252" s="114" t="str">
        <f aca="false">IFERROR(INDEX('Historical Data'!$Q$2:$Q$9,MATCH($A252,'Historical Data'!$BE$2:$BE$9,0)),"")</f>
        <v/>
      </c>
      <c r="N252" s="115" t="str">
        <f aca="false">IFERROR(INDEX('Historical Data'!$S$2:$S$9,MATCH($A252,'Historical Data'!$BE$2:$BE$9,0)),"")</f>
        <v/>
      </c>
      <c r="O252" s="114" t="str">
        <f aca="false">IFERROR(INDEX('Historical Data'!$AJ$2:$AJ$9,MATCH($A252,'Historical Data'!$BE$2:$BE$9,0)),"")</f>
        <v/>
      </c>
      <c r="P252" s="114" t="str">
        <f aca="false">IFERROR(INDEX('Historical Data'!$AK$2:$AK$9,MATCH($A252,'Historical Data'!$BE$2:$BE$9,0)),"")</f>
        <v/>
      </c>
      <c r="Q252" s="111" t="str">
        <f aca="false">IFERROR(INDEX('Historical Data'!$AA$2:$AA$9,MATCH($A252,'Historical Data'!$BE$2:$BE$9,0)),"")</f>
        <v/>
      </c>
      <c r="R252" s="111" t="str">
        <f aca="false">IFERROR(INDEX('Historical Data'!$AB$2:$AB$9,MATCH($A252,'Historical Data'!$BE$2:$BE$9,0)),"")</f>
        <v/>
      </c>
      <c r="S252" s="111" t="str">
        <f aca="false">IFERROR(INDEX('Historical Data'!$AN$2:$AN$9,MATCH($A252,'Historical Data'!$BE$2:$BE$9,0)),"")</f>
        <v/>
      </c>
      <c r="T252" s="111" t="str">
        <f aca="false">IFERROR(INDEX('Historical Data'!$AC$2:$AC$9,MATCH($A252,'Historical Data'!$BE$2:$BE$9,0)),"")</f>
        <v/>
      </c>
      <c r="U252" s="111" t="str">
        <f aca="false">IFERROR(INDEX('Historical Data'!$AE$2:$AE$9,MATCH($A252,'Historical Data'!$BE$2:$BE$9,0)),"")</f>
        <v/>
      </c>
      <c r="V252" s="111" t="str">
        <f aca="false">IFERROR(INDEX('Historical Data'!$AH$2:$AH$9,MATCH($A252,'Historical Data'!$BE$2:$BE$9,0)),"")</f>
        <v/>
      </c>
      <c r="W252" s="111" t="str">
        <f aca="false">IFERROR(INDEX('Historical Data'!$BC$2:$BC$9,MATCH($A252,'Historical Data'!$BE$2:$BE$9,0)),"")</f>
        <v/>
      </c>
      <c r="X252" s="110" t="str">
        <f aca="false">IF(B252="","",IF(W252=1,"NR + industry + position",IF(W252=2,"NR + ISO + position",IF(W252=3,"NR + industry",IF(W252=4,"NR + ISO",IF(W252=5,"NR + position",IF(W252=6,"NR only","book baseline"))))))&amp;"  ["&amp;IF(T252=1,"seasoned","unseasoned")&amp;IF(U252=1,", defaulted","")&amp;IF(V252=1,", open","")&amp;"]")</f>
        <v/>
      </c>
    </row>
    <row r="253" customFormat="false" ht="15" hidden="false" customHeight="false" outlineLevel="0" collapsed="false">
      <c r="A253" s="110" t="n">
        <v>249</v>
      </c>
      <c r="B253" s="111" t="str">
        <f aca="false">IFERROR(INDEX('Historical Data'!$A$2:$A$9,MATCH($A253,'Historical Data'!$BE$2:$BE$9,0)),"")</f>
        <v/>
      </c>
      <c r="C253" s="111" t="str">
        <f aca="false">IFERROR(INDEX('Historical Data'!$B$2:$B$9,MATCH($A253,'Historical Data'!$BE$2:$BE$9,0)),"")</f>
        <v/>
      </c>
      <c r="D253" s="111" t="str">
        <f aca="false">IFERROR(INDEX('Historical Data'!$D$2:$D$9,MATCH($A253,'Historical Data'!$BE$2:$BE$9,0)),"")</f>
        <v/>
      </c>
      <c r="E253" s="112" t="str">
        <f aca="false">IFERROR(INDEX('Historical Data'!$E$2:$E$9,MATCH($A253,'Historical Data'!$BE$2:$BE$9,0)),"")</f>
        <v/>
      </c>
      <c r="F253" s="111" t="str">
        <f aca="false">IFERROR(INDEX('Historical Data'!$G$2:$G$9,MATCH($A253,'Historical Data'!$BE$2:$BE$9,0)),"")</f>
        <v/>
      </c>
      <c r="G253" s="111" t="str">
        <f aca="false">IFERROR(INDEX('Historical Data'!$Y$2:$Y$9,MATCH($A253,'Historical Data'!$BE$2:$BE$9,0)),"")</f>
        <v/>
      </c>
      <c r="H253" s="111" t="str">
        <f aca="false">IFERROR(INDEX('Historical Data'!$K$2:$K$9,MATCH($A253,'Historical Data'!$BE$2:$BE$9,0)),"")</f>
        <v/>
      </c>
      <c r="I253" s="111" t="str">
        <f aca="false">IFERROR(INDEX('Historical Data'!$J$2:$J$9,MATCH($A253,'Historical Data'!$BE$2:$BE$9,0)),"")</f>
        <v/>
      </c>
      <c r="J253" s="111" t="str">
        <f aca="false">IFERROR(INDEX('Historical Data'!$L$2:$L$9,MATCH($A253,'Historical Data'!$BE$2:$BE$9,0)),"")</f>
        <v/>
      </c>
      <c r="K253" s="113" t="str">
        <f aca="false">IFERROR(INDEX('Historical Data'!$M$2:$M$9,MATCH($A253,'Historical Data'!$BE$2:$BE$9,0)),"")</f>
        <v/>
      </c>
      <c r="L253" s="114" t="str">
        <f aca="false">IFERROR(INDEX('Historical Data'!$N$2:$N$9,MATCH($A253,'Historical Data'!$BE$2:$BE$9,0)),"")</f>
        <v/>
      </c>
      <c r="M253" s="114" t="str">
        <f aca="false">IFERROR(INDEX('Historical Data'!$Q$2:$Q$9,MATCH($A253,'Historical Data'!$BE$2:$BE$9,0)),"")</f>
        <v/>
      </c>
      <c r="N253" s="115" t="str">
        <f aca="false">IFERROR(INDEX('Historical Data'!$S$2:$S$9,MATCH($A253,'Historical Data'!$BE$2:$BE$9,0)),"")</f>
        <v/>
      </c>
      <c r="O253" s="114" t="str">
        <f aca="false">IFERROR(INDEX('Historical Data'!$AJ$2:$AJ$9,MATCH($A253,'Historical Data'!$BE$2:$BE$9,0)),"")</f>
        <v/>
      </c>
      <c r="P253" s="114" t="str">
        <f aca="false">IFERROR(INDEX('Historical Data'!$AK$2:$AK$9,MATCH($A253,'Historical Data'!$BE$2:$BE$9,0)),"")</f>
        <v/>
      </c>
      <c r="Q253" s="111" t="str">
        <f aca="false">IFERROR(INDEX('Historical Data'!$AA$2:$AA$9,MATCH($A253,'Historical Data'!$BE$2:$BE$9,0)),"")</f>
        <v/>
      </c>
      <c r="R253" s="111" t="str">
        <f aca="false">IFERROR(INDEX('Historical Data'!$AB$2:$AB$9,MATCH($A253,'Historical Data'!$BE$2:$BE$9,0)),"")</f>
        <v/>
      </c>
      <c r="S253" s="111" t="str">
        <f aca="false">IFERROR(INDEX('Historical Data'!$AN$2:$AN$9,MATCH($A253,'Historical Data'!$BE$2:$BE$9,0)),"")</f>
        <v/>
      </c>
      <c r="T253" s="111" t="str">
        <f aca="false">IFERROR(INDEX('Historical Data'!$AC$2:$AC$9,MATCH($A253,'Historical Data'!$BE$2:$BE$9,0)),"")</f>
        <v/>
      </c>
      <c r="U253" s="111" t="str">
        <f aca="false">IFERROR(INDEX('Historical Data'!$AE$2:$AE$9,MATCH($A253,'Historical Data'!$BE$2:$BE$9,0)),"")</f>
        <v/>
      </c>
      <c r="V253" s="111" t="str">
        <f aca="false">IFERROR(INDEX('Historical Data'!$AH$2:$AH$9,MATCH($A253,'Historical Data'!$BE$2:$BE$9,0)),"")</f>
        <v/>
      </c>
      <c r="W253" s="111" t="str">
        <f aca="false">IFERROR(INDEX('Historical Data'!$BC$2:$BC$9,MATCH($A253,'Historical Data'!$BE$2:$BE$9,0)),"")</f>
        <v/>
      </c>
      <c r="X253" s="110" t="str">
        <f aca="false">IF(B253="","",IF(W253=1,"NR + industry + position",IF(W253=2,"NR + ISO + position",IF(W253=3,"NR + industry",IF(W253=4,"NR + ISO",IF(W253=5,"NR + position",IF(W253=6,"NR only","book baseline"))))))&amp;"  ["&amp;IF(T253=1,"seasoned","unseasoned")&amp;IF(U253=1,", defaulted","")&amp;IF(V253=1,", open","")&amp;"]")</f>
        <v/>
      </c>
    </row>
    <row r="254" customFormat="false" ht="15" hidden="false" customHeight="false" outlineLevel="0" collapsed="false">
      <c r="A254" s="110" t="n">
        <v>250</v>
      </c>
      <c r="B254" s="111" t="str">
        <f aca="false">IFERROR(INDEX('Historical Data'!$A$2:$A$9,MATCH($A254,'Historical Data'!$BE$2:$BE$9,0)),"")</f>
        <v/>
      </c>
      <c r="C254" s="111" t="str">
        <f aca="false">IFERROR(INDEX('Historical Data'!$B$2:$B$9,MATCH($A254,'Historical Data'!$BE$2:$BE$9,0)),"")</f>
        <v/>
      </c>
      <c r="D254" s="111" t="str">
        <f aca="false">IFERROR(INDEX('Historical Data'!$D$2:$D$9,MATCH($A254,'Historical Data'!$BE$2:$BE$9,0)),"")</f>
        <v/>
      </c>
      <c r="E254" s="112" t="str">
        <f aca="false">IFERROR(INDEX('Historical Data'!$E$2:$E$9,MATCH($A254,'Historical Data'!$BE$2:$BE$9,0)),"")</f>
        <v/>
      </c>
      <c r="F254" s="111" t="str">
        <f aca="false">IFERROR(INDEX('Historical Data'!$G$2:$G$9,MATCH($A254,'Historical Data'!$BE$2:$BE$9,0)),"")</f>
        <v/>
      </c>
      <c r="G254" s="111" t="str">
        <f aca="false">IFERROR(INDEX('Historical Data'!$Y$2:$Y$9,MATCH($A254,'Historical Data'!$BE$2:$BE$9,0)),"")</f>
        <v/>
      </c>
      <c r="H254" s="111" t="str">
        <f aca="false">IFERROR(INDEX('Historical Data'!$K$2:$K$9,MATCH($A254,'Historical Data'!$BE$2:$BE$9,0)),"")</f>
        <v/>
      </c>
      <c r="I254" s="111" t="str">
        <f aca="false">IFERROR(INDEX('Historical Data'!$J$2:$J$9,MATCH($A254,'Historical Data'!$BE$2:$BE$9,0)),"")</f>
        <v/>
      </c>
      <c r="J254" s="111" t="str">
        <f aca="false">IFERROR(INDEX('Historical Data'!$L$2:$L$9,MATCH($A254,'Historical Data'!$BE$2:$BE$9,0)),"")</f>
        <v/>
      </c>
      <c r="K254" s="113" t="str">
        <f aca="false">IFERROR(INDEX('Historical Data'!$M$2:$M$9,MATCH($A254,'Historical Data'!$BE$2:$BE$9,0)),"")</f>
        <v/>
      </c>
      <c r="L254" s="114" t="str">
        <f aca="false">IFERROR(INDEX('Historical Data'!$N$2:$N$9,MATCH($A254,'Historical Data'!$BE$2:$BE$9,0)),"")</f>
        <v/>
      </c>
      <c r="M254" s="114" t="str">
        <f aca="false">IFERROR(INDEX('Historical Data'!$Q$2:$Q$9,MATCH($A254,'Historical Data'!$BE$2:$BE$9,0)),"")</f>
        <v/>
      </c>
      <c r="N254" s="115" t="str">
        <f aca="false">IFERROR(INDEX('Historical Data'!$S$2:$S$9,MATCH($A254,'Historical Data'!$BE$2:$BE$9,0)),"")</f>
        <v/>
      </c>
      <c r="O254" s="114" t="str">
        <f aca="false">IFERROR(INDEX('Historical Data'!$AJ$2:$AJ$9,MATCH($A254,'Historical Data'!$BE$2:$BE$9,0)),"")</f>
        <v/>
      </c>
      <c r="P254" s="114" t="str">
        <f aca="false">IFERROR(INDEX('Historical Data'!$AK$2:$AK$9,MATCH($A254,'Historical Data'!$BE$2:$BE$9,0)),"")</f>
        <v/>
      </c>
      <c r="Q254" s="111" t="str">
        <f aca="false">IFERROR(INDEX('Historical Data'!$AA$2:$AA$9,MATCH($A254,'Historical Data'!$BE$2:$BE$9,0)),"")</f>
        <v/>
      </c>
      <c r="R254" s="111" t="str">
        <f aca="false">IFERROR(INDEX('Historical Data'!$AB$2:$AB$9,MATCH($A254,'Historical Data'!$BE$2:$BE$9,0)),"")</f>
        <v/>
      </c>
      <c r="S254" s="111" t="str">
        <f aca="false">IFERROR(INDEX('Historical Data'!$AN$2:$AN$9,MATCH($A254,'Historical Data'!$BE$2:$BE$9,0)),"")</f>
        <v/>
      </c>
      <c r="T254" s="111" t="str">
        <f aca="false">IFERROR(INDEX('Historical Data'!$AC$2:$AC$9,MATCH($A254,'Historical Data'!$BE$2:$BE$9,0)),"")</f>
        <v/>
      </c>
      <c r="U254" s="111" t="str">
        <f aca="false">IFERROR(INDEX('Historical Data'!$AE$2:$AE$9,MATCH($A254,'Historical Data'!$BE$2:$BE$9,0)),"")</f>
        <v/>
      </c>
      <c r="V254" s="111" t="str">
        <f aca="false">IFERROR(INDEX('Historical Data'!$AH$2:$AH$9,MATCH($A254,'Historical Data'!$BE$2:$BE$9,0)),"")</f>
        <v/>
      </c>
      <c r="W254" s="111" t="str">
        <f aca="false">IFERROR(INDEX('Historical Data'!$BC$2:$BC$9,MATCH($A254,'Historical Data'!$BE$2:$BE$9,0)),"")</f>
        <v/>
      </c>
      <c r="X254" s="110" t="str">
        <f aca="false">IF(B254="","",IF(W254=1,"NR + industry + position",IF(W254=2,"NR + ISO + position",IF(W254=3,"NR + industry",IF(W254=4,"NR + ISO",IF(W254=5,"NR + position",IF(W254=6,"NR only","book baseline"))))))&amp;"  ["&amp;IF(T254=1,"seasoned","unseasoned")&amp;IF(U254=1,", defaulted","")&amp;IF(V254=1,", open","")&amp;"]")</f>
        <v/>
      </c>
    </row>
    <row r="255" customFormat="false" ht="15" hidden="false" customHeight="false" outlineLevel="0" collapsed="false">
      <c r="A255" s="110" t="n">
        <v>251</v>
      </c>
      <c r="B255" s="111" t="str">
        <f aca="false">IFERROR(INDEX('Historical Data'!$A$2:$A$9,MATCH($A255,'Historical Data'!$BE$2:$BE$9,0)),"")</f>
        <v/>
      </c>
      <c r="C255" s="111" t="str">
        <f aca="false">IFERROR(INDEX('Historical Data'!$B$2:$B$9,MATCH($A255,'Historical Data'!$BE$2:$BE$9,0)),"")</f>
        <v/>
      </c>
      <c r="D255" s="111" t="str">
        <f aca="false">IFERROR(INDEX('Historical Data'!$D$2:$D$9,MATCH($A255,'Historical Data'!$BE$2:$BE$9,0)),"")</f>
        <v/>
      </c>
      <c r="E255" s="112" t="str">
        <f aca="false">IFERROR(INDEX('Historical Data'!$E$2:$E$9,MATCH($A255,'Historical Data'!$BE$2:$BE$9,0)),"")</f>
        <v/>
      </c>
      <c r="F255" s="111" t="str">
        <f aca="false">IFERROR(INDEX('Historical Data'!$G$2:$G$9,MATCH($A255,'Historical Data'!$BE$2:$BE$9,0)),"")</f>
        <v/>
      </c>
      <c r="G255" s="111" t="str">
        <f aca="false">IFERROR(INDEX('Historical Data'!$Y$2:$Y$9,MATCH($A255,'Historical Data'!$BE$2:$BE$9,0)),"")</f>
        <v/>
      </c>
      <c r="H255" s="111" t="str">
        <f aca="false">IFERROR(INDEX('Historical Data'!$K$2:$K$9,MATCH($A255,'Historical Data'!$BE$2:$BE$9,0)),"")</f>
        <v/>
      </c>
      <c r="I255" s="111" t="str">
        <f aca="false">IFERROR(INDEX('Historical Data'!$J$2:$J$9,MATCH($A255,'Historical Data'!$BE$2:$BE$9,0)),"")</f>
        <v/>
      </c>
      <c r="J255" s="111" t="str">
        <f aca="false">IFERROR(INDEX('Historical Data'!$L$2:$L$9,MATCH($A255,'Historical Data'!$BE$2:$BE$9,0)),"")</f>
        <v/>
      </c>
      <c r="K255" s="113" t="str">
        <f aca="false">IFERROR(INDEX('Historical Data'!$M$2:$M$9,MATCH($A255,'Historical Data'!$BE$2:$BE$9,0)),"")</f>
        <v/>
      </c>
      <c r="L255" s="114" t="str">
        <f aca="false">IFERROR(INDEX('Historical Data'!$N$2:$N$9,MATCH($A255,'Historical Data'!$BE$2:$BE$9,0)),"")</f>
        <v/>
      </c>
      <c r="M255" s="114" t="str">
        <f aca="false">IFERROR(INDEX('Historical Data'!$Q$2:$Q$9,MATCH($A255,'Historical Data'!$BE$2:$BE$9,0)),"")</f>
        <v/>
      </c>
      <c r="N255" s="115" t="str">
        <f aca="false">IFERROR(INDEX('Historical Data'!$S$2:$S$9,MATCH($A255,'Historical Data'!$BE$2:$BE$9,0)),"")</f>
        <v/>
      </c>
      <c r="O255" s="114" t="str">
        <f aca="false">IFERROR(INDEX('Historical Data'!$AJ$2:$AJ$9,MATCH($A255,'Historical Data'!$BE$2:$BE$9,0)),"")</f>
        <v/>
      </c>
      <c r="P255" s="114" t="str">
        <f aca="false">IFERROR(INDEX('Historical Data'!$AK$2:$AK$9,MATCH($A255,'Historical Data'!$BE$2:$BE$9,0)),"")</f>
        <v/>
      </c>
      <c r="Q255" s="111" t="str">
        <f aca="false">IFERROR(INDEX('Historical Data'!$AA$2:$AA$9,MATCH($A255,'Historical Data'!$BE$2:$BE$9,0)),"")</f>
        <v/>
      </c>
      <c r="R255" s="111" t="str">
        <f aca="false">IFERROR(INDEX('Historical Data'!$AB$2:$AB$9,MATCH($A255,'Historical Data'!$BE$2:$BE$9,0)),"")</f>
        <v/>
      </c>
      <c r="S255" s="111" t="str">
        <f aca="false">IFERROR(INDEX('Historical Data'!$AN$2:$AN$9,MATCH($A255,'Historical Data'!$BE$2:$BE$9,0)),"")</f>
        <v/>
      </c>
      <c r="T255" s="111" t="str">
        <f aca="false">IFERROR(INDEX('Historical Data'!$AC$2:$AC$9,MATCH($A255,'Historical Data'!$BE$2:$BE$9,0)),"")</f>
        <v/>
      </c>
      <c r="U255" s="111" t="str">
        <f aca="false">IFERROR(INDEX('Historical Data'!$AE$2:$AE$9,MATCH($A255,'Historical Data'!$BE$2:$BE$9,0)),"")</f>
        <v/>
      </c>
      <c r="V255" s="111" t="str">
        <f aca="false">IFERROR(INDEX('Historical Data'!$AH$2:$AH$9,MATCH($A255,'Historical Data'!$BE$2:$BE$9,0)),"")</f>
        <v/>
      </c>
      <c r="W255" s="111" t="str">
        <f aca="false">IFERROR(INDEX('Historical Data'!$BC$2:$BC$9,MATCH($A255,'Historical Data'!$BE$2:$BE$9,0)),"")</f>
        <v/>
      </c>
      <c r="X255" s="110" t="str">
        <f aca="false">IF(B255="","",IF(W255=1,"NR + industry + position",IF(W255=2,"NR + ISO + position",IF(W255=3,"NR + industry",IF(W255=4,"NR + ISO",IF(W255=5,"NR + position",IF(W255=6,"NR only","book baseline"))))))&amp;"  ["&amp;IF(T255=1,"seasoned","unseasoned")&amp;IF(U255=1,", defaulted","")&amp;IF(V255=1,", open","")&amp;"]")</f>
        <v/>
      </c>
    </row>
    <row r="256" customFormat="false" ht="15" hidden="false" customHeight="false" outlineLevel="0" collapsed="false">
      <c r="A256" s="110" t="n">
        <v>252</v>
      </c>
      <c r="B256" s="111" t="str">
        <f aca="false">IFERROR(INDEX('Historical Data'!$A$2:$A$9,MATCH($A256,'Historical Data'!$BE$2:$BE$9,0)),"")</f>
        <v/>
      </c>
      <c r="C256" s="111" t="str">
        <f aca="false">IFERROR(INDEX('Historical Data'!$B$2:$B$9,MATCH($A256,'Historical Data'!$BE$2:$BE$9,0)),"")</f>
        <v/>
      </c>
      <c r="D256" s="111" t="str">
        <f aca="false">IFERROR(INDEX('Historical Data'!$D$2:$D$9,MATCH($A256,'Historical Data'!$BE$2:$BE$9,0)),"")</f>
        <v/>
      </c>
      <c r="E256" s="112" t="str">
        <f aca="false">IFERROR(INDEX('Historical Data'!$E$2:$E$9,MATCH($A256,'Historical Data'!$BE$2:$BE$9,0)),"")</f>
        <v/>
      </c>
      <c r="F256" s="111" t="str">
        <f aca="false">IFERROR(INDEX('Historical Data'!$G$2:$G$9,MATCH($A256,'Historical Data'!$BE$2:$BE$9,0)),"")</f>
        <v/>
      </c>
      <c r="G256" s="111" t="str">
        <f aca="false">IFERROR(INDEX('Historical Data'!$Y$2:$Y$9,MATCH($A256,'Historical Data'!$BE$2:$BE$9,0)),"")</f>
        <v/>
      </c>
      <c r="H256" s="111" t="str">
        <f aca="false">IFERROR(INDEX('Historical Data'!$K$2:$K$9,MATCH($A256,'Historical Data'!$BE$2:$BE$9,0)),"")</f>
        <v/>
      </c>
      <c r="I256" s="111" t="str">
        <f aca="false">IFERROR(INDEX('Historical Data'!$J$2:$J$9,MATCH($A256,'Historical Data'!$BE$2:$BE$9,0)),"")</f>
        <v/>
      </c>
      <c r="J256" s="111" t="str">
        <f aca="false">IFERROR(INDEX('Historical Data'!$L$2:$L$9,MATCH($A256,'Historical Data'!$BE$2:$BE$9,0)),"")</f>
        <v/>
      </c>
      <c r="K256" s="113" t="str">
        <f aca="false">IFERROR(INDEX('Historical Data'!$M$2:$M$9,MATCH($A256,'Historical Data'!$BE$2:$BE$9,0)),"")</f>
        <v/>
      </c>
      <c r="L256" s="114" t="str">
        <f aca="false">IFERROR(INDEX('Historical Data'!$N$2:$N$9,MATCH($A256,'Historical Data'!$BE$2:$BE$9,0)),"")</f>
        <v/>
      </c>
      <c r="M256" s="114" t="str">
        <f aca="false">IFERROR(INDEX('Historical Data'!$Q$2:$Q$9,MATCH($A256,'Historical Data'!$BE$2:$BE$9,0)),"")</f>
        <v/>
      </c>
      <c r="N256" s="115" t="str">
        <f aca="false">IFERROR(INDEX('Historical Data'!$S$2:$S$9,MATCH($A256,'Historical Data'!$BE$2:$BE$9,0)),"")</f>
        <v/>
      </c>
      <c r="O256" s="114" t="str">
        <f aca="false">IFERROR(INDEX('Historical Data'!$AJ$2:$AJ$9,MATCH($A256,'Historical Data'!$BE$2:$BE$9,0)),"")</f>
        <v/>
      </c>
      <c r="P256" s="114" t="str">
        <f aca="false">IFERROR(INDEX('Historical Data'!$AK$2:$AK$9,MATCH($A256,'Historical Data'!$BE$2:$BE$9,0)),"")</f>
        <v/>
      </c>
      <c r="Q256" s="111" t="str">
        <f aca="false">IFERROR(INDEX('Historical Data'!$AA$2:$AA$9,MATCH($A256,'Historical Data'!$BE$2:$BE$9,0)),"")</f>
        <v/>
      </c>
      <c r="R256" s="111" t="str">
        <f aca="false">IFERROR(INDEX('Historical Data'!$AB$2:$AB$9,MATCH($A256,'Historical Data'!$BE$2:$BE$9,0)),"")</f>
        <v/>
      </c>
      <c r="S256" s="111" t="str">
        <f aca="false">IFERROR(INDEX('Historical Data'!$AN$2:$AN$9,MATCH($A256,'Historical Data'!$BE$2:$BE$9,0)),"")</f>
        <v/>
      </c>
      <c r="T256" s="111" t="str">
        <f aca="false">IFERROR(INDEX('Historical Data'!$AC$2:$AC$9,MATCH($A256,'Historical Data'!$BE$2:$BE$9,0)),"")</f>
        <v/>
      </c>
      <c r="U256" s="111" t="str">
        <f aca="false">IFERROR(INDEX('Historical Data'!$AE$2:$AE$9,MATCH($A256,'Historical Data'!$BE$2:$BE$9,0)),"")</f>
        <v/>
      </c>
      <c r="V256" s="111" t="str">
        <f aca="false">IFERROR(INDEX('Historical Data'!$AH$2:$AH$9,MATCH($A256,'Historical Data'!$BE$2:$BE$9,0)),"")</f>
        <v/>
      </c>
      <c r="W256" s="111" t="str">
        <f aca="false">IFERROR(INDEX('Historical Data'!$BC$2:$BC$9,MATCH($A256,'Historical Data'!$BE$2:$BE$9,0)),"")</f>
        <v/>
      </c>
      <c r="X256" s="110" t="str">
        <f aca="false">IF(B256="","",IF(W256=1,"NR + industry + position",IF(W256=2,"NR + ISO + position",IF(W256=3,"NR + industry",IF(W256=4,"NR + ISO",IF(W256=5,"NR + position",IF(W256=6,"NR only","book baseline"))))))&amp;"  ["&amp;IF(T256=1,"seasoned","unseasoned")&amp;IF(U256=1,", defaulted","")&amp;IF(V256=1,", open","")&amp;"]")</f>
        <v/>
      </c>
    </row>
    <row r="257" customFormat="false" ht="15" hidden="false" customHeight="false" outlineLevel="0" collapsed="false">
      <c r="A257" s="110" t="n">
        <v>253</v>
      </c>
      <c r="B257" s="111" t="str">
        <f aca="false">IFERROR(INDEX('Historical Data'!$A$2:$A$9,MATCH($A257,'Historical Data'!$BE$2:$BE$9,0)),"")</f>
        <v/>
      </c>
      <c r="C257" s="111" t="str">
        <f aca="false">IFERROR(INDEX('Historical Data'!$B$2:$B$9,MATCH($A257,'Historical Data'!$BE$2:$BE$9,0)),"")</f>
        <v/>
      </c>
      <c r="D257" s="111" t="str">
        <f aca="false">IFERROR(INDEX('Historical Data'!$D$2:$D$9,MATCH($A257,'Historical Data'!$BE$2:$BE$9,0)),"")</f>
        <v/>
      </c>
      <c r="E257" s="112" t="str">
        <f aca="false">IFERROR(INDEX('Historical Data'!$E$2:$E$9,MATCH($A257,'Historical Data'!$BE$2:$BE$9,0)),"")</f>
        <v/>
      </c>
      <c r="F257" s="111" t="str">
        <f aca="false">IFERROR(INDEX('Historical Data'!$G$2:$G$9,MATCH($A257,'Historical Data'!$BE$2:$BE$9,0)),"")</f>
        <v/>
      </c>
      <c r="G257" s="111" t="str">
        <f aca="false">IFERROR(INDEX('Historical Data'!$Y$2:$Y$9,MATCH($A257,'Historical Data'!$BE$2:$BE$9,0)),"")</f>
        <v/>
      </c>
      <c r="H257" s="111" t="str">
        <f aca="false">IFERROR(INDEX('Historical Data'!$K$2:$K$9,MATCH($A257,'Historical Data'!$BE$2:$BE$9,0)),"")</f>
        <v/>
      </c>
      <c r="I257" s="111" t="str">
        <f aca="false">IFERROR(INDEX('Historical Data'!$J$2:$J$9,MATCH($A257,'Historical Data'!$BE$2:$BE$9,0)),"")</f>
        <v/>
      </c>
      <c r="J257" s="111" t="str">
        <f aca="false">IFERROR(INDEX('Historical Data'!$L$2:$L$9,MATCH($A257,'Historical Data'!$BE$2:$BE$9,0)),"")</f>
        <v/>
      </c>
      <c r="K257" s="113" t="str">
        <f aca="false">IFERROR(INDEX('Historical Data'!$M$2:$M$9,MATCH($A257,'Historical Data'!$BE$2:$BE$9,0)),"")</f>
        <v/>
      </c>
      <c r="L257" s="114" t="str">
        <f aca="false">IFERROR(INDEX('Historical Data'!$N$2:$N$9,MATCH($A257,'Historical Data'!$BE$2:$BE$9,0)),"")</f>
        <v/>
      </c>
      <c r="M257" s="114" t="str">
        <f aca="false">IFERROR(INDEX('Historical Data'!$Q$2:$Q$9,MATCH($A257,'Historical Data'!$BE$2:$BE$9,0)),"")</f>
        <v/>
      </c>
      <c r="N257" s="115" t="str">
        <f aca="false">IFERROR(INDEX('Historical Data'!$S$2:$S$9,MATCH($A257,'Historical Data'!$BE$2:$BE$9,0)),"")</f>
        <v/>
      </c>
      <c r="O257" s="114" t="str">
        <f aca="false">IFERROR(INDEX('Historical Data'!$AJ$2:$AJ$9,MATCH($A257,'Historical Data'!$BE$2:$BE$9,0)),"")</f>
        <v/>
      </c>
      <c r="P257" s="114" t="str">
        <f aca="false">IFERROR(INDEX('Historical Data'!$AK$2:$AK$9,MATCH($A257,'Historical Data'!$BE$2:$BE$9,0)),"")</f>
        <v/>
      </c>
      <c r="Q257" s="111" t="str">
        <f aca="false">IFERROR(INDEX('Historical Data'!$AA$2:$AA$9,MATCH($A257,'Historical Data'!$BE$2:$BE$9,0)),"")</f>
        <v/>
      </c>
      <c r="R257" s="111" t="str">
        <f aca="false">IFERROR(INDEX('Historical Data'!$AB$2:$AB$9,MATCH($A257,'Historical Data'!$BE$2:$BE$9,0)),"")</f>
        <v/>
      </c>
      <c r="S257" s="111" t="str">
        <f aca="false">IFERROR(INDEX('Historical Data'!$AN$2:$AN$9,MATCH($A257,'Historical Data'!$BE$2:$BE$9,0)),"")</f>
        <v/>
      </c>
      <c r="T257" s="111" t="str">
        <f aca="false">IFERROR(INDEX('Historical Data'!$AC$2:$AC$9,MATCH($A257,'Historical Data'!$BE$2:$BE$9,0)),"")</f>
        <v/>
      </c>
      <c r="U257" s="111" t="str">
        <f aca="false">IFERROR(INDEX('Historical Data'!$AE$2:$AE$9,MATCH($A257,'Historical Data'!$BE$2:$BE$9,0)),"")</f>
        <v/>
      </c>
      <c r="V257" s="111" t="str">
        <f aca="false">IFERROR(INDEX('Historical Data'!$AH$2:$AH$9,MATCH($A257,'Historical Data'!$BE$2:$BE$9,0)),"")</f>
        <v/>
      </c>
      <c r="W257" s="111" t="str">
        <f aca="false">IFERROR(INDEX('Historical Data'!$BC$2:$BC$9,MATCH($A257,'Historical Data'!$BE$2:$BE$9,0)),"")</f>
        <v/>
      </c>
      <c r="X257" s="110" t="str">
        <f aca="false">IF(B257="","",IF(W257=1,"NR + industry + position",IF(W257=2,"NR + ISO + position",IF(W257=3,"NR + industry",IF(W257=4,"NR + ISO",IF(W257=5,"NR + position",IF(W257=6,"NR only","book baseline"))))))&amp;"  ["&amp;IF(T257=1,"seasoned","unseasoned")&amp;IF(U257=1,", defaulted","")&amp;IF(V257=1,", open","")&amp;"]")</f>
        <v/>
      </c>
    </row>
    <row r="258" customFormat="false" ht="15" hidden="false" customHeight="false" outlineLevel="0" collapsed="false">
      <c r="A258" s="110" t="n">
        <v>254</v>
      </c>
      <c r="B258" s="111" t="str">
        <f aca="false">IFERROR(INDEX('Historical Data'!$A$2:$A$9,MATCH($A258,'Historical Data'!$BE$2:$BE$9,0)),"")</f>
        <v/>
      </c>
      <c r="C258" s="111" t="str">
        <f aca="false">IFERROR(INDEX('Historical Data'!$B$2:$B$9,MATCH($A258,'Historical Data'!$BE$2:$BE$9,0)),"")</f>
        <v/>
      </c>
      <c r="D258" s="111" t="str">
        <f aca="false">IFERROR(INDEX('Historical Data'!$D$2:$D$9,MATCH($A258,'Historical Data'!$BE$2:$BE$9,0)),"")</f>
        <v/>
      </c>
      <c r="E258" s="112" t="str">
        <f aca="false">IFERROR(INDEX('Historical Data'!$E$2:$E$9,MATCH($A258,'Historical Data'!$BE$2:$BE$9,0)),"")</f>
        <v/>
      </c>
      <c r="F258" s="111" t="str">
        <f aca="false">IFERROR(INDEX('Historical Data'!$G$2:$G$9,MATCH($A258,'Historical Data'!$BE$2:$BE$9,0)),"")</f>
        <v/>
      </c>
      <c r="G258" s="111" t="str">
        <f aca="false">IFERROR(INDEX('Historical Data'!$Y$2:$Y$9,MATCH($A258,'Historical Data'!$BE$2:$BE$9,0)),"")</f>
        <v/>
      </c>
      <c r="H258" s="111" t="str">
        <f aca="false">IFERROR(INDEX('Historical Data'!$K$2:$K$9,MATCH($A258,'Historical Data'!$BE$2:$BE$9,0)),"")</f>
        <v/>
      </c>
      <c r="I258" s="111" t="str">
        <f aca="false">IFERROR(INDEX('Historical Data'!$J$2:$J$9,MATCH($A258,'Historical Data'!$BE$2:$BE$9,0)),"")</f>
        <v/>
      </c>
      <c r="J258" s="111" t="str">
        <f aca="false">IFERROR(INDEX('Historical Data'!$L$2:$L$9,MATCH($A258,'Historical Data'!$BE$2:$BE$9,0)),"")</f>
        <v/>
      </c>
      <c r="K258" s="113" t="str">
        <f aca="false">IFERROR(INDEX('Historical Data'!$M$2:$M$9,MATCH($A258,'Historical Data'!$BE$2:$BE$9,0)),"")</f>
        <v/>
      </c>
      <c r="L258" s="114" t="str">
        <f aca="false">IFERROR(INDEX('Historical Data'!$N$2:$N$9,MATCH($A258,'Historical Data'!$BE$2:$BE$9,0)),"")</f>
        <v/>
      </c>
      <c r="M258" s="114" t="str">
        <f aca="false">IFERROR(INDEX('Historical Data'!$Q$2:$Q$9,MATCH($A258,'Historical Data'!$BE$2:$BE$9,0)),"")</f>
        <v/>
      </c>
      <c r="N258" s="115" t="str">
        <f aca="false">IFERROR(INDEX('Historical Data'!$S$2:$S$9,MATCH($A258,'Historical Data'!$BE$2:$BE$9,0)),"")</f>
        <v/>
      </c>
      <c r="O258" s="114" t="str">
        <f aca="false">IFERROR(INDEX('Historical Data'!$AJ$2:$AJ$9,MATCH($A258,'Historical Data'!$BE$2:$BE$9,0)),"")</f>
        <v/>
      </c>
      <c r="P258" s="114" t="str">
        <f aca="false">IFERROR(INDEX('Historical Data'!$AK$2:$AK$9,MATCH($A258,'Historical Data'!$BE$2:$BE$9,0)),"")</f>
        <v/>
      </c>
      <c r="Q258" s="111" t="str">
        <f aca="false">IFERROR(INDEX('Historical Data'!$AA$2:$AA$9,MATCH($A258,'Historical Data'!$BE$2:$BE$9,0)),"")</f>
        <v/>
      </c>
      <c r="R258" s="111" t="str">
        <f aca="false">IFERROR(INDEX('Historical Data'!$AB$2:$AB$9,MATCH($A258,'Historical Data'!$BE$2:$BE$9,0)),"")</f>
        <v/>
      </c>
      <c r="S258" s="111" t="str">
        <f aca="false">IFERROR(INDEX('Historical Data'!$AN$2:$AN$9,MATCH($A258,'Historical Data'!$BE$2:$BE$9,0)),"")</f>
        <v/>
      </c>
      <c r="T258" s="111" t="str">
        <f aca="false">IFERROR(INDEX('Historical Data'!$AC$2:$AC$9,MATCH($A258,'Historical Data'!$BE$2:$BE$9,0)),"")</f>
        <v/>
      </c>
      <c r="U258" s="111" t="str">
        <f aca="false">IFERROR(INDEX('Historical Data'!$AE$2:$AE$9,MATCH($A258,'Historical Data'!$BE$2:$BE$9,0)),"")</f>
        <v/>
      </c>
      <c r="V258" s="111" t="str">
        <f aca="false">IFERROR(INDEX('Historical Data'!$AH$2:$AH$9,MATCH($A258,'Historical Data'!$BE$2:$BE$9,0)),"")</f>
        <v/>
      </c>
      <c r="W258" s="111" t="str">
        <f aca="false">IFERROR(INDEX('Historical Data'!$BC$2:$BC$9,MATCH($A258,'Historical Data'!$BE$2:$BE$9,0)),"")</f>
        <v/>
      </c>
      <c r="X258" s="110" t="str">
        <f aca="false">IF(B258="","",IF(W258=1,"NR + industry + position",IF(W258=2,"NR + ISO + position",IF(W258=3,"NR + industry",IF(W258=4,"NR + ISO",IF(W258=5,"NR + position",IF(W258=6,"NR only","book baseline"))))))&amp;"  ["&amp;IF(T258=1,"seasoned","unseasoned")&amp;IF(U258=1,", defaulted","")&amp;IF(V258=1,", open","")&amp;"]")</f>
        <v/>
      </c>
    </row>
    <row r="259" customFormat="false" ht="15" hidden="false" customHeight="false" outlineLevel="0" collapsed="false">
      <c r="A259" s="110" t="n">
        <v>255</v>
      </c>
      <c r="B259" s="111" t="str">
        <f aca="false">IFERROR(INDEX('Historical Data'!$A$2:$A$9,MATCH($A259,'Historical Data'!$BE$2:$BE$9,0)),"")</f>
        <v/>
      </c>
      <c r="C259" s="111" t="str">
        <f aca="false">IFERROR(INDEX('Historical Data'!$B$2:$B$9,MATCH($A259,'Historical Data'!$BE$2:$BE$9,0)),"")</f>
        <v/>
      </c>
      <c r="D259" s="111" t="str">
        <f aca="false">IFERROR(INDEX('Historical Data'!$D$2:$D$9,MATCH($A259,'Historical Data'!$BE$2:$BE$9,0)),"")</f>
        <v/>
      </c>
      <c r="E259" s="112" t="str">
        <f aca="false">IFERROR(INDEX('Historical Data'!$E$2:$E$9,MATCH($A259,'Historical Data'!$BE$2:$BE$9,0)),"")</f>
        <v/>
      </c>
      <c r="F259" s="111" t="str">
        <f aca="false">IFERROR(INDEX('Historical Data'!$G$2:$G$9,MATCH($A259,'Historical Data'!$BE$2:$BE$9,0)),"")</f>
        <v/>
      </c>
      <c r="G259" s="111" t="str">
        <f aca="false">IFERROR(INDEX('Historical Data'!$Y$2:$Y$9,MATCH($A259,'Historical Data'!$BE$2:$BE$9,0)),"")</f>
        <v/>
      </c>
      <c r="H259" s="111" t="str">
        <f aca="false">IFERROR(INDEX('Historical Data'!$K$2:$K$9,MATCH($A259,'Historical Data'!$BE$2:$BE$9,0)),"")</f>
        <v/>
      </c>
      <c r="I259" s="111" t="str">
        <f aca="false">IFERROR(INDEX('Historical Data'!$J$2:$J$9,MATCH($A259,'Historical Data'!$BE$2:$BE$9,0)),"")</f>
        <v/>
      </c>
      <c r="J259" s="111" t="str">
        <f aca="false">IFERROR(INDEX('Historical Data'!$L$2:$L$9,MATCH($A259,'Historical Data'!$BE$2:$BE$9,0)),"")</f>
        <v/>
      </c>
      <c r="K259" s="113" t="str">
        <f aca="false">IFERROR(INDEX('Historical Data'!$M$2:$M$9,MATCH($A259,'Historical Data'!$BE$2:$BE$9,0)),"")</f>
        <v/>
      </c>
      <c r="L259" s="114" t="str">
        <f aca="false">IFERROR(INDEX('Historical Data'!$N$2:$N$9,MATCH($A259,'Historical Data'!$BE$2:$BE$9,0)),"")</f>
        <v/>
      </c>
      <c r="M259" s="114" t="str">
        <f aca="false">IFERROR(INDEX('Historical Data'!$Q$2:$Q$9,MATCH($A259,'Historical Data'!$BE$2:$BE$9,0)),"")</f>
        <v/>
      </c>
      <c r="N259" s="115" t="str">
        <f aca="false">IFERROR(INDEX('Historical Data'!$S$2:$S$9,MATCH($A259,'Historical Data'!$BE$2:$BE$9,0)),"")</f>
        <v/>
      </c>
      <c r="O259" s="114" t="str">
        <f aca="false">IFERROR(INDEX('Historical Data'!$AJ$2:$AJ$9,MATCH($A259,'Historical Data'!$BE$2:$BE$9,0)),"")</f>
        <v/>
      </c>
      <c r="P259" s="114" t="str">
        <f aca="false">IFERROR(INDEX('Historical Data'!$AK$2:$AK$9,MATCH($A259,'Historical Data'!$BE$2:$BE$9,0)),"")</f>
        <v/>
      </c>
      <c r="Q259" s="111" t="str">
        <f aca="false">IFERROR(INDEX('Historical Data'!$AA$2:$AA$9,MATCH($A259,'Historical Data'!$BE$2:$BE$9,0)),"")</f>
        <v/>
      </c>
      <c r="R259" s="111" t="str">
        <f aca="false">IFERROR(INDEX('Historical Data'!$AB$2:$AB$9,MATCH($A259,'Historical Data'!$BE$2:$BE$9,0)),"")</f>
        <v/>
      </c>
      <c r="S259" s="111" t="str">
        <f aca="false">IFERROR(INDEX('Historical Data'!$AN$2:$AN$9,MATCH($A259,'Historical Data'!$BE$2:$BE$9,0)),"")</f>
        <v/>
      </c>
      <c r="T259" s="111" t="str">
        <f aca="false">IFERROR(INDEX('Historical Data'!$AC$2:$AC$9,MATCH($A259,'Historical Data'!$BE$2:$BE$9,0)),"")</f>
        <v/>
      </c>
      <c r="U259" s="111" t="str">
        <f aca="false">IFERROR(INDEX('Historical Data'!$AE$2:$AE$9,MATCH($A259,'Historical Data'!$BE$2:$BE$9,0)),"")</f>
        <v/>
      </c>
      <c r="V259" s="111" t="str">
        <f aca="false">IFERROR(INDEX('Historical Data'!$AH$2:$AH$9,MATCH($A259,'Historical Data'!$BE$2:$BE$9,0)),"")</f>
        <v/>
      </c>
      <c r="W259" s="111" t="str">
        <f aca="false">IFERROR(INDEX('Historical Data'!$BC$2:$BC$9,MATCH($A259,'Historical Data'!$BE$2:$BE$9,0)),"")</f>
        <v/>
      </c>
      <c r="X259" s="110" t="str">
        <f aca="false">IF(B259="","",IF(W259=1,"NR + industry + position",IF(W259=2,"NR + ISO + position",IF(W259=3,"NR + industry",IF(W259=4,"NR + ISO",IF(W259=5,"NR + position",IF(W259=6,"NR only","book baseline"))))))&amp;"  ["&amp;IF(T259=1,"seasoned","unseasoned")&amp;IF(U259=1,", defaulted","")&amp;IF(V259=1,", open","")&amp;"]")</f>
        <v/>
      </c>
    </row>
    <row r="260" customFormat="false" ht="15" hidden="false" customHeight="false" outlineLevel="0" collapsed="false">
      <c r="A260" s="110" t="n">
        <v>256</v>
      </c>
      <c r="B260" s="111" t="str">
        <f aca="false">IFERROR(INDEX('Historical Data'!$A$2:$A$9,MATCH($A260,'Historical Data'!$BE$2:$BE$9,0)),"")</f>
        <v/>
      </c>
      <c r="C260" s="111" t="str">
        <f aca="false">IFERROR(INDEX('Historical Data'!$B$2:$B$9,MATCH($A260,'Historical Data'!$BE$2:$BE$9,0)),"")</f>
        <v/>
      </c>
      <c r="D260" s="111" t="str">
        <f aca="false">IFERROR(INDEX('Historical Data'!$D$2:$D$9,MATCH($A260,'Historical Data'!$BE$2:$BE$9,0)),"")</f>
        <v/>
      </c>
      <c r="E260" s="112" t="str">
        <f aca="false">IFERROR(INDEX('Historical Data'!$E$2:$E$9,MATCH($A260,'Historical Data'!$BE$2:$BE$9,0)),"")</f>
        <v/>
      </c>
      <c r="F260" s="111" t="str">
        <f aca="false">IFERROR(INDEX('Historical Data'!$G$2:$G$9,MATCH($A260,'Historical Data'!$BE$2:$BE$9,0)),"")</f>
        <v/>
      </c>
      <c r="G260" s="111" t="str">
        <f aca="false">IFERROR(INDEX('Historical Data'!$Y$2:$Y$9,MATCH($A260,'Historical Data'!$BE$2:$BE$9,0)),"")</f>
        <v/>
      </c>
      <c r="H260" s="111" t="str">
        <f aca="false">IFERROR(INDEX('Historical Data'!$K$2:$K$9,MATCH($A260,'Historical Data'!$BE$2:$BE$9,0)),"")</f>
        <v/>
      </c>
      <c r="I260" s="111" t="str">
        <f aca="false">IFERROR(INDEX('Historical Data'!$J$2:$J$9,MATCH($A260,'Historical Data'!$BE$2:$BE$9,0)),"")</f>
        <v/>
      </c>
      <c r="J260" s="111" t="str">
        <f aca="false">IFERROR(INDEX('Historical Data'!$L$2:$L$9,MATCH($A260,'Historical Data'!$BE$2:$BE$9,0)),"")</f>
        <v/>
      </c>
      <c r="K260" s="113" t="str">
        <f aca="false">IFERROR(INDEX('Historical Data'!$M$2:$M$9,MATCH($A260,'Historical Data'!$BE$2:$BE$9,0)),"")</f>
        <v/>
      </c>
      <c r="L260" s="114" t="str">
        <f aca="false">IFERROR(INDEX('Historical Data'!$N$2:$N$9,MATCH($A260,'Historical Data'!$BE$2:$BE$9,0)),"")</f>
        <v/>
      </c>
      <c r="M260" s="114" t="str">
        <f aca="false">IFERROR(INDEX('Historical Data'!$Q$2:$Q$9,MATCH($A260,'Historical Data'!$BE$2:$BE$9,0)),"")</f>
        <v/>
      </c>
      <c r="N260" s="115" t="str">
        <f aca="false">IFERROR(INDEX('Historical Data'!$S$2:$S$9,MATCH($A260,'Historical Data'!$BE$2:$BE$9,0)),"")</f>
        <v/>
      </c>
      <c r="O260" s="114" t="str">
        <f aca="false">IFERROR(INDEX('Historical Data'!$AJ$2:$AJ$9,MATCH($A260,'Historical Data'!$BE$2:$BE$9,0)),"")</f>
        <v/>
      </c>
      <c r="P260" s="114" t="str">
        <f aca="false">IFERROR(INDEX('Historical Data'!$AK$2:$AK$9,MATCH($A260,'Historical Data'!$BE$2:$BE$9,0)),"")</f>
        <v/>
      </c>
      <c r="Q260" s="111" t="str">
        <f aca="false">IFERROR(INDEX('Historical Data'!$AA$2:$AA$9,MATCH($A260,'Historical Data'!$BE$2:$BE$9,0)),"")</f>
        <v/>
      </c>
      <c r="R260" s="111" t="str">
        <f aca="false">IFERROR(INDEX('Historical Data'!$AB$2:$AB$9,MATCH($A260,'Historical Data'!$BE$2:$BE$9,0)),"")</f>
        <v/>
      </c>
      <c r="S260" s="111" t="str">
        <f aca="false">IFERROR(INDEX('Historical Data'!$AN$2:$AN$9,MATCH($A260,'Historical Data'!$BE$2:$BE$9,0)),"")</f>
        <v/>
      </c>
      <c r="T260" s="111" t="str">
        <f aca="false">IFERROR(INDEX('Historical Data'!$AC$2:$AC$9,MATCH($A260,'Historical Data'!$BE$2:$BE$9,0)),"")</f>
        <v/>
      </c>
      <c r="U260" s="111" t="str">
        <f aca="false">IFERROR(INDEX('Historical Data'!$AE$2:$AE$9,MATCH($A260,'Historical Data'!$BE$2:$BE$9,0)),"")</f>
        <v/>
      </c>
      <c r="V260" s="111" t="str">
        <f aca="false">IFERROR(INDEX('Historical Data'!$AH$2:$AH$9,MATCH($A260,'Historical Data'!$BE$2:$BE$9,0)),"")</f>
        <v/>
      </c>
      <c r="W260" s="111" t="str">
        <f aca="false">IFERROR(INDEX('Historical Data'!$BC$2:$BC$9,MATCH($A260,'Historical Data'!$BE$2:$BE$9,0)),"")</f>
        <v/>
      </c>
      <c r="X260" s="110" t="str">
        <f aca="false">IF(B260="","",IF(W260=1,"NR + industry + position",IF(W260=2,"NR + ISO + position",IF(W260=3,"NR + industry",IF(W260=4,"NR + ISO",IF(W260=5,"NR + position",IF(W260=6,"NR only","book baseline"))))))&amp;"  ["&amp;IF(T260=1,"seasoned","unseasoned")&amp;IF(U260=1,", defaulted","")&amp;IF(V260=1,", open","")&amp;"]")</f>
        <v/>
      </c>
    </row>
    <row r="261" customFormat="false" ht="15" hidden="false" customHeight="false" outlineLevel="0" collapsed="false">
      <c r="A261" s="110" t="n">
        <v>257</v>
      </c>
      <c r="B261" s="111" t="str">
        <f aca="false">IFERROR(INDEX('Historical Data'!$A$2:$A$9,MATCH($A261,'Historical Data'!$BE$2:$BE$9,0)),"")</f>
        <v/>
      </c>
      <c r="C261" s="111" t="str">
        <f aca="false">IFERROR(INDEX('Historical Data'!$B$2:$B$9,MATCH($A261,'Historical Data'!$BE$2:$BE$9,0)),"")</f>
        <v/>
      </c>
      <c r="D261" s="111" t="str">
        <f aca="false">IFERROR(INDEX('Historical Data'!$D$2:$D$9,MATCH($A261,'Historical Data'!$BE$2:$BE$9,0)),"")</f>
        <v/>
      </c>
      <c r="E261" s="112" t="str">
        <f aca="false">IFERROR(INDEX('Historical Data'!$E$2:$E$9,MATCH($A261,'Historical Data'!$BE$2:$BE$9,0)),"")</f>
        <v/>
      </c>
      <c r="F261" s="111" t="str">
        <f aca="false">IFERROR(INDEX('Historical Data'!$G$2:$G$9,MATCH($A261,'Historical Data'!$BE$2:$BE$9,0)),"")</f>
        <v/>
      </c>
      <c r="G261" s="111" t="str">
        <f aca="false">IFERROR(INDEX('Historical Data'!$Y$2:$Y$9,MATCH($A261,'Historical Data'!$BE$2:$BE$9,0)),"")</f>
        <v/>
      </c>
      <c r="H261" s="111" t="str">
        <f aca="false">IFERROR(INDEX('Historical Data'!$K$2:$K$9,MATCH($A261,'Historical Data'!$BE$2:$BE$9,0)),"")</f>
        <v/>
      </c>
      <c r="I261" s="111" t="str">
        <f aca="false">IFERROR(INDEX('Historical Data'!$J$2:$J$9,MATCH($A261,'Historical Data'!$BE$2:$BE$9,0)),"")</f>
        <v/>
      </c>
      <c r="J261" s="111" t="str">
        <f aca="false">IFERROR(INDEX('Historical Data'!$L$2:$L$9,MATCH($A261,'Historical Data'!$BE$2:$BE$9,0)),"")</f>
        <v/>
      </c>
      <c r="K261" s="113" t="str">
        <f aca="false">IFERROR(INDEX('Historical Data'!$M$2:$M$9,MATCH($A261,'Historical Data'!$BE$2:$BE$9,0)),"")</f>
        <v/>
      </c>
      <c r="L261" s="114" t="str">
        <f aca="false">IFERROR(INDEX('Historical Data'!$N$2:$N$9,MATCH($A261,'Historical Data'!$BE$2:$BE$9,0)),"")</f>
        <v/>
      </c>
      <c r="M261" s="114" t="str">
        <f aca="false">IFERROR(INDEX('Historical Data'!$Q$2:$Q$9,MATCH($A261,'Historical Data'!$BE$2:$BE$9,0)),"")</f>
        <v/>
      </c>
      <c r="N261" s="115" t="str">
        <f aca="false">IFERROR(INDEX('Historical Data'!$S$2:$S$9,MATCH($A261,'Historical Data'!$BE$2:$BE$9,0)),"")</f>
        <v/>
      </c>
      <c r="O261" s="114" t="str">
        <f aca="false">IFERROR(INDEX('Historical Data'!$AJ$2:$AJ$9,MATCH($A261,'Historical Data'!$BE$2:$BE$9,0)),"")</f>
        <v/>
      </c>
      <c r="P261" s="114" t="str">
        <f aca="false">IFERROR(INDEX('Historical Data'!$AK$2:$AK$9,MATCH($A261,'Historical Data'!$BE$2:$BE$9,0)),"")</f>
        <v/>
      </c>
      <c r="Q261" s="111" t="str">
        <f aca="false">IFERROR(INDEX('Historical Data'!$AA$2:$AA$9,MATCH($A261,'Historical Data'!$BE$2:$BE$9,0)),"")</f>
        <v/>
      </c>
      <c r="R261" s="111" t="str">
        <f aca="false">IFERROR(INDEX('Historical Data'!$AB$2:$AB$9,MATCH($A261,'Historical Data'!$BE$2:$BE$9,0)),"")</f>
        <v/>
      </c>
      <c r="S261" s="111" t="str">
        <f aca="false">IFERROR(INDEX('Historical Data'!$AN$2:$AN$9,MATCH($A261,'Historical Data'!$BE$2:$BE$9,0)),"")</f>
        <v/>
      </c>
      <c r="T261" s="111" t="str">
        <f aca="false">IFERROR(INDEX('Historical Data'!$AC$2:$AC$9,MATCH($A261,'Historical Data'!$BE$2:$BE$9,0)),"")</f>
        <v/>
      </c>
      <c r="U261" s="111" t="str">
        <f aca="false">IFERROR(INDEX('Historical Data'!$AE$2:$AE$9,MATCH($A261,'Historical Data'!$BE$2:$BE$9,0)),"")</f>
        <v/>
      </c>
      <c r="V261" s="111" t="str">
        <f aca="false">IFERROR(INDEX('Historical Data'!$AH$2:$AH$9,MATCH($A261,'Historical Data'!$BE$2:$BE$9,0)),"")</f>
        <v/>
      </c>
      <c r="W261" s="111" t="str">
        <f aca="false">IFERROR(INDEX('Historical Data'!$BC$2:$BC$9,MATCH($A261,'Historical Data'!$BE$2:$BE$9,0)),"")</f>
        <v/>
      </c>
      <c r="X261" s="110" t="str">
        <f aca="false">IF(B261="","",IF(W261=1,"NR + industry + position",IF(W261=2,"NR + ISO + position",IF(W261=3,"NR + industry",IF(W261=4,"NR + ISO",IF(W261=5,"NR + position",IF(W261=6,"NR only","book baseline"))))))&amp;"  ["&amp;IF(T261=1,"seasoned","unseasoned")&amp;IF(U261=1,", defaulted","")&amp;IF(V261=1,", open","")&amp;"]")</f>
        <v/>
      </c>
    </row>
    <row r="262" customFormat="false" ht="15" hidden="false" customHeight="false" outlineLevel="0" collapsed="false">
      <c r="A262" s="110" t="n">
        <v>258</v>
      </c>
      <c r="B262" s="111" t="str">
        <f aca="false">IFERROR(INDEX('Historical Data'!$A$2:$A$9,MATCH($A262,'Historical Data'!$BE$2:$BE$9,0)),"")</f>
        <v/>
      </c>
      <c r="C262" s="111" t="str">
        <f aca="false">IFERROR(INDEX('Historical Data'!$B$2:$B$9,MATCH($A262,'Historical Data'!$BE$2:$BE$9,0)),"")</f>
        <v/>
      </c>
      <c r="D262" s="111" t="str">
        <f aca="false">IFERROR(INDEX('Historical Data'!$D$2:$D$9,MATCH($A262,'Historical Data'!$BE$2:$BE$9,0)),"")</f>
        <v/>
      </c>
      <c r="E262" s="112" t="str">
        <f aca="false">IFERROR(INDEX('Historical Data'!$E$2:$E$9,MATCH($A262,'Historical Data'!$BE$2:$BE$9,0)),"")</f>
        <v/>
      </c>
      <c r="F262" s="111" t="str">
        <f aca="false">IFERROR(INDEX('Historical Data'!$G$2:$G$9,MATCH($A262,'Historical Data'!$BE$2:$BE$9,0)),"")</f>
        <v/>
      </c>
      <c r="G262" s="111" t="str">
        <f aca="false">IFERROR(INDEX('Historical Data'!$Y$2:$Y$9,MATCH($A262,'Historical Data'!$BE$2:$BE$9,0)),"")</f>
        <v/>
      </c>
      <c r="H262" s="111" t="str">
        <f aca="false">IFERROR(INDEX('Historical Data'!$K$2:$K$9,MATCH($A262,'Historical Data'!$BE$2:$BE$9,0)),"")</f>
        <v/>
      </c>
      <c r="I262" s="111" t="str">
        <f aca="false">IFERROR(INDEX('Historical Data'!$J$2:$J$9,MATCH($A262,'Historical Data'!$BE$2:$BE$9,0)),"")</f>
        <v/>
      </c>
      <c r="J262" s="111" t="str">
        <f aca="false">IFERROR(INDEX('Historical Data'!$L$2:$L$9,MATCH($A262,'Historical Data'!$BE$2:$BE$9,0)),"")</f>
        <v/>
      </c>
      <c r="K262" s="113" t="str">
        <f aca="false">IFERROR(INDEX('Historical Data'!$M$2:$M$9,MATCH($A262,'Historical Data'!$BE$2:$BE$9,0)),"")</f>
        <v/>
      </c>
      <c r="L262" s="114" t="str">
        <f aca="false">IFERROR(INDEX('Historical Data'!$N$2:$N$9,MATCH($A262,'Historical Data'!$BE$2:$BE$9,0)),"")</f>
        <v/>
      </c>
      <c r="M262" s="114" t="str">
        <f aca="false">IFERROR(INDEX('Historical Data'!$Q$2:$Q$9,MATCH($A262,'Historical Data'!$BE$2:$BE$9,0)),"")</f>
        <v/>
      </c>
      <c r="N262" s="115" t="str">
        <f aca="false">IFERROR(INDEX('Historical Data'!$S$2:$S$9,MATCH($A262,'Historical Data'!$BE$2:$BE$9,0)),"")</f>
        <v/>
      </c>
      <c r="O262" s="114" t="str">
        <f aca="false">IFERROR(INDEX('Historical Data'!$AJ$2:$AJ$9,MATCH($A262,'Historical Data'!$BE$2:$BE$9,0)),"")</f>
        <v/>
      </c>
      <c r="P262" s="114" t="str">
        <f aca="false">IFERROR(INDEX('Historical Data'!$AK$2:$AK$9,MATCH($A262,'Historical Data'!$BE$2:$BE$9,0)),"")</f>
        <v/>
      </c>
      <c r="Q262" s="111" t="str">
        <f aca="false">IFERROR(INDEX('Historical Data'!$AA$2:$AA$9,MATCH($A262,'Historical Data'!$BE$2:$BE$9,0)),"")</f>
        <v/>
      </c>
      <c r="R262" s="111" t="str">
        <f aca="false">IFERROR(INDEX('Historical Data'!$AB$2:$AB$9,MATCH($A262,'Historical Data'!$BE$2:$BE$9,0)),"")</f>
        <v/>
      </c>
      <c r="S262" s="111" t="str">
        <f aca="false">IFERROR(INDEX('Historical Data'!$AN$2:$AN$9,MATCH($A262,'Historical Data'!$BE$2:$BE$9,0)),"")</f>
        <v/>
      </c>
      <c r="T262" s="111" t="str">
        <f aca="false">IFERROR(INDEX('Historical Data'!$AC$2:$AC$9,MATCH($A262,'Historical Data'!$BE$2:$BE$9,0)),"")</f>
        <v/>
      </c>
      <c r="U262" s="111" t="str">
        <f aca="false">IFERROR(INDEX('Historical Data'!$AE$2:$AE$9,MATCH($A262,'Historical Data'!$BE$2:$BE$9,0)),"")</f>
        <v/>
      </c>
      <c r="V262" s="111" t="str">
        <f aca="false">IFERROR(INDEX('Historical Data'!$AH$2:$AH$9,MATCH($A262,'Historical Data'!$BE$2:$BE$9,0)),"")</f>
        <v/>
      </c>
      <c r="W262" s="111" t="str">
        <f aca="false">IFERROR(INDEX('Historical Data'!$BC$2:$BC$9,MATCH($A262,'Historical Data'!$BE$2:$BE$9,0)),"")</f>
        <v/>
      </c>
      <c r="X262" s="110" t="str">
        <f aca="false">IF(B262="","",IF(W262=1,"NR + industry + position",IF(W262=2,"NR + ISO + position",IF(W262=3,"NR + industry",IF(W262=4,"NR + ISO",IF(W262=5,"NR + position",IF(W262=6,"NR only","book baseline"))))))&amp;"  ["&amp;IF(T262=1,"seasoned","unseasoned")&amp;IF(U262=1,", defaulted","")&amp;IF(V262=1,", open","")&amp;"]")</f>
        <v/>
      </c>
    </row>
    <row r="263" customFormat="false" ht="15" hidden="false" customHeight="false" outlineLevel="0" collapsed="false">
      <c r="A263" s="110" t="n">
        <v>259</v>
      </c>
      <c r="B263" s="111" t="str">
        <f aca="false">IFERROR(INDEX('Historical Data'!$A$2:$A$9,MATCH($A263,'Historical Data'!$BE$2:$BE$9,0)),"")</f>
        <v/>
      </c>
      <c r="C263" s="111" t="str">
        <f aca="false">IFERROR(INDEX('Historical Data'!$B$2:$B$9,MATCH($A263,'Historical Data'!$BE$2:$BE$9,0)),"")</f>
        <v/>
      </c>
      <c r="D263" s="111" t="str">
        <f aca="false">IFERROR(INDEX('Historical Data'!$D$2:$D$9,MATCH($A263,'Historical Data'!$BE$2:$BE$9,0)),"")</f>
        <v/>
      </c>
      <c r="E263" s="112" t="str">
        <f aca="false">IFERROR(INDEX('Historical Data'!$E$2:$E$9,MATCH($A263,'Historical Data'!$BE$2:$BE$9,0)),"")</f>
        <v/>
      </c>
      <c r="F263" s="111" t="str">
        <f aca="false">IFERROR(INDEX('Historical Data'!$G$2:$G$9,MATCH($A263,'Historical Data'!$BE$2:$BE$9,0)),"")</f>
        <v/>
      </c>
      <c r="G263" s="111" t="str">
        <f aca="false">IFERROR(INDEX('Historical Data'!$Y$2:$Y$9,MATCH($A263,'Historical Data'!$BE$2:$BE$9,0)),"")</f>
        <v/>
      </c>
      <c r="H263" s="111" t="str">
        <f aca="false">IFERROR(INDEX('Historical Data'!$K$2:$K$9,MATCH($A263,'Historical Data'!$BE$2:$BE$9,0)),"")</f>
        <v/>
      </c>
      <c r="I263" s="111" t="str">
        <f aca="false">IFERROR(INDEX('Historical Data'!$J$2:$J$9,MATCH($A263,'Historical Data'!$BE$2:$BE$9,0)),"")</f>
        <v/>
      </c>
      <c r="J263" s="111" t="str">
        <f aca="false">IFERROR(INDEX('Historical Data'!$L$2:$L$9,MATCH($A263,'Historical Data'!$BE$2:$BE$9,0)),"")</f>
        <v/>
      </c>
      <c r="K263" s="113" t="str">
        <f aca="false">IFERROR(INDEX('Historical Data'!$M$2:$M$9,MATCH($A263,'Historical Data'!$BE$2:$BE$9,0)),"")</f>
        <v/>
      </c>
      <c r="L263" s="114" t="str">
        <f aca="false">IFERROR(INDEX('Historical Data'!$N$2:$N$9,MATCH($A263,'Historical Data'!$BE$2:$BE$9,0)),"")</f>
        <v/>
      </c>
      <c r="M263" s="114" t="str">
        <f aca="false">IFERROR(INDEX('Historical Data'!$Q$2:$Q$9,MATCH($A263,'Historical Data'!$BE$2:$BE$9,0)),"")</f>
        <v/>
      </c>
      <c r="N263" s="115" t="str">
        <f aca="false">IFERROR(INDEX('Historical Data'!$S$2:$S$9,MATCH($A263,'Historical Data'!$BE$2:$BE$9,0)),"")</f>
        <v/>
      </c>
      <c r="O263" s="114" t="str">
        <f aca="false">IFERROR(INDEX('Historical Data'!$AJ$2:$AJ$9,MATCH($A263,'Historical Data'!$BE$2:$BE$9,0)),"")</f>
        <v/>
      </c>
      <c r="P263" s="114" t="str">
        <f aca="false">IFERROR(INDEX('Historical Data'!$AK$2:$AK$9,MATCH($A263,'Historical Data'!$BE$2:$BE$9,0)),"")</f>
        <v/>
      </c>
      <c r="Q263" s="111" t="str">
        <f aca="false">IFERROR(INDEX('Historical Data'!$AA$2:$AA$9,MATCH($A263,'Historical Data'!$BE$2:$BE$9,0)),"")</f>
        <v/>
      </c>
      <c r="R263" s="111" t="str">
        <f aca="false">IFERROR(INDEX('Historical Data'!$AB$2:$AB$9,MATCH($A263,'Historical Data'!$BE$2:$BE$9,0)),"")</f>
        <v/>
      </c>
      <c r="S263" s="111" t="str">
        <f aca="false">IFERROR(INDEX('Historical Data'!$AN$2:$AN$9,MATCH($A263,'Historical Data'!$BE$2:$BE$9,0)),"")</f>
        <v/>
      </c>
      <c r="T263" s="111" t="str">
        <f aca="false">IFERROR(INDEX('Historical Data'!$AC$2:$AC$9,MATCH($A263,'Historical Data'!$BE$2:$BE$9,0)),"")</f>
        <v/>
      </c>
      <c r="U263" s="111" t="str">
        <f aca="false">IFERROR(INDEX('Historical Data'!$AE$2:$AE$9,MATCH($A263,'Historical Data'!$BE$2:$BE$9,0)),"")</f>
        <v/>
      </c>
      <c r="V263" s="111" t="str">
        <f aca="false">IFERROR(INDEX('Historical Data'!$AH$2:$AH$9,MATCH($A263,'Historical Data'!$BE$2:$BE$9,0)),"")</f>
        <v/>
      </c>
      <c r="W263" s="111" t="str">
        <f aca="false">IFERROR(INDEX('Historical Data'!$BC$2:$BC$9,MATCH($A263,'Historical Data'!$BE$2:$BE$9,0)),"")</f>
        <v/>
      </c>
      <c r="X263" s="110" t="str">
        <f aca="false">IF(B263="","",IF(W263=1,"NR + industry + position",IF(W263=2,"NR + ISO + position",IF(W263=3,"NR + industry",IF(W263=4,"NR + ISO",IF(W263=5,"NR + position",IF(W263=6,"NR only","book baseline"))))))&amp;"  ["&amp;IF(T263=1,"seasoned","unseasoned")&amp;IF(U263=1,", defaulted","")&amp;IF(V263=1,", open","")&amp;"]")</f>
        <v/>
      </c>
    </row>
    <row r="264" customFormat="false" ht="15" hidden="false" customHeight="false" outlineLevel="0" collapsed="false">
      <c r="A264" s="110" t="n">
        <v>260</v>
      </c>
      <c r="B264" s="111" t="str">
        <f aca="false">IFERROR(INDEX('Historical Data'!$A$2:$A$9,MATCH($A264,'Historical Data'!$BE$2:$BE$9,0)),"")</f>
        <v/>
      </c>
      <c r="C264" s="111" t="str">
        <f aca="false">IFERROR(INDEX('Historical Data'!$B$2:$B$9,MATCH($A264,'Historical Data'!$BE$2:$BE$9,0)),"")</f>
        <v/>
      </c>
      <c r="D264" s="111" t="str">
        <f aca="false">IFERROR(INDEX('Historical Data'!$D$2:$D$9,MATCH($A264,'Historical Data'!$BE$2:$BE$9,0)),"")</f>
        <v/>
      </c>
      <c r="E264" s="112" t="str">
        <f aca="false">IFERROR(INDEX('Historical Data'!$E$2:$E$9,MATCH($A264,'Historical Data'!$BE$2:$BE$9,0)),"")</f>
        <v/>
      </c>
      <c r="F264" s="111" t="str">
        <f aca="false">IFERROR(INDEX('Historical Data'!$G$2:$G$9,MATCH($A264,'Historical Data'!$BE$2:$BE$9,0)),"")</f>
        <v/>
      </c>
      <c r="G264" s="111" t="str">
        <f aca="false">IFERROR(INDEX('Historical Data'!$Y$2:$Y$9,MATCH($A264,'Historical Data'!$BE$2:$BE$9,0)),"")</f>
        <v/>
      </c>
      <c r="H264" s="111" t="str">
        <f aca="false">IFERROR(INDEX('Historical Data'!$K$2:$K$9,MATCH($A264,'Historical Data'!$BE$2:$BE$9,0)),"")</f>
        <v/>
      </c>
      <c r="I264" s="111" t="str">
        <f aca="false">IFERROR(INDEX('Historical Data'!$J$2:$J$9,MATCH($A264,'Historical Data'!$BE$2:$BE$9,0)),"")</f>
        <v/>
      </c>
      <c r="J264" s="111" t="str">
        <f aca="false">IFERROR(INDEX('Historical Data'!$L$2:$L$9,MATCH($A264,'Historical Data'!$BE$2:$BE$9,0)),"")</f>
        <v/>
      </c>
      <c r="K264" s="113" t="str">
        <f aca="false">IFERROR(INDEX('Historical Data'!$M$2:$M$9,MATCH($A264,'Historical Data'!$BE$2:$BE$9,0)),"")</f>
        <v/>
      </c>
      <c r="L264" s="114" t="str">
        <f aca="false">IFERROR(INDEX('Historical Data'!$N$2:$N$9,MATCH($A264,'Historical Data'!$BE$2:$BE$9,0)),"")</f>
        <v/>
      </c>
      <c r="M264" s="114" t="str">
        <f aca="false">IFERROR(INDEX('Historical Data'!$Q$2:$Q$9,MATCH($A264,'Historical Data'!$BE$2:$BE$9,0)),"")</f>
        <v/>
      </c>
      <c r="N264" s="115" t="str">
        <f aca="false">IFERROR(INDEX('Historical Data'!$S$2:$S$9,MATCH($A264,'Historical Data'!$BE$2:$BE$9,0)),"")</f>
        <v/>
      </c>
      <c r="O264" s="114" t="str">
        <f aca="false">IFERROR(INDEX('Historical Data'!$AJ$2:$AJ$9,MATCH($A264,'Historical Data'!$BE$2:$BE$9,0)),"")</f>
        <v/>
      </c>
      <c r="P264" s="114" t="str">
        <f aca="false">IFERROR(INDEX('Historical Data'!$AK$2:$AK$9,MATCH($A264,'Historical Data'!$BE$2:$BE$9,0)),"")</f>
        <v/>
      </c>
      <c r="Q264" s="111" t="str">
        <f aca="false">IFERROR(INDEX('Historical Data'!$AA$2:$AA$9,MATCH($A264,'Historical Data'!$BE$2:$BE$9,0)),"")</f>
        <v/>
      </c>
      <c r="R264" s="111" t="str">
        <f aca="false">IFERROR(INDEX('Historical Data'!$AB$2:$AB$9,MATCH($A264,'Historical Data'!$BE$2:$BE$9,0)),"")</f>
        <v/>
      </c>
      <c r="S264" s="111" t="str">
        <f aca="false">IFERROR(INDEX('Historical Data'!$AN$2:$AN$9,MATCH($A264,'Historical Data'!$BE$2:$BE$9,0)),"")</f>
        <v/>
      </c>
      <c r="T264" s="111" t="str">
        <f aca="false">IFERROR(INDEX('Historical Data'!$AC$2:$AC$9,MATCH($A264,'Historical Data'!$BE$2:$BE$9,0)),"")</f>
        <v/>
      </c>
      <c r="U264" s="111" t="str">
        <f aca="false">IFERROR(INDEX('Historical Data'!$AE$2:$AE$9,MATCH($A264,'Historical Data'!$BE$2:$BE$9,0)),"")</f>
        <v/>
      </c>
      <c r="V264" s="111" t="str">
        <f aca="false">IFERROR(INDEX('Historical Data'!$AH$2:$AH$9,MATCH($A264,'Historical Data'!$BE$2:$BE$9,0)),"")</f>
        <v/>
      </c>
      <c r="W264" s="111" t="str">
        <f aca="false">IFERROR(INDEX('Historical Data'!$BC$2:$BC$9,MATCH($A264,'Historical Data'!$BE$2:$BE$9,0)),"")</f>
        <v/>
      </c>
      <c r="X264" s="110" t="str">
        <f aca="false">IF(B264="","",IF(W264=1,"NR + industry + position",IF(W264=2,"NR + ISO + position",IF(W264=3,"NR + industry",IF(W264=4,"NR + ISO",IF(W264=5,"NR + position",IF(W264=6,"NR only","book baseline"))))))&amp;"  ["&amp;IF(T264=1,"seasoned","unseasoned")&amp;IF(U264=1,", defaulted","")&amp;IF(V264=1,", open","")&amp;"]")</f>
        <v/>
      </c>
    </row>
    <row r="265" customFormat="false" ht="15" hidden="false" customHeight="false" outlineLevel="0" collapsed="false">
      <c r="A265" s="110" t="n">
        <v>261</v>
      </c>
      <c r="B265" s="111" t="str">
        <f aca="false">IFERROR(INDEX('Historical Data'!$A$2:$A$9,MATCH($A265,'Historical Data'!$BE$2:$BE$9,0)),"")</f>
        <v/>
      </c>
      <c r="C265" s="111" t="str">
        <f aca="false">IFERROR(INDEX('Historical Data'!$B$2:$B$9,MATCH($A265,'Historical Data'!$BE$2:$BE$9,0)),"")</f>
        <v/>
      </c>
      <c r="D265" s="111" t="str">
        <f aca="false">IFERROR(INDEX('Historical Data'!$D$2:$D$9,MATCH($A265,'Historical Data'!$BE$2:$BE$9,0)),"")</f>
        <v/>
      </c>
      <c r="E265" s="112" t="str">
        <f aca="false">IFERROR(INDEX('Historical Data'!$E$2:$E$9,MATCH($A265,'Historical Data'!$BE$2:$BE$9,0)),"")</f>
        <v/>
      </c>
      <c r="F265" s="111" t="str">
        <f aca="false">IFERROR(INDEX('Historical Data'!$G$2:$G$9,MATCH($A265,'Historical Data'!$BE$2:$BE$9,0)),"")</f>
        <v/>
      </c>
      <c r="G265" s="111" t="str">
        <f aca="false">IFERROR(INDEX('Historical Data'!$Y$2:$Y$9,MATCH($A265,'Historical Data'!$BE$2:$BE$9,0)),"")</f>
        <v/>
      </c>
      <c r="H265" s="111" t="str">
        <f aca="false">IFERROR(INDEX('Historical Data'!$K$2:$K$9,MATCH($A265,'Historical Data'!$BE$2:$BE$9,0)),"")</f>
        <v/>
      </c>
      <c r="I265" s="111" t="str">
        <f aca="false">IFERROR(INDEX('Historical Data'!$J$2:$J$9,MATCH($A265,'Historical Data'!$BE$2:$BE$9,0)),"")</f>
        <v/>
      </c>
      <c r="J265" s="111" t="str">
        <f aca="false">IFERROR(INDEX('Historical Data'!$L$2:$L$9,MATCH($A265,'Historical Data'!$BE$2:$BE$9,0)),"")</f>
        <v/>
      </c>
      <c r="K265" s="113" t="str">
        <f aca="false">IFERROR(INDEX('Historical Data'!$M$2:$M$9,MATCH($A265,'Historical Data'!$BE$2:$BE$9,0)),"")</f>
        <v/>
      </c>
      <c r="L265" s="114" t="str">
        <f aca="false">IFERROR(INDEX('Historical Data'!$N$2:$N$9,MATCH($A265,'Historical Data'!$BE$2:$BE$9,0)),"")</f>
        <v/>
      </c>
      <c r="M265" s="114" t="str">
        <f aca="false">IFERROR(INDEX('Historical Data'!$Q$2:$Q$9,MATCH($A265,'Historical Data'!$BE$2:$BE$9,0)),"")</f>
        <v/>
      </c>
      <c r="N265" s="115" t="str">
        <f aca="false">IFERROR(INDEX('Historical Data'!$S$2:$S$9,MATCH($A265,'Historical Data'!$BE$2:$BE$9,0)),"")</f>
        <v/>
      </c>
      <c r="O265" s="114" t="str">
        <f aca="false">IFERROR(INDEX('Historical Data'!$AJ$2:$AJ$9,MATCH($A265,'Historical Data'!$BE$2:$BE$9,0)),"")</f>
        <v/>
      </c>
      <c r="P265" s="114" t="str">
        <f aca="false">IFERROR(INDEX('Historical Data'!$AK$2:$AK$9,MATCH($A265,'Historical Data'!$BE$2:$BE$9,0)),"")</f>
        <v/>
      </c>
      <c r="Q265" s="111" t="str">
        <f aca="false">IFERROR(INDEX('Historical Data'!$AA$2:$AA$9,MATCH($A265,'Historical Data'!$BE$2:$BE$9,0)),"")</f>
        <v/>
      </c>
      <c r="R265" s="111" t="str">
        <f aca="false">IFERROR(INDEX('Historical Data'!$AB$2:$AB$9,MATCH($A265,'Historical Data'!$BE$2:$BE$9,0)),"")</f>
        <v/>
      </c>
      <c r="S265" s="111" t="str">
        <f aca="false">IFERROR(INDEX('Historical Data'!$AN$2:$AN$9,MATCH($A265,'Historical Data'!$BE$2:$BE$9,0)),"")</f>
        <v/>
      </c>
      <c r="T265" s="111" t="str">
        <f aca="false">IFERROR(INDEX('Historical Data'!$AC$2:$AC$9,MATCH($A265,'Historical Data'!$BE$2:$BE$9,0)),"")</f>
        <v/>
      </c>
      <c r="U265" s="111" t="str">
        <f aca="false">IFERROR(INDEX('Historical Data'!$AE$2:$AE$9,MATCH($A265,'Historical Data'!$BE$2:$BE$9,0)),"")</f>
        <v/>
      </c>
      <c r="V265" s="111" t="str">
        <f aca="false">IFERROR(INDEX('Historical Data'!$AH$2:$AH$9,MATCH($A265,'Historical Data'!$BE$2:$BE$9,0)),"")</f>
        <v/>
      </c>
      <c r="W265" s="111" t="str">
        <f aca="false">IFERROR(INDEX('Historical Data'!$BC$2:$BC$9,MATCH($A265,'Historical Data'!$BE$2:$BE$9,0)),"")</f>
        <v/>
      </c>
      <c r="X265" s="110" t="str">
        <f aca="false">IF(B265="","",IF(W265=1,"NR + industry + position",IF(W265=2,"NR + ISO + position",IF(W265=3,"NR + industry",IF(W265=4,"NR + ISO",IF(W265=5,"NR + position",IF(W265=6,"NR only","book baseline"))))))&amp;"  ["&amp;IF(T265=1,"seasoned","unseasoned")&amp;IF(U265=1,", defaulted","")&amp;IF(V265=1,", open","")&amp;"]")</f>
        <v/>
      </c>
    </row>
    <row r="266" customFormat="false" ht="15" hidden="false" customHeight="false" outlineLevel="0" collapsed="false">
      <c r="A266" s="110" t="n">
        <v>262</v>
      </c>
      <c r="B266" s="111" t="str">
        <f aca="false">IFERROR(INDEX('Historical Data'!$A$2:$A$9,MATCH($A266,'Historical Data'!$BE$2:$BE$9,0)),"")</f>
        <v/>
      </c>
      <c r="C266" s="111" t="str">
        <f aca="false">IFERROR(INDEX('Historical Data'!$B$2:$B$9,MATCH($A266,'Historical Data'!$BE$2:$BE$9,0)),"")</f>
        <v/>
      </c>
      <c r="D266" s="111" t="str">
        <f aca="false">IFERROR(INDEX('Historical Data'!$D$2:$D$9,MATCH($A266,'Historical Data'!$BE$2:$BE$9,0)),"")</f>
        <v/>
      </c>
      <c r="E266" s="112" t="str">
        <f aca="false">IFERROR(INDEX('Historical Data'!$E$2:$E$9,MATCH($A266,'Historical Data'!$BE$2:$BE$9,0)),"")</f>
        <v/>
      </c>
      <c r="F266" s="111" t="str">
        <f aca="false">IFERROR(INDEX('Historical Data'!$G$2:$G$9,MATCH($A266,'Historical Data'!$BE$2:$BE$9,0)),"")</f>
        <v/>
      </c>
      <c r="G266" s="111" t="str">
        <f aca="false">IFERROR(INDEX('Historical Data'!$Y$2:$Y$9,MATCH($A266,'Historical Data'!$BE$2:$BE$9,0)),"")</f>
        <v/>
      </c>
      <c r="H266" s="111" t="str">
        <f aca="false">IFERROR(INDEX('Historical Data'!$K$2:$K$9,MATCH($A266,'Historical Data'!$BE$2:$BE$9,0)),"")</f>
        <v/>
      </c>
      <c r="I266" s="111" t="str">
        <f aca="false">IFERROR(INDEX('Historical Data'!$J$2:$J$9,MATCH($A266,'Historical Data'!$BE$2:$BE$9,0)),"")</f>
        <v/>
      </c>
      <c r="J266" s="111" t="str">
        <f aca="false">IFERROR(INDEX('Historical Data'!$L$2:$L$9,MATCH($A266,'Historical Data'!$BE$2:$BE$9,0)),"")</f>
        <v/>
      </c>
      <c r="K266" s="113" t="str">
        <f aca="false">IFERROR(INDEX('Historical Data'!$M$2:$M$9,MATCH($A266,'Historical Data'!$BE$2:$BE$9,0)),"")</f>
        <v/>
      </c>
      <c r="L266" s="114" t="str">
        <f aca="false">IFERROR(INDEX('Historical Data'!$N$2:$N$9,MATCH($A266,'Historical Data'!$BE$2:$BE$9,0)),"")</f>
        <v/>
      </c>
      <c r="M266" s="114" t="str">
        <f aca="false">IFERROR(INDEX('Historical Data'!$Q$2:$Q$9,MATCH($A266,'Historical Data'!$BE$2:$BE$9,0)),"")</f>
        <v/>
      </c>
      <c r="N266" s="115" t="str">
        <f aca="false">IFERROR(INDEX('Historical Data'!$S$2:$S$9,MATCH($A266,'Historical Data'!$BE$2:$BE$9,0)),"")</f>
        <v/>
      </c>
      <c r="O266" s="114" t="str">
        <f aca="false">IFERROR(INDEX('Historical Data'!$AJ$2:$AJ$9,MATCH($A266,'Historical Data'!$BE$2:$BE$9,0)),"")</f>
        <v/>
      </c>
      <c r="P266" s="114" t="str">
        <f aca="false">IFERROR(INDEX('Historical Data'!$AK$2:$AK$9,MATCH($A266,'Historical Data'!$BE$2:$BE$9,0)),"")</f>
        <v/>
      </c>
      <c r="Q266" s="111" t="str">
        <f aca="false">IFERROR(INDEX('Historical Data'!$AA$2:$AA$9,MATCH($A266,'Historical Data'!$BE$2:$BE$9,0)),"")</f>
        <v/>
      </c>
      <c r="R266" s="111" t="str">
        <f aca="false">IFERROR(INDEX('Historical Data'!$AB$2:$AB$9,MATCH($A266,'Historical Data'!$BE$2:$BE$9,0)),"")</f>
        <v/>
      </c>
      <c r="S266" s="111" t="str">
        <f aca="false">IFERROR(INDEX('Historical Data'!$AN$2:$AN$9,MATCH($A266,'Historical Data'!$BE$2:$BE$9,0)),"")</f>
        <v/>
      </c>
      <c r="T266" s="111" t="str">
        <f aca="false">IFERROR(INDEX('Historical Data'!$AC$2:$AC$9,MATCH($A266,'Historical Data'!$BE$2:$BE$9,0)),"")</f>
        <v/>
      </c>
      <c r="U266" s="111" t="str">
        <f aca="false">IFERROR(INDEX('Historical Data'!$AE$2:$AE$9,MATCH($A266,'Historical Data'!$BE$2:$BE$9,0)),"")</f>
        <v/>
      </c>
      <c r="V266" s="111" t="str">
        <f aca="false">IFERROR(INDEX('Historical Data'!$AH$2:$AH$9,MATCH($A266,'Historical Data'!$BE$2:$BE$9,0)),"")</f>
        <v/>
      </c>
      <c r="W266" s="111" t="str">
        <f aca="false">IFERROR(INDEX('Historical Data'!$BC$2:$BC$9,MATCH($A266,'Historical Data'!$BE$2:$BE$9,0)),"")</f>
        <v/>
      </c>
      <c r="X266" s="110" t="str">
        <f aca="false">IF(B266="","",IF(W266=1,"NR + industry + position",IF(W266=2,"NR + ISO + position",IF(W266=3,"NR + industry",IF(W266=4,"NR + ISO",IF(W266=5,"NR + position",IF(W266=6,"NR only","book baseline"))))))&amp;"  ["&amp;IF(T266=1,"seasoned","unseasoned")&amp;IF(U266=1,", defaulted","")&amp;IF(V266=1,", open","")&amp;"]")</f>
        <v/>
      </c>
    </row>
    <row r="267" customFormat="false" ht="15" hidden="false" customHeight="false" outlineLevel="0" collapsed="false">
      <c r="A267" s="110" t="n">
        <v>263</v>
      </c>
      <c r="B267" s="111" t="str">
        <f aca="false">IFERROR(INDEX('Historical Data'!$A$2:$A$9,MATCH($A267,'Historical Data'!$BE$2:$BE$9,0)),"")</f>
        <v/>
      </c>
      <c r="C267" s="111" t="str">
        <f aca="false">IFERROR(INDEX('Historical Data'!$B$2:$B$9,MATCH($A267,'Historical Data'!$BE$2:$BE$9,0)),"")</f>
        <v/>
      </c>
      <c r="D267" s="111" t="str">
        <f aca="false">IFERROR(INDEX('Historical Data'!$D$2:$D$9,MATCH($A267,'Historical Data'!$BE$2:$BE$9,0)),"")</f>
        <v/>
      </c>
      <c r="E267" s="112" t="str">
        <f aca="false">IFERROR(INDEX('Historical Data'!$E$2:$E$9,MATCH($A267,'Historical Data'!$BE$2:$BE$9,0)),"")</f>
        <v/>
      </c>
      <c r="F267" s="111" t="str">
        <f aca="false">IFERROR(INDEX('Historical Data'!$G$2:$G$9,MATCH($A267,'Historical Data'!$BE$2:$BE$9,0)),"")</f>
        <v/>
      </c>
      <c r="G267" s="111" t="str">
        <f aca="false">IFERROR(INDEX('Historical Data'!$Y$2:$Y$9,MATCH($A267,'Historical Data'!$BE$2:$BE$9,0)),"")</f>
        <v/>
      </c>
      <c r="H267" s="111" t="str">
        <f aca="false">IFERROR(INDEX('Historical Data'!$K$2:$K$9,MATCH($A267,'Historical Data'!$BE$2:$BE$9,0)),"")</f>
        <v/>
      </c>
      <c r="I267" s="111" t="str">
        <f aca="false">IFERROR(INDEX('Historical Data'!$J$2:$J$9,MATCH($A267,'Historical Data'!$BE$2:$BE$9,0)),"")</f>
        <v/>
      </c>
      <c r="J267" s="111" t="str">
        <f aca="false">IFERROR(INDEX('Historical Data'!$L$2:$L$9,MATCH($A267,'Historical Data'!$BE$2:$BE$9,0)),"")</f>
        <v/>
      </c>
      <c r="K267" s="113" t="str">
        <f aca="false">IFERROR(INDEX('Historical Data'!$M$2:$M$9,MATCH($A267,'Historical Data'!$BE$2:$BE$9,0)),"")</f>
        <v/>
      </c>
      <c r="L267" s="114" t="str">
        <f aca="false">IFERROR(INDEX('Historical Data'!$N$2:$N$9,MATCH($A267,'Historical Data'!$BE$2:$BE$9,0)),"")</f>
        <v/>
      </c>
      <c r="M267" s="114" t="str">
        <f aca="false">IFERROR(INDEX('Historical Data'!$Q$2:$Q$9,MATCH($A267,'Historical Data'!$BE$2:$BE$9,0)),"")</f>
        <v/>
      </c>
      <c r="N267" s="115" t="str">
        <f aca="false">IFERROR(INDEX('Historical Data'!$S$2:$S$9,MATCH($A267,'Historical Data'!$BE$2:$BE$9,0)),"")</f>
        <v/>
      </c>
      <c r="O267" s="114" t="str">
        <f aca="false">IFERROR(INDEX('Historical Data'!$AJ$2:$AJ$9,MATCH($A267,'Historical Data'!$BE$2:$BE$9,0)),"")</f>
        <v/>
      </c>
      <c r="P267" s="114" t="str">
        <f aca="false">IFERROR(INDEX('Historical Data'!$AK$2:$AK$9,MATCH($A267,'Historical Data'!$BE$2:$BE$9,0)),"")</f>
        <v/>
      </c>
      <c r="Q267" s="111" t="str">
        <f aca="false">IFERROR(INDEX('Historical Data'!$AA$2:$AA$9,MATCH($A267,'Historical Data'!$BE$2:$BE$9,0)),"")</f>
        <v/>
      </c>
      <c r="R267" s="111" t="str">
        <f aca="false">IFERROR(INDEX('Historical Data'!$AB$2:$AB$9,MATCH($A267,'Historical Data'!$BE$2:$BE$9,0)),"")</f>
        <v/>
      </c>
      <c r="S267" s="111" t="str">
        <f aca="false">IFERROR(INDEX('Historical Data'!$AN$2:$AN$9,MATCH($A267,'Historical Data'!$BE$2:$BE$9,0)),"")</f>
        <v/>
      </c>
      <c r="T267" s="111" t="str">
        <f aca="false">IFERROR(INDEX('Historical Data'!$AC$2:$AC$9,MATCH($A267,'Historical Data'!$BE$2:$BE$9,0)),"")</f>
        <v/>
      </c>
      <c r="U267" s="111" t="str">
        <f aca="false">IFERROR(INDEX('Historical Data'!$AE$2:$AE$9,MATCH($A267,'Historical Data'!$BE$2:$BE$9,0)),"")</f>
        <v/>
      </c>
      <c r="V267" s="111" t="str">
        <f aca="false">IFERROR(INDEX('Historical Data'!$AH$2:$AH$9,MATCH($A267,'Historical Data'!$BE$2:$BE$9,0)),"")</f>
        <v/>
      </c>
      <c r="W267" s="111" t="str">
        <f aca="false">IFERROR(INDEX('Historical Data'!$BC$2:$BC$9,MATCH($A267,'Historical Data'!$BE$2:$BE$9,0)),"")</f>
        <v/>
      </c>
      <c r="X267" s="110" t="str">
        <f aca="false">IF(B267="","",IF(W267=1,"NR + industry + position",IF(W267=2,"NR + ISO + position",IF(W267=3,"NR + industry",IF(W267=4,"NR + ISO",IF(W267=5,"NR + position",IF(W267=6,"NR only","book baseline"))))))&amp;"  ["&amp;IF(T267=1,"seasoned","unseasoned")&amp;IF(U267=1,", defaulted","")&amp;IF(V267=1,", open","")&amp;"]")</f>
        <v/>
      </c>
    </row>
    <row r="268" customFormat="false" ht="15" hidden="false" customHeight="false" outlineLevel="0" collapsed="false">
      <c r="A268" s="110" t="n">
        <v>264</v>
      </c>
      <c r="B268" s="111" t="str">
        <f aca="false">IFERROR(INDEX('Historical Data'!$A$2:$A$9,MATCH($A268,'Historical Data'!$BE$2:$BE$9,0)),"")</f>
        <v/>
      </c>
      <c r="C268" s="111" t="str">
        <f aca="false">IFERROR(INDEX('Historical Data'!$B$2:$B$9,MATCH($A268,'Historical Data'!$BE$2:$BE$9,0)),"")</f>
        <v/>
      </c>
      <c r="D268" s="111" t="str">
        <f aca="false">IFERROR(INDEX('Historical Data'!$D$2:$D$9,MATCH($A268,'Historical Data'!$BE$2:$BE$9,0)),"")</f>
        <v/>
      </c>
      <c r="E268" s="112" t="str">
        <f aca="false">IFERROR(INDEX('Historical Data'!$E$2:$E$9,MATCH($A268,'Historical Data'!$BE$2:$BE$9,0)),"")</f>
        <v/>
      </c>
      <c r="F268" s="111" t="str">
        <f aca="false">IFERROR(INDEX('Historical Data'!$G$2:$G$9,MATCH($A268,'Historical Data'!$BE$2:$BE$9,0)),"")</f>
        <v/>
      </c>
      <c r="G268" s="111" t="str">
        <f aca="false">IFERROR(INDEX('Historical Data'!$Y$2:$Y$9,MATCH($A268,'Historical Data'!$BE$2:$BE$9,0)),"")</f>
        <v/>
      </c>
      <c r="H268" s="111" t="str">
        <f aca="false">IFERROR(INDEX('Historical Data'!$K$2:$K$9,MATCH($A268,'Historical Data'!$BE$2:$BE$9,0)),"")</f>
        <v/>
      </c>
      <c r="I268" s="111" t="str">
        <f aca="false">IFERROR(INDEX('Historical Data'!$J$2:$J$9,MATCH($A268,'Historical Data'!$BE$2:$BE$9,0)),"")</f>
        <v/>
      </c>
      <c r="J268" s="111" t="str">
        <f aca="false">IFERROR(INDEX('Historical Data'!$L$2:$L$9,MATCH($A268,'Historical Data'!$BE$2:$BE$9,0)),"")</f>
        <v/>
      </c>
      <c r="K268" s="113" t="str">
        <f aca="false">IFERROR(INDEX('Historical Data'!$M$2:$M$9,MATCH($A268,'Historical Data'!$BE$2:$BE$9,0)),"")</f>
        <v/>
      </c>
      <c r="L268" s="114" t="str">
        <f aca="false">IFERROR(INDEX('Historical Data'!$N$2:$N$9,MATCH($A268,'Historical Data'!$BE$2:$BE$9,0)),"")</f>
        <v/>
      </c>
      <c r="M268" s="114" t="str">
        <f aca="false">IFERROR(INDEX('Historical Data'!$Q$2:$Q$9,MATCH($A268,'Historical Data'!$BE$2:$BE$9,0)),"")</f>
        <v/>
      </c>
      <c r="N268" s="115" t="str">
        <f aca="false">IFERROR(INDEX('Historical Data'!$S$2:$S$9,MATCH($A268,'Historical Data'!$BE$2:$BE$9,0)),"")</f>
        <v/>
      </c>
      <c r="O268" s="114" t="str">
        <f aca="false">IFERROR(INDEX('Historical Data'!$AJ$2:$AJ$9,MATCH($A268,'Historical Data'!$BE$2:$BE$9,0)),"")</f>
        <v/>
      </c>
      <c r="P268" s="114" t="str">
        <f aca="false">IFERROR(INDEX('Historical Data'!$AK$2:$AK$9,MATCH($A268,'Historical Data'!$BE$2:$BE$9,0)),"")</f>
        <v/>
      </c>
      <c r="Q268" s="111" t="str">
        <f aca="false">IFERROR(INDEX('Historical Data'!$AA$2:$AA$9,MATCH($A268,'Historical Data'!$BE$2:$BE$9,0)),"")</f>
        <v/>
      </c>
      <c r="R268" s="111" t="str">
        <f aca="false">IFERROR(INDEX('Historical Data'!$AB$2:$AB$9,MATCH($A268,'Historical Data'!$BE$2:$BE$9,0)),"")</f>
        <v/>
      </c>
      <c r="S268" s="111" t="str">
        <f aca="false">IFERROR(INDEX('Historical Data'!$AN$2:$AN$9,MATCH($A268,'Historical Data'!$BE$2:$BE$9,0)),"")</f>
        <v/>
      </c>
      <c r="T268" s="111" t="str">
        <f aca="false">IFERROR(INDEX('Historical Data'!$AC$2:$AC$9,MATCH($A268,'Historical Data'!$BE$2:$BE$9,0)),"")</f>
        <v/>
      </c>
      <c r="U268" s="111" t="str">
        <f aca="false">IFERROR(INDEX('Historical Data'!$AE$2:$AE$9,MATCH($A268,'Historical Data'!$BE$2:$BE$9,0)),"")</f>
        <v/>
      </c>
      <c r="V268" s="111" t="str">
        <f aca="false">IFERROR(INDEX('Historical Data'!$AH$2:$AH$9,MATCH($A268,'Historical Data'!$BE$2:$BE$9,0)),"")</f>
        <v/>
      </c>
      <c r="W268" s="111" t="str">
        <f aca="false">IFERROR(INDEX('Historical Data'!$BC$2:$BC$9,MATCH($A268,'Historical Data'!$BE$2:$BE$9,0)),"")</f>
        <v/>
      </c>
      <c r="X268" s="110" t="str">
        <f aca="false">IF(B268="","",IF(W268=1,"NR + industry + position",IF(W268=2,"NR + ISO + position",IF(W268=3,"NR + industry",IF(W268=4,"NR + ISO",IF(W268=5,"NR + position",IF(W268=6,"NR only","book baseline"))))))&amp;"  ["&amp;IF(T268=1,"seasoned","unseasoned")&amp;IF(U268=1,", defaulted","")&amp;IF(V268=1,", open","")&amp;"]")</f>
        <v/>
      </c>
    </row>
    <row r="269" customFormat="false" ht="15" hidden="false" customHeight="false" outlineLevel="0" collapsed="false">
      <c r="A269" s="110" t="n">
        <v>265</v>
      </c>
      <c r="B269" s="111" t="str">
        <f aca="false">IFERROR(INDEX('Historical Data'!$A$2:$A$9,MATCH($A269,'Historical Data'!$BE$2:$BE$9,0)),"")</f>
        <v/>
      </c>
      <c r="C269" s="111" t="str">
        <f aca="false">IFERROR(INDEX('Historical Data'!$B$2:$B$9,MATCH($A269,'Historical Data'!$BE$2:$BE$9,0)),"")</f>
        <v/>
      </c>
      <c r="D269" s="111" t="str">
        <f aca="false">IFERROR(INDEX('Historical Data'!$D$2:$D$9,MATCH($A269,'Historical Data'!$BE$2:$BE$9,0)),"")</f>
        <v/>
      </c>
      <c r="E269" s="112" t="str">
        <f aca="false">IFERROR(INDEX('Historical Data'!$E$2:$E$9,MATCH($A269,'Historical Data'!$BE$2:$BE$9,0)),"")</f>
        <v/>
      </c>
      <c r="F269" s="111" t="str">
        <f aca="false">IFERROR(INDEX('Historical Data'!$G$2:$G$9,MATCH($A269,'Historical Data'!$BE$2:$BE$9,0)),"")</f>
        <v/>
      </c>
      <c r="G269" s="111" t="str">
        <f aca="false">IFERROR(INDEX('Historical Data'!$Y$2:$Y$9,MATCH($A269,'Historical Data'!$BE$2:$BE$9,0)),"")</f>
        <v/>
      </c>
      <c r="H269" s="111" t="str">
        <f aca="false">IFERROR(INDEX('Historical Data'!$K$2:$K$9,MATCH($A269,'Historical Data'!$BE$2:$BE$9,0)),"")</f>
        <v/>
      </c>
      <c r="I269" s="111" t="str">
        <f aca="false">IFERROR(INDEX('Historical Data'!$J$2:$J$9,MATCH($A269,'Historical Data'!$BE$2:$BE$9,0)),"")</f>
        <v/>
      </c>
      <c r="J269" s="111" t="str">
        <f aca="false">IFERROR(INDEX('Historical Data'!$L$2:$L$9,MATCH($A269,'Historical Data'!$BE$2:$BE$9,0)),"")</f>
        <v/>
      </c>
      <c r="K269" s="113" t="str">
        <f aca="false">IFERROR(INDEX('Historical Data'!$M$2:$M$9,MATCH($A269,'Historical Data'!$BE$2:$BE$9,0)),"")</f>
        <v/>
      </c>
      <c r="L269" s="114" t="str">
        <f aca="false">IFERROR(INDEX('Historical Data'!$N$2:$N$9,MATCH($A269,'Historical Data'!$BE$2:$BE$9,0)),"")</f>
        <v/>
      </c>
      <c r="M269" s="114" t="str">
        <f aca="false">IFERROR(INDEX('Historical Data'!$Q$2:$Q$9,MATCH($A269,'Historical Data'!$BE$2:$BE$9,0)),"")</f>
        <v/>
      </c>
      <c r="N269" s="115" t="str">
        <f aca="false">IFERROR(INDEX('Historical Data'!$S$2:$S$9,MATCH($A269,'Historical Data'!$BE$2:$BE$9,0)),"")</f>
        <v/>
      </c>
      <c r="O269" s="114" t="str">
        <f aca="false">IFERROR(INDEX('Historical Data'!$AJ$2:$AJ$9,MATCH($A269,'Historical Data'!$BE$2:$BE$9,0)),"")</f>
        <v/>
      </c>
      <c r="P269" s="114" t="str">
        <f aca="false">IFERROR(INDEX('Historical Data'!$AK$2:$AK$9,MATCH($A269,'Historical Data'!$BE$2:$BE$9,0)),"")</f>
        <v/>
      </c>
      <c r="Q269" s="111" t="str">
        <f aca="false">IFERROR(INDEX('Historical Data'!$AA$2:$AA$9,MATCH($A269,'Historical Data'!$BE$2:$BE$9,0)),"")</f>
        <v/>
      </c>
      <c r="R269" s="111" t="str">
        <f aca="false">IFERROR(INDEX('Historical Data'!$AB$2:$AB$9,MATCH($A269,'Historical Data'!$BE$2:$BE$9,0)),"")</f>
        <v/>
      </c>
      <c r="S269" s="111" t="str">
        <f aca="false">IFERROR(INDEX('Historical Data'!$AN$2:$AN$9,MATCH($A269,'Historical Data'!$BE$2:$BE$9,0)),"")</f>
        <v/>
      </c>
      <c r="T269" s="111" t="str">
        <f aca="false">IFERROR(INDEX('Historical Data'!$AC$2:$AC$9,MATCH($A269,'Historical Data'!$BE$2:$BE$9,0)),"")</f>
        <v/>
      </c>
      <c r="U269" s="111" t="str">
        <f aca="false">IFERROR(INDEX('Historical Data'!$AE$2:$AE$9,MATCH($A269,'Historical Data'!$BE$2:$BE$9,0)),"")</f>
        <v/>
      </c>
      <c r="V269" s="111" t="str">
        <f aca="false">IFERROR(INDEX('Historical Data'!$AH$2:$AH$9,MATCH($A269,'Historical Data'!$BE$2:$BE$9,0)),"")</f>
        <v/>
      </c>
      <c r="W269" s="111" t="str">
        <f aca="false">IFERROR(INDEX('Historical Data'!$BC$2:$BC$9,MATCH($A269,'Historical Data'!$BE$2:$BE$9,0)),"")</f>
        <v/>
      </c>
      <c r="X269" s="110" t="str">
        <f aca="false">IF(B269="","",IF(W269=1,"NR + industry + position",IF(W269=2,"NR + ISO + position",IF(W269=3,"NR + industry",IF(W269=4,"NR + ISO",IF(W269=5,"NR + position",IF(W269=6,"NR only","book baseline"))))))&amp;"  ["&amp;IF(T269=1,"seasoned","unseasoned")&amp;IF(U269=1,", defaulted","")&amp;IF(V269=1,", open","")&amp;"]")</f>
        <v/>
      </c>
    </row>
    <row r="270" customFormat="false" ht="15" hidden="false" customHeight="false" outlineLevel="0" collapsed="false">
      <c r="A270" s="110" t="n">
        <v>266</v>
      </c>
      <c r="B270" s="111" t="str">
        <f aca="false">IFERROR(INDEX('Historical Data'!$A$2:$A$9,MATCH($A270,'Historical Data'!$BE$2:$BE$9,0)),"")</f>
        <v/>
      </c>
      <c r="C270" s="111" t="str">
        <f aca="false">IFERROR(INDEX('Historical Data'!$B$2:$B$9,MATCH($A270,'Historical Data'!$BE$2:$BE$9,0)),"")</f>
        <v/>
      </c>
      <c r="D270" s="111" t="str">
        <f aca="false">IFERROR(INDEX('Historical Data'!$D$2:$D$9,MATCH($A270,'Historical Data'!$BE$2:$BE$9,0)),"")</f>
        <v/>
      </c>
      <c r="E270" s="112" t="str">
        <f aca="false">IFERROR(INDEX('Historical Data'!$E$2:$E$9,MATCH($A270,'Historical Data'!$BE$2:$BE$9,0)),"")</f>
        <v/>
      </c>
      <c r="F270" s="111" t="str">
        <f aca="false">IFERROR(INDEX('Historical Data'!$G$2:$G$9,MATCH($A270,'Historical Data'!$BE$2:$BE$9,0)),"")</f>
        <v/>
      </c>
      <c r="G270" s="111" t="str">
        <f aca="false">IFERROR(INDEX('Historical Data'!$Y$2:$Y$9,MATCH($A270,'Historical Data'!$BE$2:$BE$9,0)),"")</f>
        <v/>
      </c>
      <c r="H270" s="111" t="str">
        <f aca="false">IFERROR(INDEX('Historical Data'!$K$2:$K$9,MATCH($A270,'Historical Data'!$BE$2:$BE$9,0)),"")</f>
        <v/>
      </c>
      <c r="I270" s="111" t="str">
        <f aca="false">IFERROR(INDEX('Historical Data'!$J$2:$J$9,MATCH($A270,'Historical Data'!$BE$2:$BE$9,0)),"")</f>
        <v/>
      </c>
      <c r="J270" s="111" t="str">
        <f aca="false">IFERROR(INDEX('Historical Data'!$L$2:$L$9,MATCH($A270,'Historical Data'!$BE$2:$BE$9,0)),"")</f>
        <v/>
      </c>
      <c r="K270" s="113" t="str">
        <f aca="false">IFERROR(INDEX('Historical Data'!$M$2:$M$9,MATCH($A270,'Historical Data'!$BE$2:$BE$9,0)),"")</f>
        <v/>
      </c>
      <c r="L270" s="114" t="str">
        <f aca="false">IFERROR(INDEX('Historical Data'!$N$2:$N$9,MATCH($A270,'Historical Data'!$BE$2:$BE$9,0)),"")</f>
        <v/>
      </c>
      <c r="M270" s="114" t="str">
        <f aca="false">IFERROR(INDEX('Historical Data'!$Q$2:$Q$9,MATCH($A270,'Historical Data'!$BE$2:$BE$9,0)),"")</f>
        <v/>
      </c>
      <c r="N270" s="115" t="str">
        <f aca="false">IFERROR(INDEX('Historical Data'!$S$2:$S$9,MATCH($A270,'Historical Data'!$BE$2:$BE$9,0)),"")</f>
        <v/>
      </c>
      <c r="O270" s="114" t="str">
        <f aca="false">IFERROR(INDEX('Historical Data'!$AJ$2:$AJ$9,MATCH($A270,'Historical Data'!$BE$2:$BE$9,0)),"")</f>
        <v/>
      </c>
      <c r="P270" s="114" t="str">
        <f aca="false">IFERROR(INDEX('Historical Data'!$AK$2:$AK$9,MATCH($A270,'Historical Data'!$BE$2:$BE$9,0)),"")</f>
        <v/>
      </c>
      <c r="Q270" s="111" t="str">
        <f aca="false">IFERROR(INDEX('Historical Data'!$AA$2:$AA$9,MATCH($A270,'Historical Data'!$BE$2:$BE$9,0)),"")</f>
        <v/>
      </c>
      <c r="R270" s="111" t="str">
        <f aca="false">IFERROR(INDEX('Historical Data'!$AB$2:$AB$9,MATCH($A270,'Historical Data'!$BE$2:$BE$9,0)),"")</f>
        <v/>
      </c>
      <c r="S270" s="111" t="str">
        <f aca="false">IFERROR(INDEX('Historical Data'!$AN$2:$AN$9,MATCH($A270,'Historical Data'!$BE$2:$BE$9,0)),"")</f>
        <v/>
      </c>
      <c r="T270" s="111" t="str">
        <f aca="false">IFERROR(INDEX('Historical Data'!$AC$2:$AC$9,MATCH($A270,'Historical Data'!$BE$2:$BE$9,0)),"")</f>
        <v/>
      </c>
      <c r="U270" s="111" t="str">
        <f aca="false">IFERROR(INDEX('Historical Data'!$AE$2:$AE$9,MATCH($A270,'Historical Data'!$BE$2:$BE$9,0)),"")</f>
        <v/>
      </c>
      <c r="V270" s="111" t="str">
        <f aca="false">IFERROR(INDEX('Historical Data'!$AH$2:$AH$9,MATCH($A270,'Historical Data'!$BE$2:$BE$9,0)),"")</f>
        <v/>
      </c>
      <c r="W270" s="111" t="str">
        <f aca="false">IFERROR(INDEX('Historical Data'!$BC$2:$BC$9,MATCH($A270,'Historical Data'!$BE$2:$BE$9,0)),"")</f>
        <v/>
      </c>
      <c r="X270" s="110" t="str">
        <f aca="false">IF(B270="","",IF(W270=1,"NR + industry + position",IF(W270=2,"NR + ISO + position",IF(W270=3,"NR + industry",IF(W270=4,"NR + ISO",IF(W270=5,"NR + position",IF(W270=6,"NR only","book baseline"))))))&amp;"  ["&amp;IF(T270=1,"seasoned","unseasoned")&amp;IF(U270=1,", defaulted","")&amp;IF(V270=1,", open","")&amp;"]")</f>
        <v/>
      </c>
    </row>
    <row r="271" customFormat="false" ht="15" hidden="false" customHeight="false" outlineLevel="0" collapsed="false">
      <c r="A271" s="110" t="n">
        <v>267</v>
      </c>
      <c r="B271" s="111" t="str">
        <f aca="false">IFERROR(INDEX('Historical Data'!$A$2:$A$9,MATCH($A271,'Historical Data'!$BE$2:$BE$9,0)),"")</f>
        <v/>
      </c>
      <c r="C271" s="111" t="str">
        <f aca="false">IFERROR(INDEX('Historical Data'!$B$2:$B$9,MATCH($A271,'Historical Data'!$BE$2:$BE$9,0)),"")</f>
        <v/>
      </c>
      <c r="D271" s="111" t="str">
        <f aca="false">IFERROR(INDEX('Historical Data'!$D$2:$D$9,MATCH($A271,'Historical Data'!$BE$2:$BE$9,0)),"")</f>
        <v/>
      </c>
      <c r="E271" s="112" t="str">
        <f aca="false">IFERROR(INDEX('Historical Data'!$E$2:$E$9,MATCH($A271,'Historical Data'!$BE$2:$BE$9,0)),"")</f>
        <v/>
      </c>
      <c r="F271" s="111" t="str">
        <f aca="false">IFERROR(INDEX('Historical Data'!$G$2:$G$9,MATCH($A271,'Historical Data'!$BE$2:$BE$9,0)),"")</f>
        <v/>
      </c>
      <c r="G271" s="111" t="str">
        <f aca="false">IFERROR(INDEX('Historical Data'!$Y$2:$Y$9,MATCH($A271,'Historical Data'!$BE$2:$BE$9,0)),"")</f>
        <v/>
      </c>
      <c r="H271" s="111" t="str">
        <f aca="false">IFERROR(INDEX('Historical Data'!$K$2:$K$9,MATCH($A271,'Historical Data'!$BE$2:$BE$9,0)),"")</f>
        <v/>
      </c>
      <c r="I271" s="111" t="str">
        <f aca="false">IFERROR(INDEX('Historical Data'!$J$2:$J$9,MATCH($A271,'Historical Data'!$BE$2:$BE$9,0)),"")</f>
        <v/>
      </c>
      <c r="J271" s="111" t="str">
        <f aca="false">IFERROR(INDEX('Historical Data'!$L$2:$L$9,MATCH($A271,'Historical Data'!$BE$2:$BE$9,0)),"")</f>
        <v/>
      </c>
      <c r="K271" s="113" t="str">
        <f aca="false">IFERROR(INDEX('Historical Data'!$M$2:$M$9,MATCH($A271,'Historical Data'!$BE$2:$BE$9,0)),"")</f>
        <v/>
      </c>
      <c r="L271" s="114" t="str">
        <f aca="false">IFERROR(INDEX('Historical Data'!$N$2:$N$9,MATCH($A271,'Historical Data'!$BE$2:$BE$9,0)),"")</f>
        <v/>
      </c>
      <c r="M271" s="114" t="str">
        <f aca="false">IFERROR(INDEX('Historical Data'!$Q$2:$Q$9,MATCH($A271,'Historical Data'!$BE$2:$BE$9,0)),"")</f>
        <v/>
      </c>
      <c r="N271" s="115" t="str">
        <f aca="false">IFERROR(INDEX('Historical Data'!$S$2:$S$9,MATCH($A271,'Historical Data'!$BE$2:$BE$9,0)),"")</f>
        <v/>
      </c>
      <c r="O271" s="114" t="str">
        <f aca="false">IFERROR(INDEX('Historical Data'!$AJ$2:$AJ$9,MATCH($A271,'Historical Data'!$BE$2:$BE$9,0)),"")</f>
        <v/>
      </c>
      <c r="P271" s="114" t="str">
        <f aca="false">IFERROR(INDEX('Historical Data'!$AK$2:$AK$9,MATCH($A271,'Historical Data'!$BE$2:$BE$9,0)),"")</f>
        <v/>
      </c>
      <c r="Q271" s="111" t="str">
        <f aca="false">IFERROR(INDEX('Historical Data'!$AA$2:$AA$9,MATCH($A271,'Historical Data'!$BE$2:$BE$9,0)),"")</f>
        <v/>
      </c>
      <c r="R271" s="111" t="str">
        <f aca="false">IFERROR(INDEX('Historical Data'!$AB$2:$AB$9,MATCH($A271,'Historical Data'!$BE$2:$BE$9,0)),"")</f>
        <v/>
      </c>
      <c r="S271" s="111" t="str">
        <f aca="false">IFERROR(INDEX('Historical Data'!$AN$2:$AN$9,MATCH($A271,'Historical Data'!$BE$2:$BE$9,0)),"")</f>
        <v/>
      </c>
      <c r="T271" s="111" t="str">
        <f aca="false">IFERROR(INDEX('Historical Data'!$AC$2:$AC$9,MATCH($A271,'Historical Data'!$BE$2:$BE$9,0)),"")</f>
        <v/>
      </c>
      <c r="U271" s="111" t="str">
        <f aca="false">IFERROR(INDEX('Historical Data'!$AE$2:$AE$9,MATCH($A271,'Historical Data'!$BE$2:$BE$9,0)),"")</f>
        <v/>
      </c>
      <c r="V271" s="111" t="str">
        <f aca="false">IFERROR(INDEX('Historical Data'!$AH$2:$AH$9,MATCH($A271,'Historical Data'!$BE$2:$BE$9,0)),"")</f>
        <v/>
      </c>
      <c r="W271" s="111" t="str">
        <f aca="false">IFERROR(INDEX('Historical Data'!$BC$2:$BC$9,MATCH($A271,'Historical Data'!$BE$2:$BE$9,0)),"")</f>
        <v/>
      </c>
      <c r="X271" s="110" t="str">
        <f aca="false">IF(B271="","",IF(W271=1,"NR + industry + position",IF(W271=2,"NR + ISO + position",IF(W271=3,"NR + industry",IF(W271=4,"NR + ISO",IF(W271=5,"NR + position",IF(W271=6,"NR only","book baseline"))))))&amp;"  ["&amp;IF(T271=1,"seasoned","unseasoned")&amp;IF(U271=1,", defaulted","")&amp;IF(V271=1,", open","")&amp;"]")</f>
        <v/>
      </c>
    </row>
    <row r="272" customFormat="false" ht="15" hidden="false" customHeight="false" outlineLevel="0" collapsed="false">
      <c r="A272" s="110" t="n">
        <v>268</v>
      </c>
      <c r="B272" s="111" t="str">
        <f aca="false">IFERROR(INDEX('Historical Data'!$A$2:$A$9,MATCH($A272,'Historical Data'!$BE$2:$BE$9,0)),"")</f>
        <v/>
      </c>
      <c r="C272" s="111" t="str">
        <f aca="false">IFERROR(INDEX('Historical Data'!$B$2:$B$9,MATCH($A272,'Historical Data'!$BE$2:$BE$9,0)),"")</f>
        <v/>
      </c>
      <c r="D272" s="111" t="str">
        <f aca="false">IFERROR(INDEX('Historical Data'!$D$2:$D$9,MATCH($A272,'Historical Data'!$BE$2:$BE$9,0)),"")</f>
        <v/>
      </c>
      <c r="E272" s="112" t="str">
        <f aca="false">IFERROR(INDEX('Historical Data'!$E$2:$E$9,MATCH($A272,'Historical Data'!$BE$2:$BE$9,0)),"")</f>
        <v/>
      </c>
      <c r="F272" s="111" t="str">
        <f aca="false">IFERROR(INDEX('Historical Data'!$G$2:$G$9,MATCH($A272,'Historical Data'!$BE$2:$BE$9,0)),"")</f>
        <v/>
      </c>
      <c r="G272" s="111" t="str">
        <f aca="false">IFERROR(INDEX('Historical Data'!$Y$2:$Y$9,MATCH($A272,'Historical Data'!$BE$2:$BE$9,0)),"")</f>
        <v/>
      </c>
      <c r="H272" s="111" t="str">
        <f aca="false">IFERROR(INDEX('Historical Data'!$K$2:$K$9,MATCH($A272,'Historical Data'!$BE$2:$BE$9,0)),"")</f>
        <v/>
      </c>
      <c r="I272" s="111" t="str">
        <f aca="false">IFERROR(INDEX('Historical Data'!$J$2:$J$9,MATCH($A272,'Historical Data'!$BE$2:$BE$9,0)),"")</f>
        <v/>
      </c>
      <c r="J272" s="111" t="str">
        <f aca="false">IFERROR(INDEX('Historical Data'!$L$2:$L$9,MATCH($A272,'Historical Data'!$BE$2:$BE$9,0)),"")</f>
        <v/>
      </c>
      <c r="K272" s="113" t="str">
        <f aca="false">IFERROR(INDEX('Historical Data'!$M$2:$M$9,MATCH($A272,'Historical Data'!$BE$2:$BE$9,0)),"")</f>
        <v/>
      </c>
      <c r="L272" s="114" t="str">
        <f aca="false">IFERROR(INDEX('Historical Data'!$N$2:$N$9,MATCH($A272,'Historical Data'!$BE$2:$BE$9,0)),"")</f>
        <v/>
      </c>
      <c r="M272" s="114" t="str">
        <f aca="false">IFERROR(INDEX('Historical Data'!$Q$2:$Q$9,MATCH($A272,'Historical Data'!$BE$2:$BE$9,0)),"")</f>
        <v/>
      </c>
      <c r="N272" s="115" t="str">
        <f aca="false">IFERROR(INDEX('Historical Data'!$S$2:$S$9,MATCH($A272,'Historical Data'!$BE$2:$BE$9,0)),"")</f>
        <v/>
      </c>
      <c r="O272" s="114" t="str">
        <f aca="false">IFERROR(INDEX('Historical Data'!$AJ$2:$AJ$9,MATCH($A272,'Historical Data'!$BE$2:$BE$9,0)),"")</f>
        <v/>
      </c>
      <c r="P272" s="114" t="str">
        <f aca="false">IFERROR(INDEX('Historical Data'!$AK$2:$AK$9,MATCH($A272,'Historical Data'!$BE$2:$BE$9,0)),"")</f>
        <v/>
      </c>
      <c r="Q272" s="111" t="str">
        <f aca="false">IFERROR(INDEX('Historical Data'!$AA$2:$AA$9,MATCH($A272,'Historical Data'!$BE$2:$BE$9,0)),"")</f>
        <v/>
      </c>
      <c r="R272" s="111" t="str">
        <f aca="false">IFERROR(INDEX('Historical Data'!$AB$2:$AB$9,MATCH($A272,'Historical Data'!$BE$2:$BE$9,0)),"")</f>
        <v/>
      </c>
      <c r="S272" s="111" t="str">
        <f aca="false">IFERROR(INDEX('Historical Data'!$AN$2:$AN$9,MATCH($A272,'Historical Data'!$BE$2:$BE$9,0)),"")</f>
        <v/>
      </c>
      <c r="T272" s="111" t="str">
        <f aca="false">IFERROR(INDEX('Historical Data'!$AC$2:$AC$9,MATCH($A272,'Historical Data'!$BE$2:$BE$9,0)),"")</f>
        <v/>
      </c>
      <c r="U272" s="111" t="str">
        <f aca="false">IFERROR(INDEX('Historical Data'!$AE$2:$AE$9,MATCH($A272,'Historical Data'!$BE$2:$BE$9,0)),"")</f>
        <v/>
      </c>
      <c r="V272" s="111" t="str">
        <f aca="false">IFERROR(INDEX('Historical Data'!$AH$2:$AH$9,MATCH($A272,'Historical Data'!$BE$2:$BE$9,0)),"")</f>
        <v/>
      </c>
      <c r="W272" s="111" t="str">
        <f aca="false">IFERROR(INDEX('Historical Data'!$BC$2:$BC$9,MATCH($A272,'Historical Data'!$BE$2:$BE$9,0)),"")</f>
        <v/>
      </c>
      <c r="X272" s="110" t="str">
        <f aca="false">IF(B272="","",IF(W272=1,"NR + industry + position",IF(W272=2,"NR + ISO + position",IF(W272=3,"NR + industry",IF(W272=4,"NR + ISO",IF(W272=5,"NR + position",IF(W272=6,"NR only","book baseline"))))))&amp;"  ["&amp;IF(T272=1,"seasoned","unseasoned")&amp;IF(U272=1,", defaulted","")&amp;IF(V272=1,", open","")&amp;"]")</f>
        <v/>
      </c>
    </row>
    <row r="273" customFormat="false" ht="15" hidden="false" customHeight="false" outlineLevel="0" collapsed="false">
      <c r="A273" s="110" t="n">
        <v>269</v>
      </c>
      <c r="B273" s="111" t="str">
        <f aca="false">IFERROR(INDEX('Historical Data'!$A$2:$A$9,MATCH($A273,'Historical Data'!$BE$2:$BE$9,0)),"")</f>
        <v/>
      </c>
      <c r="C273" s="111" t="str">
        <f aca="false">IFERROR(INDEX('Historical Data'!$B$2:$B$9,MATCH($A273,'Historical Data'!$BE$2:$BE$9,0)),"")</f>
        <v/>
      </c>
      <c r="D273" s="111" t="str">
        <f aca="false">IFERROR(INDEX('Historical Data'!$D$2:$D$9,MATCH($A273,'Historical Data'!$BE$2:$BE$9,0)),"")</f>
        <v/>
      </c>
      <c r="E273" s="112" t="str">
        <f aca="false">IFERROR(INDEX('Historical Data'!$E$2:$E$9,MATCH($A273,'Historical Data'!$BE$2:$BE$9,0)),"")</f>
        <v/>
      </c>
      <c r="F273" s="111" t="str">
        <f aca="false">IFERROR(INDEX('Historical Data'!$G$2:$G$9,MATCH($A273,'Historical Data'!$BE$2:$BE$9,0)),"")</f>
        <v/>
      </c>
      <c r="G273" s="111" t="str">
        <f aca="false">IFERROR(INDEX('Historical Data'!$Y$2:$Y$9,MATCH($A273,'Historical Data'!$BE$2:$BE$9,0)),"")</f>
        <v/>
      </c>
      <c r="H273" s="111" t="str">
        <f aca="false">IFERROR(INDEX('Historical Data'!$K$2:$K$9,MATCH($A273,'Historical Data'!$BE$2:$BE$9,0)),"")</f>
        <v/>
      </c>
      <c r="I273" s="111" t="str">
        <f aca="false">IFERROR(INDEX('Historical Data'!$J$2:$J$9,MATCH($A273,'Historical Data'!$BE$2:$BE$9,0)),"")</f>
        <v/>
      </c>
      <c r="J273" s="111" t="str">
        <f aca="false">IFERROR(INDEX('Historical Data'!$L$2:$L$9,MATCH($A273,'Historical Data'!$BE$2:$BE$9,0)),"")</f>
        <v/>
      </c>
      <c r="K273" s="113" t="str">
        <f aca="false">IFERROR(INDEX('Historical Data'!$M$2:$M$9,MATCH($A273,'Historical Data'!$BE$2:$BE$9,0)),"")</f>
        <v/>
      </c>
      <c r="L273" s="114" t="str">
        <f aca="false">IFERROR(INDEX('Historical Data'!$N$2:$N$9,MATCH($A273,'Historical Data'!$BE$2:$BE$9,0)),"")</f>
        <v/>
      </c>
      <c r="M273" s="114" t="str">
        <f aca="false">IFERROR(INDEX('Historical Data'!$Q$2:$Q$9,MATCH($A273,'Historical Data'!$BE$2:$BE$9,0)),"")</f>
        <v/>
      </c>
      <c r="N273" s="115" t="str">
        <f aca="false">IFERROR(INDEX('Historical Data'!$S$2:$S$9,MATCH($A273,'Historical Data'!$BE$2:$BE$9,0)),"")</f>
        <v/>
      </c>
      <c r="O273" s="114" t="str">
        <f aca="false">IFERROR(INDEX('Historical Data'!$AJ$2:$AJ$9,MATCH($A273,'Historical Data'!$BE$2:$BE$9,0)),"")</f>
        <v/>
      </c>
      <c r="P273" s="114" t="str">
        <f aca="false">IFERROR(INDEX('Historical Data'!$AK$2:$AK$9,MATCH($A273,'Historical Data'!$BE$2:$BE$9,0)),"")</f>
        <v/>
      </c>
      <c r="Q273" s="111" t="str">
        <f aca="false">IFERROR(INDEX('Historical Data'!$AA$2:$AA$9,MATCH($A273,'Historical Data'!$BE$2:$BE$9,0)),"")</f>
        <v/>
      </c>
      <c r="R273" s="111" t="str">
        <f aca="false">IFERROR(INDEX('Historical Data'!$AB$2:$AB$9,MATCH($A273,'Historical Data'!$BE$2:$BE$9,0)),"")</f>
        <v/>
      </c>
      <c r="S273" s="111" t="str">
        <f aca="false">IFERROR(INDEX('Historical Data'!$AN$2:$AN$9,MATCH($A273,'Historical Data'!$BE$2:$BE$9,0)),"")</f>
        <v/>
      </c>
      <c r="T273" s="111" t="str">
        <f aca="false">IFERROR(INDEX('Historical Data'!$AC$2:$AC$9,MATCH($A273,'Historical Data'!$BE$2:$BE$9,0)),"")</f>
        <v/>
      </c>
      <c r="U273" s="111" t="str">
        <f aca="false">IFERROR(INDEX('Historical Data'!$AE$2:$AE$9,MATCH($A273,'Historical Data'!$BE$2:$BE$9,0)),"")</f>
        <v/>
      </c>
      <c r="V273" s="111" t="str">
        <f aca="false">IFERROR(INDEX('Historical Data'!$AH$2:$AH$9,MATCH($A273,'Historical Data'!$BE$2:$BE$9,0)),"")</f>
        <v/>
      </c>
      <c r="W273" s="111" t="str">
        <f aca="false">IFERROR(INDEX('Historical Data'!$BC$2:$BC$9,MATCH($A273,'Historical Data'!$BE$2:$BE$9,0)),"")</f>
        <v/>
      </c>
      <c r="X273" s="110" t="str">
        <f aca="false">IF(B273="","",IF(W273=1,"NR + industry + position",IF(W273=2,"NR + ISO + position",IF(W273=3,"NR + industry",IF(W273=4,"NR + ISO",IF(W273=5,"NR + position",IF(W273=6,"NR only","book baseline"))))))&amp;"  ["&amp;IF(T273=1,"seasoned","unseasoned")&amp;IF(U273=1,", defaulted","")&amp;IF(V273=1,", open","")&amp;"]")</f>
        <v/>
      </c>
    </row>
    <row r="274" customFormat="false" ht="15" hidden="false" customHeight="false" outlineLevel="0" collapsed="false">
      <c r="A274" s="110" t="n">
        <v>270</v>
      </c>
      <c r="B274" s="111" t="str">
        <f aca="false">IFERROR(INDEX('Historical Data'!$A$2:$A$9,MATCH($A274,'Historical Data'!$BE$2:$BE$9,0)),"")</f>
        <v/>
      </c>
      <c r="C274" s="111" t="str">
        <f aca="false">IFERROR(INDEX('Historical Data'!$B$2:$B$9,MATCH($A274,'Historical Data'!$BE$2:$BE$9,0)),"")</f>
        <v/>
      </c>
      <c r="D274" s="111" t="str">
        <f aca="false">IFERROR(INDEX('Historical Data'!$D$2:$D$9,MATCH($A274,'Historical Data'!$BE$2:$BE$9,0)),"")</f>
        <v/>
      </c>
      <c r="E274" s="112" t="str">
        <f aca="false">IFERROR(INDEX('Historical Data'!$E$2:$E$9,MATCH($A274,'Historical Data'!$BE$2:$BE$9,0)),"")</f>
        <v/>
      </c>
      <c r="F274" s="111" t="str">
        <f aca="false">IFERROR(INDEX('Historical Data'!$G$2:$G$9,MATCH($A274,'Historical Data'!$BE$2:$BE$9,0)),"")</f>
        <v/>
      </c>
      <c r="G274" s="111" t="str">
        <f aca="false">IFERROR(INDEX('Historical Data'!$Y$2:$Y$9,MATCH($A274,'Historical Data'!$BE$2:$BE$9,0)),"")</f>
        <v/>
      </c>
      <c r="H274" s="111" t="str">
        <f aca="false">IFERROR(INDEX('Historical Data'!$K$2:$K$9,MATCH($A274,'Historical Data'!$BE$2:$BE$9,0)),"")</f>
        <v/>
      </c>
      <c r="I274" s="111" t="str">
        <f aca="false">IFERROR(INDEX('Historical Data'!$J$2:$J$9,MATCH($A274,'Historical Data'!$BE$2:$BE$9,0)),"")</f>
        <v/>
      </c>
      <c r="J274" s="111" t="str">
        <f aca="false">IFERROR(INDEX('Historical Data'!$L$2:$L$9,MATCH($A274,'Historical Data'!$BE$2:$BE$9,0)),"")</f>
        <v/>
      </c>
      <c r="K274" s="113" t="str">
        <f aca="false">IFERROR(INDEX('Historical Data'!$M$2:$M$9,MATCH($A274,'Historical Data'!$BE$2:$BE$9,0)),"")</f>
        <v/>
      </c>
      <c r="L274" s="114" t="str">
        <f aca="false">IFERROR(INDEX('Historical Data'!$N$2:$N$9,MATCH($A274,'Historical Data'!$BE$2:$BE$9,0)),"")</f>
        <v/>
      </c>
      <c r="M274" s="114" t="str">
        <f aca="false">IFERROR(INDEX('Historical Data'!$Q$2:$Q$9,MATCH($A274,'Historical Data'!$BE$2:$BE$9,0)),"")</f>
        <v/>
      </c>
      <c r="N274" s="115" t="str">
        <f aca="false">IFERROR(INDEX('Historical Data'!$S$2:$S$9,MATCH($A274,'Historical Data'!$BE$2:$BE$9,0)),"")</f>
        <v/>
      </c>
      <c r="O274" s="114" t="str">
        <f aca="false">IFERROR(INDEX('Historical Data'!$AJ$2:$AJ$9,MATCH($A274,'Historical Data'!$BE$2:$BE$9,0)),"")</f>
        <v/>
      </c>
      <c r="P274" s="114" t="str">
        <f aca="false">IFERROR(INDEX('Historical Data'!$AK$2:$AK$9,MATCH($A274,'Historical Data'!$BE$2:$BE$9,0)),"")</f>
        <v/>
      </c>
      <c r="Q274" s="111" t="str">
        <f aca="false">IFERROR(INDEX('Historical Data'!$AA$2:$AA$9,MATCH($A274,'Historical Data'!$BE$2:$BE$9,0)),"")</f>
        <v/>
      </c>
      <c r="R274" s="111" t="str">
        <f aca="false">IFERROR(INDEX('Historical Data'!$AB$2:$AB$9,MATCH($A274,'Historical Data'!$BE$2:$BE$9,0)),"")</f>
        <v/>
      </c>
      <c r="S274" s="111" t="str">
        <f aca="false">IFERROR(INDEX('Historical Data'!$AN$2:$AN$9,MATCH($A274,'Historical Data'!$BE$2:$BE$9,0)),"")</f>
        <v/>
      </c>
      <c r="T274" s="111" t="str">
        <f aca="false">IFERROR(INDEX('Historical Data'!$AC$2:$AC$9,MATCH($A274,'Historical Data'!$BE$2:$BE$9,0)),"")</f>
        <v/>
      </c>
      <c r="U274" s="111" t="str">
        <f aca="false">IFERROR(INDEX('Historical Data'!$AE$2:$AE$9,MATCH($A274,'Historical Data'!$BE$2:$BE$9,0)),"")</f>
        <v/>
      </c>
      <c r="V274" s="111" t="str">
        <f aca="false">IFERROR(INDEX('Historical Data'!$AH$2:$AH$9,MATCH($A274,'Historical Data'!$BE$2:$BE$9,0)),"")</f>
        <v/>
      </c>
      <c r="W274" s="111" t="str">
        <f aca="false">IFERROR(INDEX('Historical Data'!$BC$2:$BC$9,MATCH($A274,'Historical Data'!$BE$2:$BE$9,0)),"")</f>
        <v/>
      </c>
      <c r="X274" s="110" t="str">
        <f aca="false">IF(B274="","",IF(W274=1,"NR + industry + position",IF(W274=2,"NR + ISO + position",IF(W274=3,"NR + industry",IF(W274=4,"NR + ISO",IF(W274=5,"NR + position",IF(W274=6,"NR only","book baseline"))))))&amp;"  ["&amp;IF(T274=1,"seasoned","unseasoned")&amp;IF(U274=1,", defaulted","")&amp;IF(V274=1,", open","")&amp;"]")</f>
        <v/>
      </c>
    </row>
    <row r="275" customFormat="false" ht="15" hidden="false" customHeight="false" outlineLevel="0" collapsed="false">
      <c r="A275" s="110" t="n">
        <v>271</v>
      </c>
      <c r="B275" s="111" t="str">
        <f aca="false">IFERROR(INDEX('Historical Data'!$A$2:$A$9,MATCH($A275,'Historical Data'!$BE$2:$BE$9,0)),"")</f>
        <v/>
      </c>
      <c r="C275" s="111" t="str">
        <f aca="false">IFERROR(INDEX('Historical Data'!$B$2:$B$9,MATCH($A275,'Historical Data'!$BE$2:$BE$9,0)),"")</f>
        <v/>
      </c>
      <c r="D275" s="111" t="str">
        <f aca="false">IFERROR(INDEX('Historical Data'!$D$2:$D$9,MATCH($A275,'Historical Data'!$BE$2:$BE$9,0)),"")</f>
        <v/>
      </c>
      <c r="E275" s="112" t="str">
        <f aca="false">IFERROR(INDEX('Historical Data'!$E$2:$E$9,MATCH($A275,'Historical Data'!$BE$2:$BE$9,0)),"")</f>
        <v/>
      </c>
      <c r="F275" s="111" t="str">
        <f aca="false">IFERROR(INDEX('Historical Data'!$G$2:$G$9,MATCH($A275,'Historical Data'!$BE$2:$BE$9,0)),"")</f>
        <v/>
      </c>
      <c r="G275" s="111" t="str">
        <f aca="false">IFERROR(INDEX('Historical Data'!$Y$2:$Y$9,MATCH($A275,'Historical Data'!$BE$2:$BE$9,0)),"")</f>
        <v/>
      </c>
      <c r="H275" s="111" t="str">
        <f aca="false">IFERROR(INDEX('Historical Data'!$K$2:$K$9,MATCH($A275,'Historical Data'!$BE$2:$BE$9,0)),"")</f>
        <v/>
      </c>
      <c r="I275" s="111" t="str">
        <f aca="false">IFERROR(INDEX('Historical Data'!$J$2:$J$9,MATCH($A275,'Historical Data'!$BE$2:$BE$9,0)),"")</f>
        <v/>
      </c>
      <c r="J275" s="111" t="str">
        <f aca="false">IFERROR(INDEX('Historical Data'!$L$2:$L$9,MATCH($A275,'Historical Data'!$BE$2:$BE$9,0)),"")</f>
        <v/>
      </c>
      <c r="K275" s="113" t="str">
        <f aca="false">IFERROR(INDEX('Historical Data'!$M$2:$M$9,MATCH($A275,'Historical Data'!$BE$2:$BE$9,0)),"")</f>
        <v/>
      </c>
      <c r="L275" s="114" t="str">
        <f aca="false">IFERROR(INDEX('Historical Data'!$N$2:$N$9,MATCH($A275,'Historical Data'!$BE$2:$BE$9,0)),"")</f>
        <v/>
      </c>
      <c r="M275" s="114" t="str">
        <f aca="false">IFERROR(INDEX('Historical Data'!$Q$2:$Q$9,MATCH($A275,'Historical Data'!$BE$2:$BE$9,0)),"")</f>
        <v/>
      </c>
      <c r="N275" s="115" t="str">
        <f aca="false">IFERROR(INDEX('Historical Data'!$S$2:$S$9,MATCH($A275,'Historical Data'!$BE$2:$BE$9,0)),"")</f>
        <v/>
      </c>
      <c r="O275" s="114" t="str">
        <f aca="false">IFERROR(INDEX('Historical Data'!$AJ$2:$AJ$9,MATCH($A275,'Historical Data'!$BE$2:$BE$9,0)),"")</f>
        <v/>
      </c>
      <c r="P275" s="114" t="str">
        <f aca="false">IFERROR(INDEX('Historical Data'!$AK$2:$AK$9,MATCH($A275,'Historical Data'!$BE$2:$BE$9,0)),"")</f>
        <v/>
      </c>
      <c r="Q275" s="111" t="str">
        <f aca="false">IFERROR(INDEX('Historical Data'!$AA$2:$AA$9,MATCH($A275,'Historical Data'!$BE$2:$BE$9,0)),"")</f>
        <v/>
      </c>
      <c r="R275" s="111" t="str">
        <f aca="false">IFERROR(INDEX('Historical Data'!$AB$2:$AB$9,MATCH($A275,'Historical Data'!$BE$2:$BE$9,0)),"")</f>
        <v/>
      </c>
      <c r="S275" s="111" t="str">
        <f aca="false">IFERROR(INDEX('Historical Data'!$AN$2:$AN$9,MATCH($A275,'Historical Data'!$BE$2:$BE$9,0)),"")</f>
        <v/>
      </c>
      <c r="T275" s="111" t="str">
        <f aca="false">IFERROR(INDEX('Historical Data'!$AC$2:$AC$9,MATCH($A275,'Historical Data'!$BE$2:$BE$9,0)),"")</f>
        <v/>
      </c>
      <c r="U275" s="111" t="str">
        <f aca="false">IFERROR(INDEX('Historical Data'!$AE$2:$AE$9,MATCH($A275,'Historical Data'!$BE$2:$BE$9,0)),"")</f>
        <v/>
      </c>
      <c r="V275" s="111" t="str">
        <f aca="false">IFERROR(INDEX('Historical Data'!$AH$2:$AH$9,MATCH($A275,'Historical Data'!$BE$2:$BE$9,0)),"")</f>
        <v/>
      </c>
      <c r="W275" s="111" t="str">
        <f aca="false">IFERROR(INDEX('Historical Data'!$BC$2:$BC$9,MATCH($A275,'Historical Data'!$BE$2:$BE$9,0)),"")</f>
        <v/>
      </c>
      <c r="X275" s="110" t="str">
        <f aca="false">IF(B275="","",IF(W275=1,"NR + industry + position",IF(W275=2,"NR + ISO + position",IF(W275=3,"NR + industry",IF(W275=4,"NR + ISO",IF(W275=5,"NR + position",IF(W275=6,"NR only","book baseline"))))))&amp;"  ["&amp;IF(T275=1,"seasoned","unseasoned")&amp;IF(U275=1,", defaulted","")&amp;IF(V275=1,", open","")&amp;"]")</f>
        <v/>
      </c>
    </row>
    <row r="276" customFormat="false" ht="15" hidden="false" customHeight="false" outlineLevel="0" collapsed="false">
      <c r="A276" s="110" t="n">
        <v>272</v>
      </c>
      <c r="B276" s="111" t="str">
        <f aca="false">IFERROR(INDEX('Historical Data'!$A$2:$A$9,MATCH($A276,'Historical Data'!$BE$2:$BE$9,0)),"")</f>
        <v/>
      </c>
      <c r="C276" s="111" t="str">
        <f aca="false">IFERROR(INDEX('Historical Data'!$B$2:$B$9,MATCH($A276,'Historical Data'!$BE$2:$BE$9,0)),"")</f>
        <v/>
      </c>
      <c r="D276" s="111" t="str">
        <f aca="false">IFERROR(INDEX('Historical Data'!$D$2:$D$9,MATCH($A276,'Historical Data'!$BE$2:$BE$9,0)),"")</f>
        <v/>
      </c>
      <c r="E276" s="112" t="str">
        <f aca="false">IFERROR(INDEX('Historical Data'!$E$2:$E$9,MATCH($A276,'Historical Data'!$BE$2:$BE$9,0)),"")</f>
        <v/>
      </c>
      <c r="F276" s="111" t="str">
        <f aca="false">IFERROR(INDEX('Historical Data'!$G$2:$G$9,MATCH($A276,'Historical Data'!$BE$2:$BE$9,0)),"")</f>
        <v/>
      </c>
      <c r="G276" s="111" t="str">
        <f aca="false">IFERROR(INDEX('Historical Data'!$Y$2:$Y$9,MATCH($A276,'Historical Data'!$BE$2:$BE$9,0)),"")</f>
        <v/>
      </c>
      <c r="H276" s="111" t="str">
        <f aca="false">IFERROR(INDEX('Historical Data'!$K$2:$K$9,MATCH($A276,'Historical Data'!$BE$2:$BE$9,0)),"")</f>
        <v/>
      </c>
      <c r="I276" s="111" t="str">
        <f aca="false">IFERROR(INDEX('Historical Data'!$J$2:$J$9,MATCH($A276,'Historical Data'!$BE$2:$BE$9,0)),"")</f>
        <v/>
      </c>
      <c r="J276" s="111" t="str">
        <f aca="false">IFERROR(INDEX('Historical Data'!$L$2:$L$9,MATCH($A276,'Historical Data'!$BE$2:$BE$9,0)),"")</f>
        <v/>
      </c>
      <c r="K276" s="113" t="str">
        <f aca="false">IFERROR(INDEX('Historical Data'!$M$2:$M$9,MATCH($A276,'Historical Data'!$BE$2:$BE$9,0)),"")</f>
        <v/>
      </c>
      <c r="L276" s="114" t="str">
        <f aca="false">IFERROR(INDEX('Historical Data'!$N$2:$N$9,MATCH($A276,'Historical Data'!$BE$2:$BE$9,0)),"")</f>
        <v/>
      </c>
      <c r="M276" s="114" t="str">
        <f aca="false">IFERROR(INDEX('Historical Data'!$Q$2:$Q$9,MATCH($A276,'Historical Data'!$BE$2:$BE$9,0)),"")</f>
        <v/>
      </c>
      <c r="N276" s="115" t="str">
        <f aca="false">IFERROR(INDEX('Historical Data'!$S$2:$S$9,MATCH($A276,'Historical Data'!$BE$2:$BE$9,0)),"")</f>
        <v/>
      </c>
      <c r="O276" s="114" t="str">
        <f aca="false">IFERROR(INDEX('Historical Data'!$AJ$2:$AJ$9,MATCH($A276,'Historical Data'!$BE$2:$BE$9,0)),"")</f>
        <v/>
      </c>
      <c r="P276" s="114" t="str">
        <f aca="false">IFERROR(INDEX('Historical Data'!$AK$2:$AK$9,MATCH($A276,'Historical Data'!$BE$2:$BE$9,0)),"")</f>
        <v/>
      </c>
      <c r="Q276" s="111" t="str">
        <f aca="false">IFERROR(INDEX('Historical Data'!$AA$2:$AA$9,MATCH($A276,'Historical Data'!$BE$2:$BE$9,0)),"")</f>
        <v/>
      </c>
      <c r="R276" s="111" t="str">
        <f aca="false">IFERROR(INDEX('Historical Data'!$AB$2:$AB$9,MATCH($A276,'Historical Data'!$BE$2:$BE$9,0)),"")</f>
        <v/>
      </c>
      <c r="S276" s="111" t="str">
        <f aca="false">IFERROR(INDEX('Historical Data'!$AN$2:$AN$9,MATCH($A276,'Historical Data'!$BE$2:$BE$9,0)),"")</f>
        <v/>
      </c>
      <c r="T276" s="111" t="str">
        <f aca="false">IFERROR(INDEX('Historical Data'!$AC$2:$AC$9,MATCH($A276,'Historical Data'!$BE$2:$BE$9,0)),"")</f>
        <v/>
      </c>
      <c r="U276" s="111" t="str">
        <f aca="false">IFERROR(INDEX('Historical Data'!$AE$2:$AE$9,MATCH($A276,'Historical Data'!$BE$2:$BE$9,0)),"")</f>
        <v/>
      </c>
      <c r="V276" s="111" t="str">
        <f aca="false">IFERROR(INDEX('Historical Data'!$AH$2:$AH$9,MATCH($A276,'Historical Data'!$BE$2:$BE$9,0)),"")</f>
        <v/>
      </c>
      <c r="W276" s="111" t="str">
        <f aca="false">IFERROR(INDEX('Historical Data'!$BC$2:$BC$9,MATCH($A276,'Historical Data'!$BE$2:$BE$9,0)),"")</f>
        <v/>
      </c>
      <c r="X276" s="110" t="str">
        <f aca="false">IF(B276="","",IF(W276=1,"NR + industry + position",IF(W276=2,"NR + ISO + position",IF(W276=3,"NR + industry",IF(W276=4,"NR + ISO",IF(W276=5,"NR + position",IF(W276=6,"NR only","book baseline"))))))&amp;"  ["&amp;IF(T276=1,"seasoned","unseasoned")&amp;IF(U276=1,", defaulted","")&amp;IF(V276=1,", open","")&amp;"]")</f>
        <v/>
      </c>
    </row>
    <row r="277" customFormat="false" ht="15" hidden="false" customHeight="false" outlineLevel="0" collapsed="false">
      <c r="A277" s="110" t="n">
        <v>273</v>
      </c>
      <c r="B277" s="111" t="str">
        <f aca="false">IFERROR(INDEX('Historical Data'!$A$2:$A$9,MATCH($A277,'Historical Data'!$BE$2:$BE$9,0)),"")</f>
        <v/>
      </c>
      <c r="C277" s="111" t="str">
        <f aca="false">IFERROR(INDEX('Historical Data'!$B$2:$B$9,MATCH($A277,'Historical Data'!$BE$2:$BE$9,0)),"")</f>
        <v/>
      </c>
      <c r="D277" s="111" t="str">
        <f aca="false">IFERROR(INDEX('Historical Data'!$D$2:$D$9,MATCH($A277,'Historical Data'!$BE$2:$BE$9,0)),"")</f>
        <v/>
      </c>
      <c r="E277" s="112" t="str">
        <f aca="false">IFERROR(INDEX('Historical Data'!$E$2:$E$9,MATCH($A277,'Historical Data'!$BE$2:$BE$9,0)),"")</f>
        <v/>
      </c>
      <c r="F277" s="111" t="str">
        <f aca="false">IFERROR(INDEX('Historical Data'!$G$2:$G$9,MATCH($A277,'Historical Data'!$BE$2:$BE$9,0)),"")</f>
        <v/>
      </c>
      <c r="G277" s="111" t="str">
        <f aca="false">IFERROR(INDEX('Historical Data'!$Y$2:$Y$9,MATCH($A277,'Historical Data'!$BE$2:$BE$9,0)),"")</f>
        <v/>
      </c>
      <c r="H277" s="111" t="str">
        <f aca="false">IFERROR(INDEX('Historical Data'!$K$2:$K$9,MATCH($A277,'Historical Data'!$BE$2:$BE$9,0)),"")</f>
        <v/>
      </c>
      <c r="I277" s="111" t="str">
        <f aca="false">IFERROR(INDEX('Historical Data'!$J$2:$J$9,MATCH($A277,'Historical Data'!$BE$2:$BE$9,0)),"")</f>
        <v/>
      </c>
      <c r="J277" s="111" t="str">
        <f aca="false">IFERROR(INDEX('Historical Data'!$L$2:$L$9,MATCH($A277,'Historical Data'!$BE$2:$BE$9,0)),"")</f>
        <v/>
      </c>
      <c r="K277" s="113" t="str">
        <f aca="false">IFERROR(INDEX('Historical Data'!$M$2:$M$9,MATCH($A277,'Historical Data'!$BE$2:$BE$9,0)),"")</f>
        <v/>
      </c>
      <c r="L277" s="114" t="str">
        <f aca="false">IFERROR(INDEX('Historical Data'!$N$2:$N$9,MATCH($A277,'Historical Data'!$BE$2:$BE$9,0)),"")</f>
        <v/>
      </c>
      <c r="M277" s="114" t="str">
        <f aca="false">IFERROR(INDEX('Historical Data'!$Q$2:$Q$9,MATCH($A277,'Historical Data'!$BE$2:$BE$9,0)),"")</f>
        <v/>
      </c>
      <c r="N277" s="115" t="str">
        <f aca="false">IFERROR(INDEX('Historical Data'!$S$2:$S$9,MATCH($A277,'Historical Data'!$BE$2:$BE$9,0)),"")</f>
        <v/>
      </c>
      <c r="O277" s="114" t="str">
        <f aca="false">IFERROR(INDEX('Historical Data'!$AJ$2:$AJ$9,MATCH($A277,'Historical Data'!$BE$2:$BE$9,0)),"")</f>
        <v/>
      </c>
      <c r="P277" s="114" t="str">
        <f aca="false">IFERROR(INDEX('Historical Data'!$AK$2:$AK$9,MATCH($A277,'Historical Data'!$BE$2:$BE$9,0)),"")</f>
        <v/>
      </c>
      <c r="Q277" s="111" t="str">
        <f aca="false">IFERROR(INDEX('Historical Data'!$AA$2:$AA$9,MATCH($A277,'Historical Data'!$BE$2:$BE$9,0)),"")</f>
        <v/>
      </c>
      <c r="R277" s="111" t="str">
        <f aca="false">IFERROR(INDEX('Historical Data'!$AB$2:$AB$9,MATCH($A277,'Historical Data'!$BE$2:$BE$9,0)),"")</f>
        <v/>
      </c>
      <c r="S277" s="111" t="str">
        <f aca="false">IFERROR(INDEX('Historical Data'!$AN$2:$AN$9,MATCH($A277,'Historical Data'!$BE$2:$BE$9,0)),"")</f>
        <v/>
      </c>
      <c r="T277" s="111" t="str">
        <f aca="false">IFERROR(INDEX('Historical Data'!$AC$2:$AC$9,MATCH($A277,'Historical Data'!$BE$2:$BE$9,0)),"")</f>
        <v/>
      </c>
      <c r="U277" s="111" t="str">
        <f aca="false">IFERROR(INDEX('Historical Data'!$AE$2:$AE$9,MATCH($A277,'Historical Data'!$BE$2:$BE$9,0)),"")</f>
        <v/>
      </c>
      <c r="V277" s="111" t="str">
        <f aca="false">IFERROR(INDEX('Historical Data'!$AH$2:$AH$9,MATCH($A277,'Historical Data'!$BE$2:$BE$9,0)),"")</f>
        <v/>
      </c>
      <c r="W277" s="111" t="str">
        <f aca="false">IFERROR(INDEX('Historical Data'!$BC$2:$BC$9,MATCH($A277,'Historical Data'!$BE$2:$BE$9,0)),"")</f>
        <v/>
      </c>
      <c r="X277" s="110" t="str">
        <f aca="false">IF(B277="","",IF(W277=1,"NR + industry + position",IF(W277=2,"NR + ISO + position",IF(W277=3,"NR + industry",IF(W277=4,"NR + ISO",IF(W277=5,"NR + position",IF(W277=6,"NR only","book baseline"))))))&amp;"  ["&amp;IF(T277=1,"seasoned","unseasoned")&amp;IF(U277=1,", defaulted","")&amp;IF(V277=1,", open","")&amp;"]")</f>
        <v/>
      </c>
    </row>
    <row r="278" customFormat="false" ht="15" hidden="false" customHeight="false" outlineLevel="0" collapsed="false">
      <c r="A278" s="110" t="n">
        <v>274</v>
      </c>
      <c r="B278" s="111" t="str">
        <f aca="false">IFERROR(INDEX('Historical Data'!$A$2:$A$9,MATCH($A278,'Historical Data'!$BE$2:$BE$9,0)),"")</f>
        <v/>
      </c>
      <c r="C278" s="111" t="str">
        <f aca="false">IFERROR(INDEX('Historical Data'!$B$2:$B$9,MATCH($A278,'Historical Data'!$BE$2:$BE$9,0)),"")</f>
        <v/>
      </c>
      <c r="D278" s="111" t="str">
        <f aca="false">IFERROR(INDEX('Historical Data'!$D$2:$D$9,MATCH($A278,'Historical Data'!$BE$2:$BE$9,0)),"")</f>
        <v/>
      </c>
      <c r="E278" s="112" t="str">
        <f aca="false">IFERROR(INDEX('Historical Data'!$E$2:$E$9,MATCH($A278,'Historical Data'!$BE$2:$BE$9,0)),"")</f>
        <v/>
      </c>
      <c r="F278" s="111" t="str">
        <f aca="false">IFERROR(INDEX('Historical Data'!$G$2:$G$9,MATCH($A278,'Historical Data'!$BE$2:$BE$9,0)),"")</f>
        <v/>
      </c>
      <c r="G278" s="111" t="str">
        <f aca="false">IFERROR(INDEX('Historical Data'!$Y$2:$Y$9,MATCH($A278,'Historical Data'!$BE$2:$BE$9,0)),"")</f>
        <v/>
      </c>
      <c r="H278" s="111" t="str">
        <f aca="false">IFERROR(INDEX('Historical Data'!$K$2:$K$9,MATCH($A278,'Historical Data'!$BE$2:$BE$9,0)),"")</f>
        <v/>
      </c>
      <c r="I278" s="111" t="str">
        <f aca="false">IFERROR(INDEX('Historical Data'!$J$2:$J$9,MATCH($A278,'Historical Data'!$BE$2:$BE$9,0)),"")</f>
        <v/>
      </c>
      <c r="J278" s="111" t="str">
        <f aca="false">IFERROR(INDEX('Historical Data'!$L$2:$L$9,MATCH($A278,'Historical Data'!$BE$2:$BE$9,0)),"")</f>
        <v/>
      </c>
      <c r="K278" s="113" t="str">
        <f aca="false">IFERROR(INDEX('Historical Data'!$M$2:$M$9,MATCH($A278,'Historical Data'!$BE$2:$BE$9,0)),"")</f>
        <v/>
      </c>
      <c r="L278" s="114" t="str">
        <f aca="false">IFERROR(INDEX('Historical Data'!$N$2:$N$9,MATCH($A278,'Historical Data'!$BE$2:$BE$9,0)),"")</f>
        <v/>
      </c>
      <c r="M278" s="114" t="str">
        <f aca="false">IFERROR(INDEX('Historical Data'!$Q$2:$Q$9,MATCH($A278,'Historical Data'!$BE$2:$BE$9,0)),"")</f>
        <v/>
      </c>
      <c r="N278" s="115" t="str">
        <f aca="false">IFERROR(INDEX('Historical Data'!$S$2:$S$9,MATCH($A278,'Historical Data'!$BE$2:$BE$9,0)),"")</f>
        <v/>
      </c>
      <c r="O278" s="114" t="str">
        <f aca="false">IFERROR(INDEX('Historical Data'!$AJ$2:$AJ$9,MATCH($A278,'Historical Data'!$BE$2:$BE$9,0)),"")</f>
        <v/>
      </c>
      <c r="P278" s="114" t="str">
        <f aca="false">IFERROR(INDEX('Historical Data'!$AK$2:$AK$9,MATCH($A278,'Historical Data'!$BE$2:$BE$9,0)),"")</f>
        <v/>
      </c>
      <c r="Q278" s="111" t="str">
        <f aca="false">IFERROR(INDEX('Historical Data'!$AA$2:$AA$9,MATCH($A278,'Historical Data'!$BE$2:$BE$9,0)),"")</f>
        <v/>
      </c>
      <c r="R278" s="111" t="str">
        <f aca="false">IFERROR(INDEX('Historical Data'!$AB$2:$AB$9,MATCH($A278,'Historical Data'!$BE$2:$BE$9,0)),"")</f>
        <v/>
      </c>
      <c r="S278" s="111" t="str">
        <f aca="false">IFERROR(INDEX('Historical Data'!$AN$2:$AN$9,MATCH($A278,'Historical Data'!$BE$2:$BE$9,0)),"")</f>
        <v/>
      </c>
      <c r="T278" s="111" t="str">
        <f aca="false">IFERROR(INDEX('Historical Data'!$AC$2:$AC$9,MATCH($A278,'Historical Data'!$BE$2:$BE$9,0)),"")</f>
        <v/>
      </c>
      <c r="U278" s="111" t="str">
        <f aca="false">IFERROR(INDEX('Historical Data'!$AE$2:$AE$9,MATCH($A278,'Historical Data'!$BE$2:$BE$9,0)),"")</f>
        <v/>
      </c>
      <c r="V278" s="111" t="str">
        <f aca="false">IFERROR(INDEX('Historical Data'!$AH$2:$AH$9,MATCH($A278,'Historical Data'!$BE$2:$BE$9,0)),"")</f>
        <v/>
      </c>
      <c r="W278" s="111" t="str">
        <f aca="false">IFERROR(INDEX('Historical Data'!$BC$2:$BC$9,MATCH($A278,'Historical Data'!$BE$2:$BE$9,0)),"")</f>
        <v/>
      </c>
      <c r="X278" s="110" t="str">
        <f aca="false">IF(B278="","",IF(W278=1,"NR + industry + position",IF(W278=2,"NR + ISO + position",IF(W278=3,"NR + industry",IF(W278=4,"NR + ISO",IF(W278=5,"NR + position",IF(W278=6,"NR only","book baseline"))))))&amp;"  ["&amp;IF(T278=1,"seasoned","unseasoned")&amp;IF(U278=1,", defaulted","")&amp;IF(V278=1,", open","")&amp;"]")</f>
        <v/>
      </c>
    </row>
    <row r="279" customFormat="false" ht="15" hidden="false" customHeight="false" outlineLevel="0" collapsed="false">
      <c r="A279" s="110" t="n">
        <v>275</v>
      </c>
      <c r="B279" s="111" t="str">
        <f aca="false">IFERROR(INDEX('Historical Data'!$A$2:$A$9,MATCH($A279,'Historical Data'!$BE$2:$BE$9,0)),"")</f>
        <v/>
      </c>
      <c r="C279" s="111" t="str">
        <f aca="false">IFERROR(INDEX('Historical Data'!$B$2:$B$9,MATCH($A279,'Historical Data'!$BE$2:$BE$9,0)),"")</f>
        <v/>
      </c>
      <c r="D279" s="111" t="str">
        <f aca="false">IFERROR(INDEX('Historical Data'!$D$2:$D$9,MATCH($A279,'Historical Data'!$BE$2:$BE$9,0)),"")</f>
        <v/>
      </c>
      <c r="E279" s="112" t="str">
        <f aca="false">IFERROR(INDEX('Historical Data'!$E$2:$E$9,MATCH($A279,'Historical Data'!$BE$2:$BE$9,0)),"")</f>
        <v/>
      </c>
      <c r="F279" s="111" t="str">
        <f aca="false">IFERROR(INDEX('Historical Data'!$G$2:$G$9,MATCH($A279,'Historical Data'!$BE$2:$BE$9,0)),"")</f>
        <v/>
      </c>
      <c r="G279" s="111" t="str">
        <f aca="false">IFERROR(INDEX('Historical Data'!$Y$2:$Y$9,MATCH($A279,'Historical Data'!$BE$2:$BE$9,0)),"")</f>
        <v/>
      </c>
      <c r="H279" s="111" t="str">
        <f aca="false">IFERROR(INDEX('Historical Data'!$K$2:$K$9,MATCH($A279,'Historical Data'!$BE$2:$BE$9,0)),"")</f>
        <v/>
      </c>
      <c r="I279" s="111" t="str">
        <f aca="false">IFERROR(INDEX('Historical Data'!$J$2:$J$9,MATCH($A279,'Historical Data'!$BE$2:$BE$9,0)),"")</f>
        <v/>
      </c>
      <c r="J279" s="111" t="str">
        <f aca="false">IFERROR(INDEX('Historical Data'!$L$2:$L$9,MATCH($A279,'Historical Data'!$BE$2:$BE$9,0)),"")</f>
        <v/>
      </c>
      <c r="K279" s="113" t="str">
        <f aca="false">IFERROR(INDEX('Historical Data'!$M$2:$M$9,MATCH($A279,'Historical Data'!$BE$2:$BE$9,0)),"")</f>
        <v/>
      </c>
      <c r="L279" s="114" t="str">
        <f aca="false">IFERROR(INDEX('Historical Data'!$N$2:$N$9,MATCH($A279,'Historical Data'!$BE$2:$BE$9,0)),"")</f>
        <v/>
      </c>
      <c r="M279" s="114" t="str">
        <f aca="false">IFERROR(INDEX('Historical Data'!$Q$2:$Q$9,MATCH($A279,'Historical Data'!$BE$2:$BE$9,0)),"")</f>
        <v/>
      </c>
      <c r="N279" s="115" t="str">
        <f aca="false">IFERROR(INDEX('Historical Data'!$S$2:$S$9,MATCH($A279,'Historical Data'!$BE$2:$BE$9,0)),"")</f>
        <v/>
      </c>
      <c r="O279" s="114" t="str">
        <f aca="false">IFERROR(INDEX('Historical Data'!$AJ$2:$AJ$9,MATCH($A279,'Historical Data'!$BE$2:$BE$9,0)),"")</f>
        <v/>
      </c>
      <c r="P279" s="114" t="str">
        <f aca="false">IFERROR(INDEX('Historical Data'!$AK$2:$AK$9,MATCH($A279,'Historical Data'!$BE$2:$BE$9,0)),"")</f>
        <v/>
      </c>
      <c r="Q279" s="111" t="str">
        <f aca="false">IFERROR(INDEX('Historical Data'!$AA$2:$AA$9,MATCH($A279,'Historical Data'!$BE$2:$BE$9,0)),"")</f>
        <v/>
      </c>
      <c r="R279" s="111" t="str">
        <f aca="false">IFERROR(INDEX('Historical Data'!$AB$2:$AB$9,MATCH($A279,'Historical Data'!$BE$2:$BE$9,0)),"")</f>
        <v/>
      </c>
      <c r="S279" s="111" t="str">
        <f aca="false">IFERROR(INDEX('Historical Data'!$AN$2:$AN$9,MATCH($A279,'Historical Data'!$BE$2:$BE$9,0)),"")</f>
        <v/>
      </c>
      <c r="T279" s="111" t="str">
        <f aca="false">IFERROR(INDEX('Historical Data'!$AC$2:$AC$9,MATCH($A279,'Historical Data'!$BE$2:$BE$9,0)),"")</f>
        <v/>
      </c>
      <c r="U279" s="111" t="str">
        <f aca="false">IFERROR(INDEX('Historical Data'!$AE$2:$AE$9,MATCH($A279,'Historical Data'!$BE$2:$BE$9,0)),"")</f>
        <v/>
      </c>
      <c r="V279" s="111" t="str">
        <f aca="false">IFERROR(INDEX('Historical Data'!$AH$2:$AH$9,MATCH($A279,'Historical Data'!$BE$2:$BE$9,0)),"")</f>
        <v/>
      </c>
      <c r="W279" s="111" t="str">
        <f aca="false">IFERROR(INDEX('Historical Data'!$BC$2:$BC$9,MATCH($A279,'Historical Data'!$BE$2:$BE$9,0)),"")</f>
        <v/>
      </c>
      <c r="X279" s="110" t="str">
        <f aca="false">IF(B279="","",IF(W279=1,"NR + industry + position",IF(W279=2,"NR + ISO + position",IF(W279=3,"NR + industry",IF(W279=4,"NR + ISO",IF(W279=5,"NR + position",IF(W279=6,"NR only","book baseline"))))))&amp;"  ["&amp;IF(T279=1,"seasoned","unseasoned")&amp;IF(U279=1,", defaulted","")&amp;IF(V279=1,", open","")&amp;"]")</f>
        <v/>
      </c>
    </row>
    <row r="280" customFormat="false" ht="15" hidden="false" customHeight="false" outlineLevel="0" collapsed="false">
      <c r="A280" s="110" t="n">
        <v>276</v>
      </c>
      <c r="B280" s="111" t="str">
        <f aca="false">IFERROR(INDEX('Historical Data'!$A$2:$A$9,MATCH($A280,'Historical Data'!$BE$2:$BE$9,0)),"")</f>
        <v/>
      </c>
      <c r="C280" s="111" t="str">
        <f aca="false">IFERROR(INDEX('Historical Data'!$B$2:$B$9,MATCH($A280,'Historical Data'!$BE$2:$BE$9,0)),"")</f>
        <v/>
      </c>
      <c r="D280" s="111" t="str">
        <f aca="false">IFERROR(INDEX('Historical Data'!$D$2:$D$9,MATCH($A280,'Historical Data'!$BE$2:$BE$9,0)),"")</f>
        <v/>
      </c>
      <c r="E280" s="112" t="str">
        <f aca="false">IFERROR(INDEX('Historical Data'!$E$2:$E$9,MATCH($A280,'Historical Data'!$BE$2:$BE$9,0)),"")</f>
        <v/>
      </c>
      <c r="F280" s="111" t="str">
        <f aca="false">IFERROR(INDEX('Historical Data'!$G$2:$G$9,MATCH($A280,'Historical Data'!$BE$2:$BE$9,0)),"")</f>
        <v/>
      </c>
      <c r="G280" s="111" t="str">
        <f aca="false">IFERROR(INDEX('Historical Data'!$Y$2:$Y$9,MATCH($A280,'Historical Data'!$BE$2:$BE$9,0)),"")</f>
        <v/>
      </c>
      <c r="H280" s="111" t="str">
        <f aca="false">IFERROR(INDEX('Historical Data'!$K$2:$K$9,MATCH($A280,'Historical Data'!$BE$2:$BE$9,0)),"")</f>
        <v/>
      </c>
      <c r="I280" s="111" t="str">
        <f aca="false">IFERROR(INDEX('Historical Data'!$J$2:$J$9,MATCH($A280,'Historical Data'!$BE$2:$BE$9,0)),"")</f>
        <v/>
      </c>
      <c r="J280" s="111" t="str">
        <f aca="false">IFERROR(INDEX('Historical Data'!$L$2:$L$9,MATCH($A280,'Historical Data'!$BE$2:$BE$9,0)),"")</f>
        <v/>
      </c>
      <c r="K280" s="113" t="str">
        <f aca="false">IFERROR(INDEX('Historical Data'!$M$2:$M$9,MATCH($A280,'Historical Data'!$BE$2:$BE$9,0)),"")</f>
        <v/>
      </c>
      <c r="L280" s="114" t="str">
        <f aca="false">IFERROR(INDEX('Historical Data'!$N$2:$N$9,MATCH($A280,'Historical Data'!$BE$2:$BE$9,0)),"")</f>
        <v/>
      </c>
      <c r="M280" s="114" t="str">
        <f aca="false">IFERROR(INDEX('Historical Data'!$Q$2:$Q$9,MATCH($A280,'Historical Data'!$BE$2:$BE$9,0)),"")</f>
        <v/>
      </c>
      <c r="N280" s="115" t="str">
        <f aca="false">IFERROR(INDEX('Historical Data'!$S$2:$S$9,MATCH($A280,'Historical Data'!$BE$2:$BE$9,0)),"")</f>
        <v/>
      </c>
      <c r="O280" s="114" t="str">
        <f aca="false">IFERROR(INDEX('Historical Data'!$AJ$2:$AJ$9,MATCH($A280,'Historical Data'!$BE$2:$BE$9,0)),"")</f>
        <v/>
      </c>
      <c r="P280" s="114" t="str">
        <f aca="false">IFERROR(INDEX('Historical Data'!$AK$2:$AK$9,MATCH($A280,'Historical Data'!$BE$2:$BE$9,0)),"")</f>
        <v/>
      </c>
      <c r="Q280" s="111" t="str">
        <f aca="false">IFERROR(INDEX('Historical Data'!$AA$2:$AA$9,MATCH($A280,'Historical Data'!$BE$2:$BE$9,0)),"")</f>
        <v/>
      </c>
      <c r="R280" s="111" t="str">
        <f aca="false">IFERROR(INDEX('Historical Data'!$AB$2:$AB$9,MATCH($A280,'Historical Data'!$BE$2:$BE$9,0)),"")</f>
        <v/>
      </c>
      <c r="S280" s="111" t="str">
        <f aca="false">IFERROR(INDEX('Historical Data'!$AN$2:$AN$9,MATCH($A280,'Historical Data'!$BE$2:$BE$9,0)),"")</f>
        <v/>
      </c>
      <c r="T280" s="111" t="str">
        <f aca="false">IFERROR(INDEX('Historical Data'!$AC$2:$AC$9,MATCH($A280,'Historical Data'!$BE$2:$BE$9,0)),"")</f>
        <v/>
      </c>
      <c r="U280" s="111" t="str">
        <f aca="false">IFERROR(INDEX('Historical Data'!$AE$2:$AE$9,MATCH($A280,'Historical Data'!$BE$2:$BE$9,0)),"")</f>
        <v/>
      </c>
      <c r="V280" s="111" t="str">
        <f aca="false">IFERROR(INDEX('Historical Data'!$AH$2:$AH$9,MATCH($A280,'Historical Data'!$BE$2:$BE$9,0)),"")</f>
        <v/>
      </c>
      <c r="W280" s="111" t="str">
        <f aca="false">IFERROR(INDEX('Historical Data'!$BC$2:$BC$9,MATCH($A280,'Historical Data'!$BE$2:$BE$9,0)),"")</f>
        <v/>
      </c>
      <c r="X280" s="110" t="str">
        <f aca="false">IF(B280="","",IF(W280=1,"NR + industry + position",IF(W280=2,"NR + ISO + position",IF(W280=3,"NR + industry",IF(W280=4,"NR + ISO",IF(W280=5,"NR + position",IF(W280=6,"NR only","book baseline"))))))&amp;"  ["&amp;IF(T280=1,"seasoned","unseasoned")&amp;IF(U280=1,", defaulted","")&amp;IF(V280=1,", open","")&amp;"]")</f>
        <v/>
      </c>
    </row>
    <row r="281" customFormat="false" ht="15" hidden="false" customHeight="false" outlineLevel="0" collapsed="false">
      <c r="A281" s="110" t="n">
        <v>277</v>
      </c>
      <c r="B281" s="111" t="str">
        <f aca="false">IFERROR(INDEX('Historical Data'!$A$2:$A$9,MATCH($A281,'Historical Data'!$BE$2:$BE$9,0)),"")</f>
        <v/>
      </c>
      <c r="C281" s="111" t="str">
        <f aca="false">IFERROR(INDEX('Historical Data'!$B$2:$B$9,MATCH($A281,'Historical Data'!$BE$2:$BE$9,0)),"")</f>
        <v/>
      </c>
      <c r="D281" s="111" t="str">
        <f aca="false">IFERROR(INDEX('Historical Data'!$D$2:$D$9,MATCH($A281,'Historical Data'!$BE$2:$BE$9,0)),"")</f>
        <v/>
      </c>
      <c r="E281" s="112" t="str">
        <f aca="false">IFERROR(INDEX('Historical Data'!$E$2:$E$9,MATCH($A281,'Historical Data'!$BE$2:$BE$9,0)),"")</f>
        <v/>
      </c>
      <c r="F281" s="111" t="str">
        <f aca="false">IFERROR(INDEX('Historical Data'!$G$2:$G$9,MATCH($A281,'Historical Data'!$BE$2:$BE$9,0)),"")</f>
        <v/>
      </c>
      <c r="G281" s="111" t="str">
        <f aca="false">IFERROR(INDEX('Historical Data'!$Y$2:$Y$9,MATCH($A281,'Historical Data'!$BE$2:$BE$9,0)),"")</f>
        <v/>
      </c>
      <c r="H281" s="111" t="str">
        <f aca="false">IFERROR(INDEX('Historical Data'!$K$2:$K$9,MATCH($A281,'Historical Data'!$BE$2:$BE$9,0)),"")</f>
        <v/>
      </c>
      <c r="I281" s="111" t="str">
        <f aca="false">IFERROR(INDEX('Historical Data'!$J$2:$J$9,MATCH($A281,'Historical Data'!$BE$2:$BE$9,0)),"")</f>
        <v/>
      </c>
      <c r="J281" s="111" t="str">
        <f aca="false">IFERROR(INDEX('Historical Data'!$L$2:$L$9,MATCH($A281,'Historical Data'!$BE$2:$BE$9,0)),"")</f>
        <v/>
      </c>
      <c r="K281" s="113" t="str">
        <f aca="false">IFERROR(INDEX('Historical Data'!$M$2:$M$9,MATCH($A281,'Historical Data'!$BE$2:$BE$9,0)),"")</f>
        <v/>
      </c>
      <c r="L281" s="114" t="str">
        <f aca="false">IFERROR(INDEX('Historical Data'!$N$2:$N$9,MATCH($A281,'Historical Data'!$BE$2:$BE$9,0)),"")</f>
        <v/>
      </c>
      <c r="M281" s="114" t="str">
        <f aca="false">IFERROR(INDEX('Historical Data'!$Q$2:$Q$9,MATCH($A281,'Historical Data'!$BE$2:$BE$9,0)),"")</f>
        <v/>
      </c>
      <c r="N281" s="115" t="str">
        <f aca="false">IFERROR(INDEX('Historical Data'!$S$2:$S$9,MATCH($A281,'Historical Data'!$BE$2:$BE$9,0)),"")</f>
        <v/>
      </c>
      <c r="O281" s="114" t="str">
        <f aca="false">IFERROR(INDEX('Historical Data'!$AJ$2:$AJ$9,MATCH($A281,'Historical Data'!$BE$2:$BE$9,0)),"")</f>
        <v/>
      </c>
      <c r="P281" s="114" t="str">
        <f aca="false">IFERROR(INDEX('Historical Data'!$AK$2:$AK$9,MATCH($A281,'Historical Data'!$BE$2:$BE$9,0)),"")</f>
        <v/>
      </c>
      <c r="Q281" s="111" t="str">
        <f aca="false">IFERROR(INDEX('Historical Data'!$AA$2:$AA$9,MATCH($A281,'Historical Data'!$BE$2:$BE$9,0)),"")</f>
        <v/>
      </c>
      <c r="R281" s="111" t="str">
        <f aca="false">IFERROR(INDEX('Historical Data'!$AB$2:$AB$9,MATCH($A281,'Historical Data'!$BE$2:$BE$9,0)),"")</f>
        <v/>
      </c>
      <c r="S281" s="111" t="str">
        <f aca="false">IFERROR(INDEX('Historical Data'!$AN$2:$AN$9,MATCH($A281,'Historical Data'!$BE$2:$BE$9,0)),"")</f>
        <v/>
      </c>
      <c r="T281" s="111" t="str">
        <f aca="false">IFERROR(INDEX('Historical Data'!$AC$2:$AC$9,MATCH($A281,'Historical Data'!$BE$2:$BE$9,0)),"")</f>
        <v/>
      </c>
      <c r="U281" s="111" t="str">
        <f aca="false">IFERROR(INDEX('Historical Data'!$AE$2:$AE$9,MATCH($A281,'Historical Data'!$BE$2:$BE$9,0)),"")</f>
        <v/>
      </c>
      <c r="V281" s="111" t="str">
        <f aca="false">IFERROR(INDEX('Historical Data'!$AH$2:$AH$9,MATCH($A281,'Historical Data'!$BE$2:$BE$9,0)),"")</f>
        <v/>
      </c>
      <c r="W281" s="111" t="str">
        <f aca="false">IFERROR(INDEX('Historical Data'!$BC$2:$BC$9,MATCH($A281,'Historical Data'!$BE$2:$BE$9,0)),"")</f>
        <v/>
      </c>
      <c r="X281" s="110" t="str">
        <f aca="false">IF(B281="","",IF(W281=1,"NR + industry + position",IF(W281=2,"NR + ISO + position",IF(W281=3,"NR + industry",IF(W281=4,"NR + ISO",IF(W281=5,"NR + position",IF(W281=6,"NR only","book baseline"))))))&amp;"  ["&amp;IF(T281=1,"seasoned","unseasoned")&amp;IF(U281=1,", defaulted","")&amp;IF(V281=1,", open","")&amp;"]")</f>
        <v/>
      </c>
    </row>
    <row r="282" customFormat="false" ht="15" hidden="false" customHeight="false" outlineLevel="0" collapsed="false">
      <c r="A282" s="110" t="n">
        <v>278</v>
      </c>
      <c r="B282" s="111" t="str">
        <f aca="false">IFERROR(INDEX('Historical Data'!$A$2:$A$9,MATCH($A282,'Historical Data'!$BE$2:$BE$9,0)),"")</f>
        <v/>
      </c>
      <c r="C282" s="111" t="str">
        <f aca="false">IFERROR(INDEX('Historical Data'!$B$2:$B$9,MATCH($A282,'Historical Data'!$BE$2:$BE$9,0)),"")</f>
        <v/>
      </c>
      <c r="D282" s="111" t="str">
        <f aca="false">IFERROR(INDEX('Historical Data'!$D$2:$D$9,MATCH($A282,'Historical Data'!$BE$2:$BE$9,0)),"")</f>
        <v/>
      </c>
      <c r="E282" s="112" t="str">
        <f aca="false">IFERROR(INDEX('Historical Data'!$E$2:$E$9,MATCH($A282,'Historical Data'!$BE$2:$BE$9,0)),"")</f>
        <v/>
      </c>
      <c r="F282" s="111" t="str">
        <f aca="false">IFERROR(INDEX('Historical Data'!$G$2:$G$9,MATCH($A282,'Historical Data'!$BE$2:$BE$9,0)),"")</f>
        <v/>
      </c>
      <c r="G282" s="111" t="str">
        <f aca="false">IFERROR(INDEX('Historical Data'!$Y$2:$Y$9,MATCH($A282,'Historical Data'!$BE$2:$BE$9,0)),"")</f>
        <v/>
      </c>
      <c r="H282" s="111" t="str">
        <f aca="false">IFERROR(INDEX('Historical Data'!$K$2:$K$9,MATCH($A282,'Historical Data'!$BE$2:$BE$9,0)),"")</f>
        <v/>
      </c>
      <c r="I282" s="111" t="str">
        <f aca="false">IFERROR(INDEX('Historical Data'!$J$2:$J$9,MATCH($A282,'Historical Data'!$BE$2:$BE$9,0)),"")</f>
        <v/>
      </c>
      <c r="J282" s="111" t="str">
        <f aca="false">IFERROR(INDEX('Historical Data'!$L$2:$L$9,MATCH($A282,'Historical Data'!$BE$2:$BE$9,0)),"")</f>
        <v/>
      </c>
      <c r="K282" s="113" t="str">
        <f aca="false">IFERROR(INDEX('Historical Data'!$M$2:$M$9,MATCH($A282,'Historical Data'!$BE$2:$BE$9,0)),"")</f>
        <v/>
      </c>
      <c r="L282" s="114" t="str">
        <f aca="false">IFERROR(INDEX('Historical Data'!$N$2:$N$9,MATCH($A282,'Historical Data'!$BE$2:$BE$9,0)),"")</f>
        <v/>
      </c>
      <c r="M282" s="114" t="str">
        <f aca="false">IFERROR(INDEX('Historical Data'!$Q$2:$Q$9,MATCH($A282,'Historical Data'!$BE$2:$BE$9,0)),"")</f>
        <v/>
      </c>
      <c r="N282" s="115" t="str">
        <f aca="false">IFERROR(INDEX('Historical Data'!$S$2:$S$9,MATCH($A282,'Historical Data'!$BE$2:$BE$9,0)),"")</f>
        <v/>
      </c>
      <c r="O282" s="114" t="str">
        <f aca="false">IFERROR(INDEX('Historical Data'!$AJ$2:$AJ$9,MATCH($A282,'Historical Data'!$BE$2:$BE$9,0)),"")</f>
        <v/>
      </c>
      <c r="P282" s="114" t="str">
        <f aca="false">IFERROR(INDEX('Historical Data'!$AK$2:$AK$9,MATCH($A282,'Historical Data'!$BE$2:$BE$9,0)),"")</f>
        <v/>
      </c>
      <c r="Q282" s="111" t="str">
        <f aca="false">IFERROR(INDEX('Historical Data'!$AA$2:$AA$9,MATCH($A282,'Historical Data'!$BE$2:$BE$9,0)),"")</f>
        <v/>
      </c>
      <c r="R282" s="111" t="str">
        <f aca="false">IFERROR(INDEX('Historical Data'!$AB$2:$AB$9,MATCH($A282,'Historical Data'!$BE$2:$BE$9,0)),"")</f>
        <v/>
      </c>
      <c r="S282" s="111" t="str">
        <f aca="false">IFERROR(INDEX('Historical Data'!$AN$2:$AN$9,MATCH($A282,'Historical Data'!$BE$2:$BE$9,0)),"")</f>
        <v/>
      </c>
      <c r="T282" s="111" t="str">
        <f aca="false">IFERROR(INDEX('Historical Data'!$AC$2:$AC$9,MATCH($A282,'Historical Data'!$BE$2:$BE$9,0)),"")</f>
        <v/>
      </c>
      <c r="U282" s="111" t="str">
        <f aca="false">IFERROR(INDEX('Historical Data'!$AE$2:$AE$9,MATCH($A282,'Historical Data'!$BE$2:$BE$9,0)),"")</f>
        <v/>
      </c>
      <c r="V282" s="111" t="str">
        <f aca="false">IFERROR(INDEX('Historical Data'!$AH$2:$AH$9,MATCH($A282,'Historical Data'!$BE$2:$BE$9,0)),"")</f>
        <v/>
      </c>
      <c r="W282" s="111" t="str">
        <f aca="false">IFERROR(INDEX('Historical Data'!$BC$2:$BC$9,MATCH($A282,'Historical Data'!$BE$2:$BE$9,0)),"")</f>
        <v/>
      </c>
      <c r="X282" s="110" t="str">
        <f aca="false">IF(B282="","",IF(W282=1,"NR + industry + position",IF(W282=2,"NR + ISO + position",IF(W282=3,"NR + industry",IF(W282=4,"NR + ISO",IF(W282=5,"NR + position",IF(W282=6,"NR only","book baseline"))))))&amp;"  ["&amp;IF(T282=1,"seasoned","unseasoned")&amp;IF(U282=1,", defaulted","")&amp;IF(V282=1,", open","")&amp;"]")</f>
        <v/>
      </c>
    </row>
    <row r="283" customFormat="false" ht="15" hidden="false" customHeight="false" outlineLevel="0" collapsed="false">
      <c r="A283" s="110" t="n">
        <v>279</v>
      </c>
      <c r="B283" s="111" t="str">
        <f aca="false">IFERROR(INDEX('Historical Data'!$A$2:$A$9,MATCH($A283,'Historical Data'!$BE$2:$BE$9,0)),"")</f>
        <v/>
      </c>
      <c r="C283" s="111" t="str">
        <f aca="false">IFERROR(INDEX('Historical Data'!$B$2:$B$9,MATCH($A283,'Historical Data'!$BE$2:$BE$9,0)),"")</f>
        <v/>
      </c>
      <c r="D283" s="111" t="str">
        <f aca="false">IFERROR(INDEX('Historical Data'!$D$2:$D$9,MATCH($A283,'Historical Data'!$BE$2:$BE$9,0)),"")</f>
        <v/>
      </c>
      <c r="E283" s="112" t="str">
        <f aca="false">IFERROR(INDEX('Historical Data'!$E$2:$E$9,MATCH($A283,'Historical Data'!$BE$2:$BE$9,0)),"")</f>
        <v/>
      </c>
      <c r="F283" s="111" t="str">
        <f aca="false">IFERROR(INDEX('Historical Data'!$G$2:$G$9,MATCH($A283,'Historical Data'!$BE$2:$BE$9,0)),"")</f>
        <v/>
      </c>
      <c r="G283" s="111" t="str">
        <f aca="false">IFERROR(INDEX('Historical Data'!$Y$2:$Y$9,MATCH($A283,'Historical Data'!$BE$2:$BE$9,0)),"")</f>
        <v/>
      </c>
      <c r="H283" s="111" t="str">
        <f aca="false">IFERROR(INDEX('Historical Data'!$K$2:$K$9,MATCH($A283,'Historical Data'!$BE$2:$BE$9,0)),"")</f>
        <v/>
      </c>
      <c r="I283" s="111" t="str">
        <f aca="false">IFERROR(INDEX('Historical Data'!$J$2:$J$9,MATCH($A283,'Historical Data'!$BE$2:$BE$9,0)),"")</f>
        <v/>
      </c>
      <c r="J283" s="111" t="str">
        <f aca="false">IFERROR(INDEX('Historical Data'!$L$2:$L$9,MATCH($A283,'Historical Data'!$BE$2:$BE$9,0)),"")</f>
        <v/>
      </c>
      <c r="K283" s="113" t="str">
        <f aca="false">IFERROR(INDEX('Historical Data'!$M$2:$M$9,MATCH($A283,'Historical Data'!$BE$2:$BE$9,0)),"")</f>
        <v/>
      </c>
      <c r="L283" s="114" t="str">
        <f aca="false">IFERROR(INDEX('Historical Data'!$N$2:$N$9,MATCH($A283,'Historical Data'!$BE$2:$BE$9,0)),"")</f>
        <v/>
      </c>
      <c r="M283" s="114" t="str">
        <f aca="false">IFERROR(INDEX('Historical Data'!$Q$2:$Q$9,MATCH($A283,'Historical Data'!$BE$2:$BE$9,0)),"")</f>
        <v/>
      </c>
      <c r="N283" s="115" t="str">
        <f aca="false">IFERROR(INDEX('Historical Data'!$S$2:$S$9,MATCH($A283,'Historical Data'!$BE$2:$BE$9,0)),"")</f>
        <v/>
      </c>
      <c r="O283" s="114" t="str">
        <f aca="false">IFERROR(INDEX('Historical Data'!$AJ$2:$AJ$9,MATCH($A283,'Historical Data'!$BE$2:$BE$9,0)),"")</f>
        <v/>
      </c>
      <c r="P283" s="114" t="str">
        <f aca="false">IFERROR(INDEX('Historical Data'!$AK$2:$AK$9,MATCH($A283,'Historical Data'!$BE$2:$BE$9,0)),"")</f>
        <v/>
      </c>
      <c r="Q283" s="111" t="str">
        <f aca="false">IFERROR(INDEX('Historical Data'!$AA$2:$AA$9,MATCH($A283,'Historical Data'!$BE$2:$BE$9,0)),"")</f>
        <v/>
      </c>
      <c r="R283" s="111" t="str">
        <f aca="false">IFERROR(INDEX('Historical Data'!$AB$2:$AB$9,MATCH($A283,'Historical Data'!$BE$2:$BE$9,0)),"")</f>
        <v/>
      </c>
      <c r="S283" s="111" t="str">
        <f aca="false">IFERROR(INDEX('Historical Data'!$AN$2:$AN$9,MATCH($A283,'Historical Data'!$BE$2:$BE$9,0)),"")</f>
        <v/>
      </c>
      <c r="T283" s="111" t="str">
        <f aca="false">IFERROR(INDEX('Historical Data'!$AC$2:$AC$9,MATCH($A283,'Historical Data'!$BE$2:$BE$9,0)),"")</f>
        <v/>
      </c>
      <c r="U283" s="111" t="str">
        <f aca="false">IFERROR(INDEX('Historical Data'!$AE$2:$AE$9,MATCH($A283,'Historical Data'!$BE$2:$BE$9,0)),"")</f>
        <v/>
      </c>
      <c r="V283" s="111" t="str">
        <f aca="false">IFERROR(INDEX('Historical Data'!$AH$2:$AH$9,MATCH($A283,'Historical Data'!$BE$2:$BE$9,0)),"")</f>
        <v/>
      </c>
      <c r="W283" s="111" t="str">
        <f aca="false">IFERROR(INDEX('Historical Data'!$BC$2:$BC$9,MATCH($A283,'Historical Data'!$BE$2:$BE$9,0)),"")</f>
        <v/>
      </c>
      <c r="X283" s="110" t="str">
        <f aca="false">IF(B283="","",IF(W283=1,"NR + industry + position",IF(W283=2,"NR + ISO + position",IF(W283=3,"NR + industry",IF(W283=4,"NR + ISO",IF(W283=5,"NR + position",IF(W283=6,"NR only","book baseline"))))))&amp;"  ["&amp;IF(T283=1,"seasoned","unseasoned")&amp;IF(U283=1,", defaulted","")&amp;IF(V283=1,", open","")&amp;"]")</f>
        <v/>
      </c>
    </row>
    <row r="284" customFormat="false" ht="15" hidden="false" customHeight="false" outlineLevel="0" collapsed="false">
      <c r="A284" s="110" t="n">
        <v>280</v>
      </c>
      <c r="B284" s="111" t="str">
        <f aca="false">IFERROR(INDEX('Historical Data'!$A$2:$A$9,MATCH($A284,'Historical Data'!$BE$2:$BE$9,0)),"")</f>
        <v/>
      </c>
      <c r="C284" s="111" t="str">
        <f aca="false">IFERROR(INDEX('Historical Data'!$B$2:$B$9,MATCH($A284,'Historical Data'!$BE$2:$BE$9,0)),"")</f>
        <v/>
      </c>
      <c r="D284" s="111" t="str">
        <f aca="false">IFERROR(INDEX('Historical Data'!$D$2:$D$9,MATCH($A284,'Historical Data'!$BE$2:$BE$9,0)),"")</f>
        <v/>
      </c>
      <c r="E284" s="112" t="str">
        <f aca="false">IFERROR(INDEX('Historical Data'!$E$2:$E$9,MATCH($A284,'Historical Data'!$BE$2:$BE$9,0)),"")</f>
        <v/>
      </c>
      <c r="F284" s="111" t="str">
        <f aca="false">IFERROR(INDEX('Historical Data'!$G$2:$G$9,MATCH($A284,'Historical Data'!$BE$2:$BE$9,0)),"")</f>
        <v/>
      </c>
      <c r="G284" s="111" t="str">
        <f aca="false">IFERROR(INDEX('Historical Data'!$Y$2:$Y$9,MATCH($A284,'Historical Data'!$BE$2:$BE$9,0)),"")</f>
        <v/>
      </c>
      <c r="H284" s="111" t="str">
        <f aca="false">IFERROR(INDEX('Historical Data'!$K$2:$K$9,MATCH($A284,'Historical Data'!$BE$2:$BE$9,0)),"")</f>
        <v/>
      </c>
      <c r="I284" s="111" t="str">
        <f aca="false">IFERROR(INDEX('Historical Data'!$J$2:$J$9,MATCH($A284,'Historical Data'!$BE$2:$BE$9,0)),"")</f>
        <v/>
      </c>
      <c r="J284" s="111" t="str">
        <f aca="false">IFERROR(INDEX('Historical Data'!$L$2:$L$9,MATCH($A284,'Historical Data'!$BE$2:$BE$9,0)),"")</f>
        <v/>
      </c>
      <c r="K284" s="113" t="str">
        <f aca="false">IFERROR(INDEX('Historical Data'!$M$2:$M$9,MATCH($A284,'Historical Data'!$BE$2:$BE$9,0)),"")</f>
        <v/>
      </c>
      <c r="L284" s="114" t="str">
        <f aca="false">IFERROR(INDEX('Historical Data'!$N$2:$N$9,MATCH($A284,'Historical Data'!$BE$2:$BE$9,0)),"")</f>
        <v/>
      </c>
      <c r="M284" s="114" t="str">
        <f aca="false">IFERROR(INDEX('Historical Data'!$Q$2:$Q$9,MATCH($A284,'Historical Data'!$BE$2:$BE$9,0)),"")</f>
        <v/>
      </c>
      <c r="N284" s="115" t="str">
        <f aca="false">IFERROR(INDEX('Historical Data'!$S$2:$S$9,MATCH($A284,'Historical Data'!$BE$2:$BE$9,0)),"")</f>
        <v/>
      </c>
      <c r="O284" s="114" t="str">
        <f aca="false">IFERROR(INDEX('Historical Data'!$AJ$2:$AJ$9,MATCH($A284,'Historical Data'!$BE$2:$BE$9,0)),"")</f>
        <v/>
      </c>
      <c r="P284" s="114" t="str">
        <f aca="false">IFERROR(INDEX('Historical Data'!$AK$2:$AK$9,MATCH($A284,'Historical Data'!$BE$2:$BE$9,0)),"")</f>
        <v/>
      </c>
      <c r="Q284" s="111" t="str">
        <f aca="false">IFERROR(INDEX('Historical Data'!$AA$2:$AA$9,MATCH($A284,'Historical Data'!$BE$2:$BE$9,0)),"")</f>
        <v/>
      </c>
      <c r="R284" s="111" t="str">
        <f aca="false">IFERROR(INDEX('Historical Data'!$AB$2:$AB$9,MATCH($A284,'Historical Data'!$BE$2:$BE$9,0)),"")</f>
        <v/>
      </c>
      <c r="S284" s="111" t="str">
        <f aca="false">IFERROR(INDEX('Historical Data'!$AN$2:$AN$9,MATCH($A284,'Historical Data'!$BE$2:$BE$9,0)),"")</f>
        <v/>
      </c>
      <c r="T284" s="111" t="str">
        <f aca="false">IFERROR(INDEX('Historical Data'!$AC$2:$AC$9,MATCH($A284,'Historical Data'!$BE$2:$BE$9,0)),"")</f>
        <v/>
      </c>
      <c r="U284" s="111" t="str">
        <f aca="false">IFERROR(INDEX('Historical Data'!$AE$2:$AE$9,MATCH($A284,'Historical Data'!$BE$2:$BE$9,0)),"")</f>
        <v/>
      </c>
      <c r="V284" s="111" t="str">
        <f aca="false">IFERROR(INDEX('Historical Data'!$AH$2:$AH$9,MATCH($A284,'Historical Data'!$BE$2:$BE$9,0)),"")</f>
        <v/>
      </c>
      <c r="W284" s="111" t="str">
        <f aca="false">IFERROR(INDEX('Historical Data'!$BC$2:$BC$9,MATCH($A284,'Historical Data'!$BE$2:$BE$9,0)),"")</f>
        <v/>
      </c>
      <c r="X284" s="110" t="str">
        <f aca="false">IF(B284="","",IF(W284=1,"NR + industry + position",IF(W284=2,"NR + ISO + position",IF(W284=3,"NR + industry",IF(W284=4,"NR + ISO",IF(W284=5,"NR + position",IF(W284=6,"NR only","book baseline"))))))&amp;"  ["&amp;IF(T284=1,"seasoned","unseasoned")&amp;IF(U284=1,", defaulted","")&amp;IF(V284=1,", open","")&amp;"]")</f>
        <v/>
      </c>
    </row>
    <row r="285" customFormat="false" ht="15" hidden="false" customHeight="false" outlineLevel="0" collapsed="false">
      <c r="A285" s="110" t="n">
        <v>281</v>
      </c>
      <c r="B285" s="111" t="str">
        <f aca="false">IFERROR(INDEX('Historical Data'!$A$2:$A$9,MATCH($A285,'Historical Data'!$BE$2:$BE$9,0)),"")</f>
        <v/>
      </c>
      <c r="C285" s="111" t="str">
        <f aca="false">IFERROR(INDEX('Historical Data'!$B$2:$B$9,MATCH($A285,'Historical Data'!$BE$2:$BE$9,0)),"")</f>
        <v/>
      </c>
      <c r="D285" s="111" t="str">
        <f aca="false">IFERROR(INDEX('Historical Data'!$D$2:$D$9,MATCH($A285,'Historical Data'!$BE$2:$BE$9,0)),"")</f>
        <v/>
      </c>
      <c r="E285" s="112" t="str">
        <f aca="false">IFERROR(INDEX('Historical Data'!$E$2:$E$9,MATCH($A285,'Historical Data'!$BE$2:$BE$9,0)),"")</f>
        <v/>
      </c>
      <c r="F285" s="111" t="str">
        <f aca="false">IFERROR(INDEX('Historical Data'!$G$2:$G$9,MATCH($A285,'Historical Data'!$BE$2:$BE$9,0)),"")</f>
        <v/>
      </c>
      <c r="G285" s="111" t="str">
        <f aca="false">IFERROR(INDEX('Historical Data'!$Y$2:$Y$9,MATCH($A285,'Historical Data'!$BE$2:$BE$9,0)),"")</f>
        <v/>
      </c>
      <c r="H285" s="111" t="str">
        <f aca="false">IFERROR(INDEX('Historical Data'!$K$2:$K$9,MATCH($A285,'Historical Data'!$BE$2:$BE$9,0)),"")</f>
        <v/>
      </c>
      <c r="I285" s="111" t="str">
        <f aca="false">IFERROR(INDEX('Historical Data'!$J$2:$J$9,MATCH($A285,'Historical Data'!$BE$2:$BE$9,0)),"")</f>
        <v/>
      </c>
      <c r="J285" s="111" t="str">
        <f aca="false">IFERROR(INDEX('Historical Data'!$L$2:$L$9,MATCH($A285,'Historical Data'!$BE$2:$BE$9,0)),"")</f>
        <v/>
      </c>
      <c r="K285" s="113" t="str">
        <f aca="false">IFERROR(INDEX('Historical Data'!$M$2:$M$9,MATCH($A285,'Historical Data'!$BE$2:$BE$9,0)),"")</f>
        <v/>
      </c>
      <c r="L285" s="114" t="str">
        <f aca="false">IFERROR(INDEX('Historical Data'!$N$2:$N$9,MATCH($A285,'Historical Data'!$BE$2:$BE$9,0)),"")</f>
        <v/>
      </c>
      <c r="M285" s="114" t="str">
        <f aca="false">IFERROR(INDEX('Historical Data'!$Q$2:$Q$9,MATCH($A285,'Historical Data'!$BE$2:$BE$9,0)),"")</f>
        <v/>
      </c>
      <c r="N285" s="115" t="str">
        <f aca="false">IFERROR(INDEX('Historical Data'!$S$2:$S$9,MATCH($A285,'Historical Data'!$BE$2:$BE$9,0)),"")</f>
        <v/>
      </c>
      <c r="O285" s="114" t="str">
        <f aca="false">IFERROR(INDEX('Historical Data'!$AJ$2:$AJ$9,MATCH($A285,'Historical Data'!$BE$2:$BE$9,0)),"")</f>
        <v/>
      </c>
      <c r="P285" s="114" t="str">
        <f aca="false">IFERROR(INDEX('Historical Data'!$AK$2:$AK$9,MATCH($A285,'Historical Data'!$BE$2:$BE$9,0)),"")</f>
        <v/>
      </c>
      <c r="Q285" s="111" t="str">
        <f aca="false">IFERROR(INDEX('Historical Data'!$AA$2:$AA$9,MATCH($A285,'Historical Data'!$BE$2:$BE$9,0)),"")</f>
        <v/>
      </c>
      <c r="R285" s="111" t="str">
        <f aca="false">IFERROR(INDEX('Historical Data'!$AB$2:$AB$9,MATCH($A285,'Historical Data'!$BE$2:$BE$9,0)),"")</f>
        <v/>
      </c>
      <c r="S285" s="111" t="str">
        <f aca="false">IFERROR(INDEX('Historical Data'!$AN$2:$AN$9,MATCH($A285,'Historical Data'!$BE$2:$BE$9,0)),"")</f>
        <v/>
      </c>
      <c r="T285" s="111" t="str">
        <f aca="false">IFERROR(INDEX('Historical Data'!$AC$2:$AC$9,MATCH($A285,'Historical Data'!$BE$2:$BE$9,0)),"")</f>
        <v/>
      </c>
      <c r="U285" s="111" t="str">
        <f aca="false">IFERROR(INDEX('Historical Data'!$AE$2:$AE$9,MATCH($A285,'Historical Data'!$BE$2:$BE$9,0)),"")</f>
        <v/>
      </c>
      <c r="V285" s="111" t="str">
        <f aca="false">IFERROR(INDEX('Historical Data'!$AH$2:$AH$9,MATCH($A285,'Historical Data'!$BE$2:$BE$9,0)),"")</f>
        <v/>
      </c>
      <c r="W285" s="111" t="str">
        <f aca="false">IFERROR(INDEX('Historical Data'!$BC$2:$BC$9,MATCH($A285,'Historical Data'!$BE$2:$BE$9,0)),"")</f>
        <v/>
      </c>
      <c r="X285" s="110" t="str">
        <f aca="false">IF(B285="","",IF(W285=1,"NR + industry + position",IF(W285=2,"NR + ISO + position",IF(W285=3,"NR + industry",IF(W285=4,"NR + ISO",IF(W285=5,"NR + position",IF(W285=6,"NR only","book baseline"))))))&amp;"  ["&amp;IF(T285=1,"seasoned","unseasoned")&amp;IF(U285=1,", defaulted","")&amp;IF(V285=1,", open","")&amp;"]")</f>
        <v/>
      </c>
    </row>
    <row r="286" customFormat="false" ht="15" hidden="false" customHeight="false" outlineLevel="0" collapsed="false">
      <c r="A286" s="110" t="n">
        <v>282</v>
      </c>
      <c r="B286" s="111" t="str">
        <f aca="false">IFERROR(INDEX('Historical Data'!$A$2:$A$9,MATCH($A286,'Historical Data'!$BE$2:$BE$9,0)),"")</f>
        <v/>
      </c>
      <c r="C286" s="111" t="str">
        <f aca="false">IFERROR(INDEX('Historical Data'!$B$2:$B$9,MATCH($A286,'Historical Data'!$BE$2:$BE$9,0)),"")</f>
        <v/>
      </c>
      <c r="D286" s="111" t="str">
        <f aca="false">IFERROR(INDEX('Historical Data'!$D$2:$D$9,MATCH($A286,'Historical Data'!$BE$2:$BE$9,0)),"")</f>
        <v/>
      </c>
      <c r="E286" s="112" t="str">
        <f aca="false">IFERROR(INDEX('Historical Data'!$E$2:$E$9,MATCH($A286,'Historical Data'!$BE$2:$BE$9,0)),"")</f>
        <v/>
      </c>
      <c r="F286" s="111" t="str">
        <f aca="false">IFERROR(INDEX('Historical Data'!$G$2:$G$9,MATCH($A286,'Historical Data'!$BE$2:$BE$9,0)),"")</f>
        <v/>
      </c>
      <c r="G286" s="111" t="str">
        <f aca="false">IFERROR(INDEX('Historical Data'!$Y$2:$Y$9,MATCH($A286,'Historical Data'!$BE$2:$BE$9,0)),"")</f>
        <v/>
      </c>
      <c r="H286" s="111" t="str">
        <f aca="false">IFERROR(INDEX('Historical Data'!$K$2:$K$9,MATCH($A286,'Historical Data'!$BE$2:$BE$9,0)),"")</f>
        <v/>
      </c>
      <c r="I286" s="111" t="str">
        <f aca="false">IFERROR(INDEX('Historical Data'!$J$2:$J$9,MATCH($A286,'Historical Data'!$BE$2:$BE$9,0)),"")</f>
        <v/>
      </c>
      <c r="J286" s="111" t="str">
        <f aca="false">IFERROR(INDEX('Historical Data'!$L$2:$L$9,MATCH($A286,'Historical Data'!$BE$2:$BE$9,0)),"")</f>
        <v/>
      </c>
      <c r="K286" s="113" t="str">
        <f aca="false">IFERROR(INDEX('Historical Data'!$M$2:$M$9,MATCH($A286,'Historical Data'!$BE$2:$BE$9,0)),"")</f>
        <v/>
      </c>
      <c r="L286" s="114" t="str">
        <f aca="false">IFERROR(INDEX('Historical Data'!$N$2:$N$9,MATCH($A286,'Historical Data'!$BE$2:$BE$9,0)),"")</f>
        <v/>
      </c>
      <c r="M286" s="114" t="str">
        <f aca="false">IFERROR(INDEX('Historical Data'!$Q$2:$Q$9,MATCH($A286,'Historical Data'!$BE$2:$BE$9,0)),"")</f>
        <v/>
      </c>
      <c r="N286" s="115" t="str">
        <f aca="false">IFERROR(INDEX('Historical Data'!$S$2:$S$9,MATCH($A286,'Historical Data'!$BE$2:$BE$9,0)),"")</f>
        <v/>
      </c>
      <c r="O286" s="114" t="str">
        <f aca="false">IFERROR(INDEX('Historical Data'!$AJ$2:$AJ$9,MATCH($A286,'Historical Data'!$BE$2:$BE$9,0)),"")</f>
        <v/>
      </c>
      <c r="P286" s="114" t="str">
        <f aca="false">IFERROR(INDEX('Historical Data'!$AK$2:$AK$9,MATCH($A286,'Historical Data'!$BE$2:$BE$9,0)),"")</f>
        <v/>
      </c>
      <c r="Q286" s="111" t="str">
        <f aca="false">IFERROR(INDEX('Historical Data'!$AA$2:$AA$9,MATCH($A286,'Historical Data'!$BE$2:$BE$9,0)),"")</f>
        <v/>
      </c>
      <c r="R286" s="111" t="str">
        <f aca="false">IFERROR(INDEX('Historical Data'!$AB$2:$AB$9,MATCH($A286,'Historical Data'!$BE$2:$BE$9,0)),"")</f>
        <v/>
      </c>
      <c r="S286" s="111" t="str">
        <f aca="false">IFERROR(INDEX('Historical Data'!$AN$2:$AN$9,MATCH($A286,'Historical Data'!$BE$2:$BE$9,0)),"")</f>
        <v/>
      </c>
      <c r="T286" s="111" t="str">
        <f aca="false">IFERROR(INDEX('Historical Data'!$AC$2:$AC$9,MATCH($A286,'Historical Data'!$BE$2:$BE$9,0)),"")</f>
        <v/>
      </c>
      <c r="U286" s="111" t="str">
        <f aca="false">IFERROR(INDEX('Historical Data'!$AE$2:$AE$9,MATCH($A286,'Historical Data'!$BE$2:$BE$9,0)),"")</f>
        <v/>
      </c>
      <c r="V286" s="111" t="str">
        <f aca="false">IFERROR(INDEX('Historical Data'!$AH$2:$AH$9,MATCH($A286,'Historical Data'!$BE$2:$BE$9,0)),"")</f>
        <v/>
      </c>
      <c r="W286" s="111" t="str">
        <f aca="false">IFERROR(INDEX('Historical Data'!$BC$2:$BC$9,MATCH($A286,'Historical Data'!$BE$2:$BE$9,0)),"")</f>
        <v/>
      </c>
      <c r="X286" s="110" t="str">
        <f aca="false">IF(B286="","",IF(W286=1,"NR + industry + position",IF(W286=2,"NR + ISO + position",IF(W286=3,"NR + industry",IF(W286=4,"NR + ISO",IF(W286=5,"NR + position",IF(W286=6,"NR only","book baseline"))))))&amp;"  ["&amp;IF(T286=1,"seasoned","unseasoned")&amp;IF(U286=1,", defaulted","")&amp;IF(V286=1,", open","")&amp;"]")</f>
        <v/>
      </c>
    </row>
    <row r="287" customFormat="false" ht="15" hidden="false" customHeight="false" outlineLevel="0" collapsed="false">
      <c r="A287" s="110" t="n">
        <v>283</v>
      </c>
      <c r="B287" s="111" t="str">
        <f aca="false">IFERROR(INDEX('Historical Data'!$A$2:$A$9,MATCH($A287,'Historical Data'!$BE$2:$BE$9,0)),"")</f>
        <v/>
      </c>
      <c r="C287" s="111" t="str">
        <f aca="false">IFERROR(INDEX('Historical Data'!$B$2:$B$9,MATCH($A287,'Historical Data'!$BE$2:$BE$9,0)),"")</f>
        <v/>
      </c>
      <c r="D287" s="111" t="str">
        <f aca="false">IFERROR(INDEX('Historical Data'!$D$2:$D$9,MATCH($A287,'Historical Data'!$BE$2:$BE$9,0)),"")</f>
        <v/>
      </c>
      <c r="E287" s="112" t="str">
        <f aca="false">IFERROR(INDEX('Historical Data'!$E$2:$E$9,MATCH($A287,'Historical Data'!$BE$2:$BE$9,0)),"")</f>
        <v/>
      </c>
      <c r="F287" s="111" t="str">
        <f aca="false">IFERROR(INDEX('Historical Data'!$G$2:$G$9,MATCH($A287,'Historical Data'!$BE$2:$BE$9,0)),"")</f>
        <v/>
      </c>
      <c r="G287" s="111" t="str">
        <f aca="false">IFERROR(INDEX('Historical Data'!$Y$2:$Y$9,MATCH($A287,'Historical Data'!$BE$2:$BE$9,0)),"")</f>
        <v/>
      </c>
      <c r="H287" s="111" t="str">
        <f aca="false">IFERROR(INDEX('Historical Data'!$K$2:$K$9,MATCH($A287,'Historical Data'!$BE$2:$BE$9,0)),"")</f>
        <v/>
      </c>
      <c r="I287" s="111" t="str">
        <f aca="false">IFERROR(INDEX('Historical Data'!$J$2:$J$9,MATCH($A287,'Historical Data'!$BE$2:$BE$9,0)),"")</f>
        <v/>
      </c>
      <c r="J287" s="111" t="str">
        <f aca="false">IFERROR(INDEX('Historical Data'!$L$2:$L$9,MATCH($A287,'Historical Data'!$BE$2:$BE$9,0)),"")</f>
        <v/>
      </c>
      <c r="K287" s="113" t="str">
        <f aca="false">IFERROR(INDEX('Historical Data'!$M$2:$M$9,MATCH($A287,'Historical Data'!$BE$2:$BE$9,0)),"")</f>
        <v/>
      </c>
      <c r="L287" s="114" t="str">
        <f aca="false">IFERROR(INDEX('Historical Data'!$N$2:$N$9,MATCH($A287,'Historical Data'!$BE$2:$BE$9,0)),"")</f>
        <v/>
      </c>
      <c r="M287" s="114" t="str">
        <f aca="false">IFERROR(INDEX('Historical Data'!$Q$2:$Q$9,MATCH($A287,'Historical Data'!$BE$2:$BE$9,0)),"")</f>
        <v/>
      </c>
      <c r="N287" s="115" t="str">
        <f aca="false">IFERROR(INDEX('Historical Data'!$S$2:$S$9,MATCH($A287,'Historical Data'!$BE$2:$BE$9,0)),"")</f>
        <v/>
      </c>
      <c r="O287" s="114" t="str">
        <f aca="false">IFERROR(INDEX('Historical Data'!$AJ$2:$AJ$9,MATCH($A287,'Historical Data'!$BE$2:$BE$9,0)),"")</f>
        <v/>
      </c>
      <c r="P287" s="114" t="str">
        <f aca="false">IFERROR(INDEX('Historical Data'!$AK$2:$AK$9,MATCH($A287,'Historical Data'!$BE$2:$BE$9,0)),"")</f>
        <v/>
      </c>
      <c r="Q287" s="111" t="str">
        <f aca="false">IFERROR(INDEX('Historical Data'!$AA$2:$AA$9,MATCH($A287,'Historical Data'!$BE$2:$BE$9,0)),"")</f>
        <v/>
      </c>
      <c r="R287" s="111" t="str">
        <f aca="false">IFERROR(INDEX('Historical Data'!$AB$2:$AB$9,MATCH($A287,'Historical Data'!$BE$2:$BE$9,0)),"")</f>
        <v/>
      </c>
      <c r="S287" s="111" t="str">
        <f aca="false">IFERROR(INDEX('Historical Data'!$AN$2:$AN$9,MATCH($A287,'Historical Data'!$BE$2:$BE$9,0)),"")</f>
        <v/>
      </c>
      <c r="T287" s="111" t="str">
        <f aca="false">IFERROR(INDEX('Historical Data'!$AC$2:$AC$9,MATCH($A287,'Historical Data'!$BE$2:$BE$9,0)),"")</f>
        <v/>
      </c>
      <c r="U287" s="111" t="str">
        <f aca="false">IFERROR(INDEX('Historical Data'!$AE$2:$AE$9,MATCH($A287,'Historical Data'!$BE$2:$BE$9,0)),"")</f>
        <v/>
      </c>
      <c r="V287" s="111" t="str">
        <f aca="false">IFERROR(INDEX('Historical Data'!$AH$2:$AH$9,MATCH($A287,'Historical Data'!$BE$2:$BE$9,0)),"")</f>
        <v/>
      </c>
      <c r="W287" s="111" t="str">
        <f aca="false">IFERROR(INDEX('Historical Data'!$BC$2:$BC$9,MATCH($A287,'Historical Data'!$BE$2:$BE$9,0)),"")</f>
        <v/>
      </c>
      <c r="X287" s="110" t="str">
        <f aca="false">IF(B287="","",IF(W287=1,"NR + industry + position",IF(W287=2,"NR + ISO + position",IF(W287=3,"NR + industry",IF(W287=4,"NR + ISO",IF(W287=5,"NR + position",IF(W287=6,"NR only","book baseline"))))))&amp;"  ["&amp;IF(T287=1,"seasoned","unseasoned")&amp;IF(U287=1,", defaulted","")&amp;IF(V287=1,", open","")&amp;"]")</f>
        <v/>
      </c>
    </row>
    <row r="288" customFormat="false" ht="15" hidden="false" customHeight="false" outlineLevel="0" collapsed="false">
      <c r="A288" s="110" t="n">
        <v>284</v>
      </c>
      <c r="B288" s="111" t="str">
        <f aca="false">IFERROR(INDEX('Historical Data'!$A$2:$A$9,MATCH($A288,'Historical Data'!$BE$2:$BE$9,0)),"")</f>
        <v/>
      </c>
      <c r="C288" s="111" t="str">
        <f aca="false">IFERROR(INDEX('Historical Data'!$B$2:$B$9,MATCH($A288,'Historical Data'!$BE$2:$BE$9,0)),"")</f>
        <v/>
      </c>
      <c r="D288" s="111" t="str">
        <f aca="false">IFERROR(INDEX('Historical Data'!$D$2:$D$9,MATCH($A288,'Historical Data'!$BE$2:$BE$9,0)),"")</f>
        <v/>
      </c>
      <c r="E288" s="112" t="str">
        <f aca="false">IFERROR(INDEX('Historical Data'!$E$2:$E$9,MATCH($A288,'Historical Data'!$BE$2:$BE$9,0)),"")</f>
        <v/>
      </c>
      <c r="F288" s="111" t="str">
        <f aca="false">IFERROR(INDEX('Historical Data'!$G$2:$G$9,MATCH($A288,'Historical Data'!$BE$2:$BE$9,0)),"")</f>
        <v/>
      </c>
      <c r="G288" s="111" t="str">
        <f aca="false">IFERROR(INDEX('Historical Data'!$Y$2:$Y$9,MATCH($A288,'Historical Data'!$BE$2:$BE$9,0)),"")</f>
        <v/>
      </c>
      <c r="H288" s="111" t="str">
        <f aca="false">IFERROR(INDEX('Historical Data'!$K$2:$K$9,MATCH($A288,'Historical Data'!$BE$2:$BE$9,0)),"")</f>
        <v/>
      </c>
      <c r="I288" s="111" t="str">
        <f aca="false">IFERROR(INDEX('Historical Data'!$J$2:$J$9,MATCH($A288,'Historical Data'!$BE$2:$BE$9,0)),"")</f>
        <v/>
      </c>
      <c r="J288" s="111" t="str">
        <f aca="false">IFERROR(INDEX('Historical Data'!$L$2:$L$9,MATCH($A288,'Historical Data'!$BE$2:$BE$9,0)),"")</f>
        <v/>
      </c>
      <c r="K288" s="113" t="str">
        <f aca="false">IFERROR(INDEX('Historical Data'!$M$2:$M$9,MATCH($A288,'Historical Data'!$BE$2:$BE$9,0)),"")</f>
        <v/>
      </c>
      <c r="L288" s="114" t="str">
        <f aca="false">IFERROR(INDEX('Historical Data'!$N$2:$N$9,MATCH($A288,'Historical Data'!$BE$2:$BE$9,0)),"")</f>
        <v/>
      </c>
      <c r="M288" s="114" t="str">
        <f aca="false">IFERROR(INDEX('Historical Data'!$Q$2:$Q$9,MATCH($A288,'Historical Data'!$BE$2:$BE$9,0)),"")</f>
        <v/>
      </c>
      <c r="N288" s="115" t="str">
        <f aca="false">IFERROR(INDEX('Historical Data'!$S$2:$S$9,MATCH($A288,'Historical Data'!$BE$2:$BE$9,0)),"")</f>
        <v/>
      </c>
      <c r="O288" s="114" t="str">
        <f aca="false">IFERROR(INDEX('Historical Data'!$AJ$2:$AJ$9,MATCH($A288,'Historical Data'!$BE$2:$BE$9,0)),"")</f>
        <v/>
      </c>
      <c r="P288" s="114" t="str">
        <f aca="false">IFERROR(INDEX('Historical Data'!$AK$2:$AK$9,MATCH($A288,'Historical Data'!$BE$2:$BE$9,0)),"")</f>
        <v/>
      </c>
      <c r="Q288" s="111" t="str">
        <f aca="false">IFERROR(INDEX('Historical Data'!$AA$2:$AA$9,MATCH($A288,'Historical Data'!$BE$2:$BE$9,0)),"")</f>
        <v/>
      </c>
      <c r="R288" s="111" t="str">
        <f aca="false">IFERROR(INDEX('Historical Data'!$AB$2:$AB$9,MATCH($A288,'Historical Data'!$BE$2:$BE$9,0)),"")</f>
        <v/>
      </c>
      <c r="S288" s="111" t="str">
        <f aca="false">IFERROR(INDEX('Historical Data'!$AN$2:$AN$9,MATCH($A288,'Historical Data'!$BE$2:$BE$9,0)),"")</f>
        <v/>
      </c>
      <c r="T288" s="111" t="str">
        <f aca="false">IFERROR(INDEX('Historical Data'!$AC$2:$AC$9,MATCH($A288,'Historical Data'!$BE$2:$BE$9,0)),"")</f>
        <v/>
      </c>
      <c r="U288" s="111" t="str">
        <f aca="false">IFERROR(INDEX('Historical Data'!$AE$2:$AE$9,MATCH($A288,'Historical Data'!$BE$2:$BE$9,0)),"")</f>
        <v/>
      </c>
      <c r="V288" s="111" t="str">
        <f aca="false">IFERROR(INDEX('Historical Data'!$AH$2:$AH$9,MATCH($A288,'Historical Data'!$BE$2:$BE$9,0)),"")</f>
        <v/>
      </c>
      <c r="W288" s="111" t="str">
        <f aca="false">IFERROR(INDEX('Historical Data'!$BC$2:$BC$9,MATCH($A288,'Historical Data'!$BE$2:$BE$9,0)),"")</f>
        <v/>
      </c>
      <c r="X288" s="110" t="str">
        <f aca="false">IF(B288="","",IF(W288=1,"NR + industry + position",IF(W288=2,"NR + ISO + position",IF(W288=3,"NR + industry",IF(W288=4,"NR + ISO",IF(W288=5,"NR + position",IF(W288=6,"NR only","book baseline"))))))&amp;"  ["&amp;IF(T288=1,"seasoned","unseasoned")&amp;IF(U288=1,", defaulted","")&amp;IF(V288=1,", open","")&amp;"]")</f>
        <v/>
      </c>
    </row>
    <row r="289" customFormat="false" ht="15" hidden="false" customHeight="false" outlineLevel="0" collapsed="false">
      <c r="A289" s="110" t="n">
        <v>285</v>
      </c>
      <c r="B289" s="111" t="str">
        <f aca="false">IFERROR(INDEX('Historical Data'!$A$2:$A$9,MATCH($A289,'Historical Data'!$BE$2:$BE$9,0)),"")</f>
        <v/>
      </c>
      <c r="C289" s="111" t="str">
        <f aca="false">IFERROR(INDEX('Historical Data'!$B$2:$B$9,MATCH($A289,'Historical Data'!$BE$2:$BE$9,0)),"")</f>
        <v/>
      </c>
      <c r="D289" s="111" t="str">
        <f aca="false">IFERROR(INDEX('Historical Data'!$D$2:$D$9,MATCH($A289,'Historical Data'!$BE$2:$BE$9,0)),"")</f>
        <v/>
      </c>
      <c r="E289" s="112" t="str">
        <f aca="false">IFERROR(INDEX('Historical Data'!$E$2:$E$9,MATCH($A289,'Historical Data'!$BE$2:$BE$9,0)),"")</f>
        <v/>
      </c>
      <c r="F289" s="111" t="str">
        <f aca="false">IFERROR(INDEX('Historical Data'!$G$2:$G$9,MATCH($A289,'Historical Data'!$BE$2:$BE$9,0)),"")</f>
        <v/>
      </c>
      <c r="G289" s="111" t="str">
        <f aca="false">IFERROR(INDEX('Historical Data'!$Y$2:$Y$9,MATCH($A289,'Historical Data'!$BE$2:$BE$9,0)),"")</f>
        <v/>
      </c>
      <c r="H289" s="111" t="str">
        <f aca="false">IFERROR(INDEX('Historical Data'!$K$2:$K$9,MATCH($A289,'Historical Data'!$BE$2:$BE$9,0)),"")</f>
        <v/>
      </c>
      <c r="I289" s="111" t="str">
        <f aca="false">IFERROR(INDEX('Historical Data'!$J$2:$J$9,MATCH($A289,'Historical Data'!$BE$2:$BE$9,0)),"")</f>
        <v/>
      </c>
      <c r="J289" s="111" t="str">
        <f aca="false">IFERROR(INDEX('Historical Data'!$L$2:$L$9,MATCH($A289,'Historical Data'!$BE$2:$BE$9,0)),"")</f>
        <v/>
      </c>
      <c r="K289" s="113" t="str">
        <f aca="false">IFERROR(INDEX('Historical Data'!$M$2:$M$9,MATCH($A289,'Historical Data'!$BE$2:$BE$9,0)),"")</f>
        <v/>
      </c>
      <c r="L289" s="114" t="str">
        <f aca="false">IFERROR(INDEX('Historical Data'!$N$2:$N$9,MATCH($A289,'Historical Data'!$BE$2:$BE$9,0)),"")</f>
        <v/>
      </c>
      <c r="M289" s="114" t="str">
        <f aca="false">IFERROR(INDEX('Historical Data'!$Q$2:$Q$9,MATCH($A289,'Historical Data'!$BE$2:$BE$9,0)),"")</f>
        <v/>
      </c>
      <c r="N289" s="115" t="str">
        <f aca="false">IFERROR(INDEX('Historical Data'!$S$2:$S$9,MATCH($A289,'Historical Data'!$BE$2:$BE$9,0)),"")</f>
        <v/>
      </c>
      <c r="O289" s="114" t="str">
        <f aca="false">IFERROR(INDEX('Historical Data'!$AJ$2:$AJ$9,MATCH($A289,'Historical Data'!$BE$2:$BE$9,0)),"")</f>
        <v/>
      </c>
      <c r="P289" s="114" t="str">
        <f aca="false">IFERROR(INDEX('Historical Data'!$AK$2:$AK$9,MATCH($A289,'Historical Data'!$BE$2:$BE$9,0)),"")</f>
        <v/>
      </c>
      <c r="Q289" s="111" t="str">
        <f aca="false">IFERROR(INDEX('Historical Data'!$AA$2:$AA$9,MATCH($A289,'Historical Data'!$BE$2:$BE$9,0)),"")</f>
        <v/>
      </c>
      <c r="R289" s="111" t="str">
        <f aca="false">IFERROR(INDEX('Historical Data'!$AB$2:$AB$9,MATCH($A289,'Historical Data'!$BE$2:$BE$9,0)),"")</f>
        <v/>
      </c>
      <c r="S289" s="111" t="str">
        <f aca="false">IFERROR(INDEX('Historical Data'!$AN$2:$AN$9,MATCH($A289,'Historical Data'!$BE$2:$BE$9,0)),"")</f>
        <v/>
      </c>
      <c r="T289" s="111" t="str">
        <f aca="false">IFERROR(INDEX('Historical Data'!$AC$2:$AC$9,MATCH($A289,'Historical Data'!$BE$2:$BE$9,0)),"")</f>
        <v/>
      </c>
      <c r="U289" s="111" t="str">
        <f aca="false">IFERROR(INDEX('Historical Data'!$AE$2:$AE$9,MATCH($A289,'Historical Data'!$BE$2:$BE$9,0)),"")</f>
        <v/>
      </c>
      <c r="V289" s="111" t="str">
        <f aca="false">IFERROR(INDEX('Historical Data'!$AH$2:$AH$9,MATCH($A289,'Historical Data'!$BE$2:$BE$9,0)),"")</f>
        <v/>
      </c>
      <c r="W289" s="111" t="str">
        <f aca="false">IFERROR(INDEX('Historical Data'!$BC$2:$BC$9,MATCH($A289,'Historical Data'!$BE$2:$BE$9,0)),"")</f>
        <v/>
      </c>
      <c r="X289" s="110" t="str">
        <f aca="false">IF(B289="","",IF(W289=1,"NR + industry + position",IF(W289=2,"NR + ISO + position",IF(W289=3,"NR + industry",IF(W289=4,"NR + ISO",IF(W289=5,"NR + position",IF(W289=6,"NR only","book baseline"))))))&amp;"  ["&amp;IF(T289=1,"seasoned","unseasoned")&amp;IF(U289=1,", defaulted","")&amp;IF(V289=1,", open","")&amp;"]")</f>
        <v/>
      </c>
    </row>
    <row r="290" customFormat="false" ht="15" hidden="false" customHeight="false" outlineLevel="0" collapsed="false">
      <c r="A290" s="110" t="n">
        <v>286</v>
      </c>
      <c r="B290" s="111" t="str">
        <f aca="false">IFERROR(INDEX('Historical Data'!$A$2:$A$9,MATCH($A290,'Historical Data'!$BE$2:$BE$9,0)),"")</f>
        <v/>
      </c>
      <c r="C290" s="111" t="str">
        <f aca="false">IFERROR(INDEX('Historical Data'!$B$2:$B$9,MATCH($A290,'Historical Data'!$BE$2:$BE$9,0)),"")</f>
        <v/>
      </c>
      <c r="D290" s="111" t="str">
        <f aca="false">IFERROR(INDEX('Historical Data'!$D$2:$D$9,MATCH($A290,'Historical Data'!$BE$2:$BE$9,0)),"")</f>
        <v/>
      </c>
      <c r="E290" s="112" t="str">
        <f aca="false">IFERROR(INDEX('Historical Data'!$E$2:$E$9,MATCH($A290,'Historical Data'!$BE$2:$BE$9,0)),"")</f>
        <v/>
      </c>
      <c r="F290" s="111" t="str">
        <f aca="false">IFERROR(INDEX('Historical Data'!$G$2:$G$9,MATCH($A290,'Historical Data'!$BE$2:$BE$9,0)),"")</f>
        <v/>
      </c>
      <c r="G290" s="111" t="str">
        <f aca="false">IFERROR(INDEX('Historical Data'!$Y$2:$Y$9,MATCH($A290,'Historical Data'!$BE$2:$BE$9,0)),"")</f>
        <v/>
      </c>
      <c r="H290" s="111" t="str">
        <f aca="false">IFERROR(INDEX('Historical Data'!$K$2:$K$9,MATCH($A290,'Historical Data'!$BE$2:$BE$9,0)),"")</f>
        <v/>
      </c>
      <c r="I290" s="111" t="str">
        <f aca="false">IFERROR(INDEX('Historical Data'!$J$2:$J$9,MATCH($A290,'Historical Data'!$BE$2:$BE$9,0)),"")</f>
        <v/>
      </c>
      <c r="J290" s="111" t="str">
        <f aca="false">IFERROR(INDEX('Historical Data'!$L$2:$L$9,MATCH($A290,'Historical Data'!$BE$2:$BE$9,0)),"")</f>
        <v/>
      </c>
      <c r="K290" s="113" t="str">
        <f aca="false">IFERROR(INDEX('Historical Data'!$M$2:$M$9,MATCH($A290,'Historical Data'!$BE$2:$BE$9,0)),"")</f>
        <v/>
      </c>
      <c r="L290" s="114" t="str">
        <f aca="false">IFERROR(INDEX('Historical Data'!$N$2:$N$9,MATCH($A290,'Historical Data'!$BE$2:$BE$9,0)),"")</f>
        <v/>
      </c>
      <c r="M290" s="114" t="str">
        <f aca="false">IFERROR(INDEX('Historical Data'!$Q$2:$Q$9,MATCH($A290,'Historical Data'!$BE$2:$BE$9,0)),"")</f>
        <v/>
      </c>
      <c r="N290" s="115" t="str">
        <f aca="false">IFERROR(INDEX('Historical Data'!$S$2:$S$9,MATCH($A290,'Historical Data'!$BE$2:$BE$9,0)),"")</f>
        <v/>
      </c>
      <c r="O290" s="114" t="str">
        <f aca="false">IFERROR(INDEX('Historical Data'!$AJ$2:$AJ$9,MATCH($A290,'Historical Data'!$BE$2:$BE$9,0)),"")</f>
        <v/>
      </c>
      <c r="P290" s="114" t="str">
        <f aca="false">IFERROR(INDEX('Historical Data'!$AK$2:$AK$9,MATCH($A290,'Historical Data'!$BE$2:$BE$9,0)),"")</f>
        <v/>
      </c>
      <c r="Q290" s="111" t="str">
        <f aca="false">IFERROR(INDEX('Historical Data'!$AA$2:$AA$9,MATCH($A290,'Historical Data'!$BE$2:$BE$9,0)),"")</f>
        <v/>
      </c>
      <c r="R290" s="111" t="str">
        <f aca="false">IFERROR(INDEX('Historical Data'!$AB$2:$AB$9,MATCH($A290,'Historical Data'!$BE$2:$BE$9,0)),"")</f>
        <v/>
      </c>
      <c r="S290" s="111" t="str">
        <f aca="false">IFERROR(INDEX('Historical Data'!$AN$2:$AN$9,MATCH($A290,'Historical Data'!$BE$2:$BE$9,0)),"")</f>
        <v/>
      </c>
      <c r="T290" s="111" t="str">
        <f aca="false">IFERROR(INDEX('Historical Data'!$AC$2:$AC$9,MATCH($A290,'Historical Data'!$BE$2:$BE$9,0)),"")</f>
        <v/>
      </c>
      <c r="U290" s="111" t="str">
        <f aca="false">IFERROR(INDEX('Historical Data'!$AE$2:$AE$9,MATCH($A290,'Historical Data'!$BE$2:$BE$9,0)),"")</f>
        <v/>
      </c>
      <c r="V290" s="111" t="str">
        <f aca="false">IFERROR(INDEX('Historical Data'!$AH$2:$AH$9,MATCH($A290,'Historical Data'!$BE$2:$BE$9,0)),"")</f>
        <v/>
      </c>
      <c r="W290" s="111" t="str">
        <f aca="false">IFERROR(INDEX('Historical Data'!$BC$2:$BC$9,MATCH($A290,'Historical Data'!$BE$2:$BE$9,0)),"")</f>
        <v/>
      </c>
      <c r="X290" s="110" t="str">
        <f aca="false">IF(B290="","",IF(W290=1,"NR + industry + position",IF(W290=2,"NR + ISO + position",IF(W290=3,"NR + industry",IF(W290=4,"NR + ISO",IF(W290=5,"NR + position",IF(W290=6,"NR only","book baseline"))))))&amp;"  ["&amp;IF(T290=1,"seasoned","unseasoned")&amp;IF(U290=1,", defaulted","")&amp;IF(V290=1,", open","")&amp;"]")</f>
        <v/>
      </c>
    </row>
    <row r="291" customFormat="false" ht="15" hidden="false" customHeight="false" outlineLevel="0" collapsed="false">
      <c r="A291" s="110" t="n">
        <v>287</v>
      </c>
      <c r="B291" s="111" t="str">
        <f aca="false">IFERROR(INDEX('Historical Data'!$A$2:$A$9,MATCH($A291,'Historical Data'!$BE$2:$BE$9,0)),"")</f>
        <v/>
      </c>
      <c r="C291" s="111" t="str">
        <f aca="false">IFERROR(INDEX('Historical Data'!$B$2:$B$9,MATCH($A291,'Historical Data'!$BE$2:$BE$9,0)),"")</f>
        <v/>
      </c>
      <c r="D291" s="111" t="str">
        <f aca="false">IFERROR(INDEX('Historical Data'!$D$2:$D$9,MATCH($A291,'Historical Data'!$BE$2:$BE$9,0)),"")</f>
        <v/>
      </c>
      <c r="E291" s="112" t="str">
        <f aca="false">IFERROR(INDEX('Historical Data'!$E$2:$E$9,MATCH($A291,'Historical Data'!$BE$2:$BE$9,0)),"")</f>
        <v/>
      </c>
      <c r="F291" s="111" t="str">
        <f aca="false">IFERROR(INDEX('Historical Data'!$G$2:$G$9,MATCH($A291,'Historical Data'!$BE$2:$BE$9,0)),"")</f>
        <v/>
      </c>
      <c r="G291" s="111" t="str">
        <f aca="false">IFERROR(INDEX('Historical Data'!$Y$2:$Y$9,MATCH($A291,'Historical Data'!$BE$2:$BE$9,0)),"")</f>
        <v/>
      </c>
      <c r="H291" s="111" t="str">
        <f aca="false">IFERROR(INDEX('Historical Data'!$K$2:$K$9,MATCH($A291,'Historical Data'!$BE$2:$BE$9,0)),"")</f>
        <v/>
      </c>
      <c r="I291" s="111" t="str">
        <f aca="false">IFERROR(INDEX('Historical Data'!$J$2:$J$9,MATCH($A291,'Historical Data'!$BE$2:$BE$9,0)),"")</f>
        <v/>
      </c>
      <c r="J291" s="111" t="str">
        <f aca="false">IFERROR(INDEX('Historical Data'!$L$2:$L$9,MATCH($A291,'Historical Data'!$BE$2:$BE$9,0)),"")</f>
        <v/>
      </c>
      <c r="K291" s="113" t="str">
        <f aca="false">IFERROR(INDEX('Historical Data'!$M$2:$M$9,MATCH($A291,'Historical Data'!$BE$2:$BE$9,0)),"")</f>
        <v/>
      </c>
      <c r="L291" s="114" t="str">
        <f aca="false">IFERROR(INDEX('Historical Data'!$N$2:$N$9,MATCH($A291,'Historical Data'!$BE$2:$BE$9,0)),"")</f>
        <v/>
      </c>
      <c r="M291" s="114" t="str">
        <f aca="false">IFERROR(INDEX('Historical Data'!$Q$2:$Q$9,MATCH($A291,'Historical Data'!$BE$2:$BE$9,0)),"")</f>
        <v/>
      </c>
      <c r="N291" s="115" t="str">
        <f aca="false">IFERROR(INDEX('Historical Data'!$S$2:$S$9,MATCH($A291,'Historical Data'!$BE$2:$BE$9,0)),"")</f>
        <v/>
      </c>
      <c r="O291" s="114" t="str">
        <f aca="false">IFERROR(INDEX('Historical Data'!$AJ$2:$AJ$9,MATCH($A291,'Historical Data'!$BE$2:$BE$9,0)),"")</f>
        <v/>
      </c>
      <c r="P291" s="114" t="str">
        <f aca="false">IFERROR(INDEX('Historical Data'!$AK$2:$AK$9,MATCH($A291,'Historical Data'!$BE$2:$BE$9,0)),"")</f>
        <v/>
      </c>
      <c r="Q291" s="111" t="str">
        <f aca="false">IFERROR(INDEX('Historical Data'!$AA$2:$AA$9,MATCH($A291,'Historical Data'!$BE$2:$BE$9,0)),"")</f>
        <v/>
      </c>
      <c r="R291" s="111" t="str">
        <f aca="false">IFERROR(INDEX('Historical Data'!$AB$2:$AB$9,MATCH($A291,'Historical Data'!$BE$2:$BE$9,0)),"")</f>
        <v/>
      </c>
      <c r="S291" s="111" t="str">
        <f aca="false">IFERROR(INDEX('Historical Data'!$AN$2:$AN$9,MATCH($A291,'Historical Data'!$BE$2:$BE$9,0)),"")</f>
        <v/>
      </c>
      <c r="T291" s="111" t="str">
        <f aca="false">IFERROR(INDEX('Historical Data'!$AC$2:$AC$9,MATCH($A291,'Historical Data'!$BE$2:$BE$9,0)),"")</f>
        <v/>
      </c>
      <c r="U291" s="111" t="str">
        <f aca="false">IFERROR(INDEX('Historical Data'!$AE$2:$AE$9,MATCH($A291,'Historical Data'!$BE$2:$BE$9,0)),"")</f>
        <v/>
      </c>
      <c r="V291" s="111" t="str">
        <f aca="false">IFERROR(INDEX('Historical Data'!$AH$2:$AH$9,MATCH($A291,'Historical Data'!$BE$2:$BE$9,0)),"")</f>
        <v/>
      </c>
      <c r="W291" s="111" t="str">
        <f aca="false">IFERROR(INDEX('Historical Data'!$BC$2:$BC$9,MATCH($A291,'Historical Data'!$BE$2:$BE$9,0)),"")</f>
        <v/>
      </c>
      <c r="X291" s="110" t="str">
        <f aca="false">IF(B291="","",IF(W291=1,"NR + industry + position",IF(W291=2,"NR + ISO + position",IF(W291=3,"NR + industry",IF(W291=4,"NR + ISO",IF(W291=5,"NR + position",IF(W291=6,"NR only","book baseline"))))))&amp;"  ["&amp;IF(T291=1,"seasoned","unseasoned")&amp;IF(U291=1,", defaulted","")&amp;IF(V291=1,", open","")&amp;"]")</f>
        <v/>
      </c>
    </row>
    <row r="292" customFormat="false" ht="15" hidden="false" customHeight="false" outlineLevel="0" collapsed="false">
      <c r="A292" s="110" t="n">
        <v>288</v>
      </c>
      <c r="B292" s="111" t="str">
        <f aca="false">IFERROR(INDEX('Historical Data'!$A$2:$A$9,MATCH($A292,'Historical Data'!$BE$2:$BE$9,0)),"")</f>
        <v/>
      </c>
      <c r="C292" s="111" t="str">
        <f aca="false">IFERROR(INDEX('Historical Data'!$B$2:$B$9,MATCH($A292,'Historical Data'!$BE$2:$BE$9,0)),"")</f>
        <v/>
      </c>
      <c r="D292" s="111" t="str">
        <f aca="false">IFERROR(INDEX('Historical Data'!$D$2:$D$9,MATCH($A292,'Historical Data'!$BE$2:$BE$9,0)),"")</f>
        <v/>
      </c>
      <c r="E292" s="112" t="str">
        <f aca="false">IFERROR(INDEX('Historical Data'!$E$2:$E$9,MATCH($A292,'Historical Data'!$BE$2:$BE$9,0)),"")</f>
        <v/>
      </c>
      <c r="F292" s="111" t="str">
        <f aca="false">IFERROR(INDEX('Historical Data'!$G$2:$G$9,MATCH($A292,'Historical Data'!$BE$2:$BE$9,0)),"")</f>
        <v/>
      </c>
      <c r="G292" s="111" t="str">
        <f aca="false">IFERROR(INDEX('Historical Data'!$Y$2:$Y$9,MATCH($A292,'Historical Data'!$BE$2:$BE$9,0)),"")</f>
        <v/>
      </c>
      <c r="H292" s="111" t="str">
        <f aca="false">IFERROR(INDEX('Historical Data'!$K$2:$K$9,MATCH($A292,'Historical Data'!$BE$2:$BE$9,0)),"")</f>
        <v/>
      </c>
      <c r="I292" s="111" t="str">
        <f aca="false">IFERROR(INDEX('Historical Data'!$J$2:$J$9,MATCH($A292,'Historical Data'!$BE$2:$BE$9,0)),"")</f>
        <v/>
      </c>
      <c r="J292" s="111" t="str">
        <f aca="false">IFERROR(INDEX('Historical Data'!$L$2:$L$9,MATCH($A292,'Historical Data'!$BE$2:$BE$9,0)),"")</f>
        <v/>
      </c>
      <c r="K292" s="113" t="str">
        <f aca="false">IFERROR(INDEX('Historical Data'!$M$2:$M$9,MATCH($A292,'Historical Data'!$BE$2:$BE$9,0)),"")</f>
        <v/>
      </c>
      <c r="L292" s="114" t="str">
        <f aca="false">IFERROR(INDEX('Historical Data'!$N$2:$N$9,MATCH($A292,'Historical Data'!$BE$2:$BE$9,0)),"")</f>
        <v/>
      </c>
      <c r="M292" s="114" t="str">
        <f aca="false">IFERROR(INDEX('Historical Data'!$Q$2:$Q$9,MATCH($A292,'Historical Data'!$BE$2:$BE$9,0)),"")</f>
        <v/>
      </c>
      <c r="N292" s="115" t="str">
        <f aca="false">IFERROR(INDEX('Historical Data'!$S$2:$S$9,MATCH($A292,'Historical Data'!$BE$2:$BE$9,0)),"")</f>
        <v/>
      </c>
      <c r="O292" s="114" t="str">
        <f aca="false">IFERROR(INDEX('Historical Data'!$AJ$2:$AJ$9,MATCH($A292,'Historical Data'!$BE$2:$BE$9,0)),"")</f>
        <v/>
      </c>
      <c r="P292" s="114" t="str">
        <f aca="false">IFERROR(INDEX('Historical Data'!$AK$2:$AK$9,MATCH($A292,'Historical Data'!$BE$2:$BE$9,0)),"")</f>
        <v/>
      </c>
      <c r="Q292" s="111" t="str">
        <f aca="false">IFERROR(INDEX('Historical Data'!$AA$2:$AA$9,MATCH($A292,'Historical Data'!$BE$2:$BE$9,0)),"")</f>
        <v/>
      </c>
      <c r="R292" s="111" t="str">
        <f aca="false">IFERROR(INDEX('Historical Data'!$AB$2:$AB$9,MATCH($A292,'Historical Data'!$BE$2:$BE$9,0)),"")</f>
        <v/>
      </c>
      <c r="S292" s="111" t="str">
        <f aca="false">IFERROR(INDEX('Historical Data'!$AN$2:$AN$9,MATCH($A292,'Historical Data'!$BE$2:$BE$9,0)),"")</f>
        <v/>
      </c>
      <c r="T292" s="111" t="str">
        <f aca="false">IFERROR(INDEX('Historical Data'!$AC$2:$AC$9,MATCH($A292,'Historical Data'!$BE$2:$BE$9,0)),"")</f>
        <v/>
      </c>
      <c r="U292" s="111" t="str">
        <f aca="false">IFERROR(INDEX('Historical Data'!$AE$2:$AE$9,MATCH($A292,'Historical Data'!$BE$2:$BE$9,0)),"")</f>
        <v/>
      </c>
      <c r="V292" s="111" t="str">
        <f aca="false">IFERROR(INDEX('Historical Data'!$AH$2:$AH$9,MATCH($A292,'Historical Data'!$BE$2:$BE$9,0)),"")</f>
        <v/>
      </c>
      <c r="W292" s="111" t="str">
        <f aca="false">IFERROR(INDEX('Historical Data'!$BC$2:$BC$9,MATCH($A292,'Historical Data'!$BE$2:$BE$9,0)),"")</f>
        <v/>
      </c>
      <c r="X292" s="110" t="str">
        <f aca="false">IF(B292="","",IF(W292=1,"NR + industry + position",IF(W292=2,"NR + ISO + position",IF(W292=3,"NR + industry",IF(W292=4,"NR + ISO",IF(W292=5,"NR + position",IF(W292=6,"NR only","book baseline"))))))&amp;"  ["&amp;IF(T292=1,"seasoned","unseasoned")&amp;IF(U292=1,", defaulted","")&amp;IF(V292=1,", open","")&amp;"]")</f>
        <v/>
      </c>
    </row>
    <row r="293" customFormat="false" ht="15" hidden="false" customHeight="false" outlineLevel="0" collapsed="false">
      <c r="A293" s="110" t="n">
        <v>289</v>
      </c>
      <c r="B293" s="111" t="str">
        <f aca="false">IFERROR(INDEX('Historical Data'!$A$2:$A$9,MATCH($A293,'Historical Data'!$BE$2:$BE$9,0)),"")</f>
        <v/>
      </c>
      <c r="C293" s="111" t="str">
        <f aca="false">IFERROR(INDEX('Historical Data'!$B$2:$B$9,MATCH($A293,'Historical Data'!$BE$2:$BE$9,0)),"")</f>
        <v/>
      </c>
      <c r="D293" s="111" t="str">
        <f aca="false">IFERROR(INDEX('Historical Data'!$D$2:$D$9,MATCH($A293,'Historical Data'!$BE$2:$BE$9,0)),"")</f>
        <v/>
      </c>
      <c r="E293" s="112" t="str">
        <f aca="false">IFERROR(INDEX('Historical Data'!$E$2:$E$9,MATCH($A293,'Historical Data'!$BE$2:$BE$9,0)),"")</f>
        <v/>
      </c>
      <c r="F293" s="111" t="str">
        <f aca="false">IFERROR(INDEX('Historical Data'!$G$2:$G$9,MATCH($A293,'Historical Data'!$BE$2:$BE$9,0)),"")</f>
        <v/>
      </c>
      <c r="G293" s="111" t="str">
        <f aca="false">IFERROR(INDEX('Historical Data'!$Y$2:$Y$9,MATCH($A293,'Historical Data'!$BE$2:$BE$9,0)),"")</f>
        <v/>
      </c>
      <c r="H293" s="111" t="str">
        <f aca="false">IFERROR(INDEX('Historical Data'!$K$2:$K$9,MATCH($A293,'Historical Data'!$BE$2:$BE$9,0)),"")</f>
        <v/>
      </c>
      <c r="I293" s="111" t="str">
        <f aca="false">IFERROR(INDEX('Historical Data'!$J$2:$J$9,MATCH($A293,'Historical Data'!$BE$2:$BE$9,0)),"")</f>
        <v/>
      </c>
      <c r="J293" s="111" t="str">
        <f aca="false">IFERROR(INDEX('Historical Data'!$L$2:$L$9,MATCH($A293,'Historical Data'!$BE$2:$BE$9,0)),"")</f>
        <v/>
      </c>
      <c r="K293" s="113" t="str">
        <f aca="false">IFERROR(INDEX('Historical Data'!$M$2:$M$9,MATCH($A293,'Historical Data'!$BE$2:$BE$9,0)),"")</f>
        <v/>
      </c>
      <c r="L293" s="114" t="str">
        <f aca="false">IFERROR(INDEX('Historical Data'!$N$2:$N$9,MATCH($A293,'Historical Data'!$BE$2:$BE$9,0)),"")</f>
        <v/>
      </c>
      <c r="M293" s="114" t="str">
        <f aca="false">IFERROR(INDEX('Historical Data'!$Q$2:$Q$9,MATCH($A293,'Historical Data'!$BE$2:$BE$9,0)),"")</f>
        <v/>
      </c>
      <c r="N293" s="115" t="str">
        <f aca="false">IFERROR(INDEX('Historical Data'!$S$2:$S$9,MATCH($A293,'Historical Data'!$BE$2:$BE$9,0)),"")</f>
        <v/>
      </c>
      <c r="O293" s="114" t="str">
        <f aca="false">IFERROR(INDEX('Historical Data'!$AJ$2:$AJ$9,MATCH($A293,'Historical Data'!$BE$2:$BE$9,0)),"")</f>
        <v/>
      </c>
      <c r="P293" s="114" t="str">
        <f aca="false">IFERROR(INDEX('Historical Data'!$AK$2:$AK$9,MATCH($A293,'Historical Data'!$BE$2:$BE$9,0)),"")</f>
        <v/>
      </c>
      <c r="Q293" s="111" t="str">
        <f aca="false">IFERROR(INDEX('Historical Data'!$AA$2:$AA$9,MATCH($A293,'Historical Data'!$BE$2:$BE$9,0)),"")</f>
        <v/>
      </c>
      <c r="R293" s="111" t="str">
        <f aca="false">IFERROR(INDEX('Historical Data'!$AB$2:$AB$9,MATCH($A293,'Historical Data'!$BE$2:$BE$9,0)),"")</f>
        <v/>
      </c>
      <c r="S293" s="111" t="str">
        <f aca="false">IFERROR(INDEX('Historical Data'!$AN$2:$AN$9,MATCH($A293,'Historical Data'!$BE$2:$BE$9,0)),"")</f>
        <v/>
      </c>
      <c r="T293" s="111" t="str">
        <f aca="false">IFERROR(INDEX('Historical Data'!$AC$2:$AC$9,MATCH($A293,'Historical Data'!$BE$2:$BE$9,0)),"")</f>
        <v/>
      </c>
      <c r="U293" s="111" t="str">
        <f aca="false">IFERROR(INDEX('Historical Data'!$AE$2:$AE$9,MATCH($A293,'Historical Data'!$BE$2:$BE$9,0)),"")</f>
        <v/>
      </c>
      <c r="V293" s="111" t="str">
        <f aca="false">IFERROR(INDEX('Historical Data'!$AH$2:$AH$9,MATCH($A293,'Historical Data'!$BE$2:$BE$9,0)),"")</f>
        <v/>
      </c>
      <c r="W293" s="111" t="str">
        <f aca="false">IFERROR(INDEX('Historical Data'!$BC$2:$BC$9,MATCH($A293,'Historical Data'!$BE$2:$BE$9,0)),"")</f>
        <v/>
      </c>
      <c r="X293" s="110" t="str">
        <f aca="false">IF(B293="","",IF(W293=1,"NR + industry + position",IF(W293=2,"NR + ISO + position",IF(W293=3,"NR + industry",IF(W293=4,"NR + ISO",IF(W293=5,"NR + position",IF(W293=6,"NR only","book baseline"))))))&amp;"  ["&amp;IF(T293=1,"seasoned","unseasoned")&amp;IF(U293=1,", defaulted","")&amp;IF(V293=1,", open","")&amp;"]")</f>
        <v/>
      </c>
    </row>
    <row r="294" customFormat="false" ht="15" hidden="false" customHeight="false" outlineLevel="0" collapsed="false">
      <c r="A294" s="110" t="n">
        <v>290</v>
      </c>
      <c r="B294" s="111" t="str">
        <f aca="false">IFERROR(INDEX('Historical Data'!$A$2:$A$9,MATCH($A294,'Historical Data'!$BE$2:$BE$9,0)),"")</f>
        <v/>
      </c>
      <c r="C294" s="111" t="str">
        <f aca="false">IFERROR(INDEX('Historical Data'!$B$2:$B$9,MATCH($A294,'Historical Data'!$BE$2:$BE$9,0)),"")</f>
        <v/>
      </c>
      <c r="D294" s="111" t="str">
        <f aca="false">IFERROR(INDEX('Historical Data'!$D$2:$D$9,MATCH($A294,'Historical Data'!$BE$2:$BE$9,0)),"")</f>
        <v/>
      </c>
      <c r="E294" s="112" t="str">
        <f aca="false">IFERROR(INDEX('Historical Data'!$E$2:$E$9,MATCH($A294,'Historical Data'!$BE$2:$BE$9,0)),"")</f>
        <v/>
      </c>
      <c r="F294" s="111" t="str">
        <f aca="false">IFERROR(INDEX('Historical Data'!$G$2:$G$9,MATCH($A294,'Historical Data'!$BE$2:$BE$9,0)),"")</f>
        <v/>
      </c>
      <c r="G294" s="111" t="str">
        <f aca="false">IFERROR(INDEX('Historical Data'!$Y$2:$Y$9,MATCH($A294,'Historical Data'!$BE$2:$BE$9,0)),"")</f>
        <v/>
      </c>
      <c r="H294" s="111" t="str">
        <f aca="false">IFERROR(INDEX('Historical Data'!$K$2:$K$9,MATCH($A294,'Historical Data'!$BE$2:$BE$9,0)),"")</f>
        <v/>
      </c>
      <c r="I294" s="111" t="str">
        <f aca="false">IFERROR(INDEX('Historical Data'!$J$2:$J$9,MATCH($A294,'Historical Data'!$BE$2:$BE$9,0)),"")</f>
        <v/>
      </c>
      <c r="J294" s="111" t="str">
        <f aca="false">IFERROR(INDEX('Historical Data'!$L$2:$L$9,MATCH($A294,'Historical Data'!$BE$2:$BE$9,0)),"")</f>
        <v/>
      </c>
      <c r="K294" s="113" t="str">
        <f aca="false">IFERROR(INDEX('Historical Data'!$M$2:$M$9,MATCH($A294,'Historical Data'!$BE$2:$BE$9,0)),"")</f>
        <v/>
      </c>
      <c r="L294" s="114" t="str">
        <f aca="false">IFERROR(INDEX('Historical Data'!$N$2:$N$9,MATCH($A294,'Historical Data'!$BE$2:$BE$9,0)),"")</f>
        <v/>
      </c>
      <c r="M294" s="114" t="str">
        <f aca="false">IFERROR(INDEX('Historical Data'!$Q$2:$Q$9,MATCH($A294,'Historical Data'!$BE$2:$BE$9,0)),"")</f>
        <v/>
      </c>
      <c r="N294" s="115" t="str">
        <f aca="false">IFERROR(INDEX('Historical Data'!$S$2:$S$9,MATCH($A294,'Historical Data'!$BE$2:$BE$9,0)),"")</f>
        <v/>
      </c>
      <c r="O294" s="114" t="str">
        <f aca="false">IFERROR(INDEX('Historical Data'!$AJ$2:$AJ$9,MATCH($A294,'Historical Data'!$BE$2:$BE$9,0)),"")</f>
        <v/>
      </c>
      <c r="P294" s="114" t="str">
        <f aca="false">IFERROR(INDEX('Historical Data'!$AK$2:$AK$9,MATCH($A294,'Historical Data'!$BE$2:$BE$9,0)),"")</f>
        <v/>
      </c>
      <c r="Q294" s="111" t="str">
        <f aca="false">IFERROR(INDEX('Historical Data'!$AA$2:$AA$9,MATCH($A294,'Historical Data'!$BE$2:$BE$9,0)),"")</f>
        <v/>
      </c>
      <c r="R294" s="111" t="str">
        <f aca="false">IFERROR(INDEX('Historical Data'!$AB$2:$AB$9,MATCH($A294,'Historical Data'!$BE$2:$BE$9,0)),"")</f>
        <v/>
      </c>
      <c r="S294" s="111" t="str">
        <f aca="false">IFERROR(INDEX('Historical Data'!$AN$2:$AN$9,MATCH($A294,'Historical Data'!$BE$2:$BE$9,0)),"")</f>
        <v/>
      </c>
      <c r="T294" s="111" t="str">
        <f aca="false">IFERROR(INDEX('Historical Data'!$AC$2:$AC$9,MATCH($A294,'Historical Data'!$BE$2:$BE$9,0)),"")</f>
        <v/>
      </c>
      <c r="U294" s="111" t="str">
        <f aca="false">IFERROR(INDEX('Historical Data'!$AE$2:$AE$9,MATCH($A294,'Historical Data'!$BE$2:$BE$9,0)),"")</f>
        <v/>
      </c>
      <c r="V294" s="111" t="str">
        <f aca="false">IFERROR(INDEX('Historical Data'!$AH$2:$AH$9,MATCH($A294,'Historical Data'!$BE$2:$BE$9,0)),"")</f>
        <v/>
      </c>
      <c r="W294" s="111" t="str">
        <f aca="false">IFERROR(INDEX('Historical Data'!$BC$2:$BC$9,MATCH($A294,'Historical Data'!$BE$2:$BE$9,0)),"")</f>
        <v/>
      </c>
      <c r="X294" s="110" t="str">
        <f aca="false">IF(B294="","",IF(W294=1,"NR + industry + position",IF(W294=2,"NR + ISO + position",IF(W294=3,"NR + industry",IF(W294=4,"NR + ISO",IF(W294=5,"NR + position",IF(W294=6,"NR only","book baseline"))))))&amp;"  ["&amp;IF(T294=1,"seasoned","unseasoned")&amp;IF(U294=1,", defaulted","")&amp;IF(V294=1,", open","")&amp;"]")</f>
        <v/>
      </c>
    </row>
    <row r="295" customFormat="false" ht="15" hidden="false" customHeight="false" outlineLevel="0" collapsed="false">
      <c r="A295" s="110" t="n">
        <v>291</v>
      </c>
      <c r="B295" s="111" t="str">
        <f aca="false">IFERROR(INDEX('Historical Data'!$A$2:$A$9,MATCH($A295,'Historical Data'!$BE$2:$BE$9,0)),"")</f>
        <v/>
      </c>
      <c r="C295" s="111" t="str">
        <f aca="false">IFERROR(INDEX('Historical Data'!$B$2:$B$9,MATCH($A295,'Historical Data'!$BE$2:$BE$9,0)),"")</f>
        <v/>
      </c>
      <c r="D295" s="111" t="str">
        <f aca="false">IFERROR(INDEX('Historical Data'!$D$2:$D$9,MATCH($A295,'Historical Data'!$BE$2:$BE$9,0)),"")</f>
        <v/>
      </c>
      <c r="E295" s="112" t="str">
        <f aca="false">IFERROR(INDEX('Historical Data'!$E$2:$E$9,MATCH($A295,'Historical Data'!$BE$2:$BE$9,0)),"")</f>
        <v/>
      </c>
      <c r="F295" s="111" t="str">
        <f aca="false">IFERROR(INDEX('Historical Data'!$G$2:$G$9,MATCH($A295,'Historical Data'!$BE$2:$BE$9,0)),"")</f>
        <v/>
      </c>
      <c r="G295" s="111" t="str">
        <f aca="false">IFERROR(INDEX('Historical Data'!$Y$2:$Y$9,MATCH($A295,'Historical Data'!$BE$2:$BE$9,0)),"")</f>
        <v/>
      </c>
      <c r="H295" s="111" t="str">
        <f aca="false">IFERROR(INDEX('Historical Data'!$K$2:$K$9,MATCH($A295,'Historical Data'!$BE$2:$BE$9,0)),"")</f>
        <v/>
      </c>
      <c r="I295" s="111" t="str">
        <f aca="false">IFERROR(INDEX('Historical Data'!$J$2:$J$9,MATCH($A295,'Historical Data'!$BE$2:$BE$9,0)),"")</f>
        <v/>
      </c>
      <c r="J295" s="111" t="str">
        <f aca="false">IFERROR(INDEX('Historical Data'!$L$2:$L$9,MATCH($A295,'Historical Data'!$BE$2:$BE$9,0)),"")</f>
        <v/>
      </c>
      <c r="K295" s="113" t="str">
        <f aca="false">IFERROR(INDEX('Historical Data'!$M$2:$M$9,MATCH($A295,'Historical Data'!$BE$2:$BE$9,0)),"")</f>
        <v/>
      </c>
      <c r="L295" s="114" t="str">
        <f aca="false">IFERROR(INDEX('Historical Data'!$N$2:$N$9,MATCH($A295,'Historical Data'!$BE$2:$BE$9,0)),"")</f>
        <v/>
      </c>
      <c r="M295" s="114" t="str">
        <f aca="false">IFERROR(INDEX('Historical Data'!$Q$2:$Q$9,MATCH($A295,'Historical Data'!$BE$2:$BE$9,0)),"")</f>
        <v/>
      </c>
      <c r="N295" s="115" t="str">
        <f aca="false">IFERROR(INDEX('Historical Data'!$S$2:$S$9,MATCH($A295,'Historical Data'!$BE$2:$BE$9,0)),"")</f>
        <v/>
      </c>
      <c r="O295" s="114" t="str">
        <f aca="false">IFERROR(INDEX('Historical Data'!$AJ$2:$AJ$9,MATCH($A295,'Historical Data'!$BE$2:$BE$9,0)),"")</f>
        <v/>
      </c>
      <c r="P295" s="114" t="str">
        <f aca="false">IFERROR(INDEX('Historical Data'!$AK$2:$AK$9,MATCH($A295,'Historical Data'!$BE$2:$BE$9,0)),"")</f>
        <v/>
      </c>
      <c r="Q295" s="111" t="str">
        <f aca="false">IFERROR(INDEX('Historical Data'!$AA$2:$AA$9,MATCH($A295,'Historical Data'!$BE$2:$BE$9,0)),"")</f>
        <v/>
      </c>
      <c r="R295" s="111" t="str">
        <f aca="false">IFERROR(INDEX('Historical Data'!$AB$2:$AB$9,MATCH($A295,'Historical Data'!$BE$2:$BE$9,0)),"")</f>
        <v/>
      </c>
      <c r="S295" s="111" t="str">
        <f aca="false">IFERROR(INDEX('Historical Data'!$AN$2:$AN$9,MATCH($A295,'Historical Data'!$BE$2:$BE$9,0)),"")</f>
        <v/>
      </c>
      <c r="T295" s="111" t="str">
        <f aca="false">IFERROR(INDEX('Historical Data'!$AC$2:$AC$9,MATCH($A295,'Historical Data'!$BE$2:$BE$9,0)),"")</f>
        <v/>
      </c>
      <c r="U295" s="111" t="str">
        <f aca="false">IFERROR(INDEX('Historical Data'!$AE$2:$AE$9,MATCH($A295,'Historical Data'!$BE$2:$BE$9,0)),"")</f>
        <v/>
      </c>
      <c r="V295" s="111" t="str">
        <f aca="false">IFERROR(INDEX('Historical Data'!$AH$2:$AH$9,MATCH($A295,'Historical Data'!$BE$2:$BE$9,0)),"")</f>
        <v/>
      </c>
      <c r="W295" s="111" t="str">
        <f aca="false">IFERROR(INDEX('Historical Data'!$BC$2:$BC$9,MATCH($A295,'Historical Data'!$BE$2:$BE$9,0)),"")</f>
        <v/>
      </c>
      <c r="X295" s="110" t="str">
        <f aca="false">IF(B295="","",IF(W295=1,"NR + industry + position",IF(W295=2,"NR + ISO + position",IF(W295=3,"NR + industry",IF(W295=4,"NR + ISO",IF(W295=5,"NR + position",IF(W295=6,"NR only","book baseline"))))))&amp;"  ["&amp;IF(T295=1,"seasoned","unseasoned")&amp;IF(U295=1,", defaulted","")&amp;IF(V295=1,", open","")&amp;"]")</f>
        <v/>
      </c>
    </row>
    <row r="296" customFormat="false" ht="15" hidden="false" customHeight="false" outlineLevel="0" collapsed="false">
      <c r="A296" s="110" t="n">
        <v>292</v>
      </c>
      <c r="B296" s="111" t="str">
        <f aca="false">IFERROR(INDEX('Historical Data'!$A$2:$A$9,MATCH($A296,'Historical Data'!$BE$2:$BE$9,0)),"")</f>
        <v/>
      </c>
      <c r="C296" s="111" t="str">
        <f aca="false">IFERROR(INDEX('Historical Data'!$B$2:$B$9,MATCH($A296,'Historical Data'!$BE$2:$BE$9,0)),"")</f>
        <v/>
      </c>
      <c r="D296" s="111" t="str">
        <f aca="false">IFERROR(INDEX('Historical Data'!$D$2:$D$9,MATCH($A296,'Historical Data'!$BE$2:$BE$9,0)),"")</f>
        <v/>
      </c>
      <c r="E296" s="112" t="str">
        <f aca="false">IFERROR(INDEX('Historical Data'!$E$2:$E$9,MATCH($A296,'Historical Data'!$BE$2:$BE$9,0)),"")</f>
        <v/>
      </c>
      <c r="F296" s="111" t="str">
        <f aca="false">IFERROR(INDEX('Historical Data'!$G$2:$G$9,MATCH($A296,'Historical Data'!$BE$2:$BE$9,0)),"")</f>
        <v/>
      </c>
      <c r="G296" s="111" t="str">
        <f aca="false">IFERROR(INDEX('Historical Data'!$Y$2:$Y$9,MATCH($A296,'Historical Data'!$BE$2:$BE$9,0)),"")</f>
        <v/>
      </c>
      <c r="H296" s="111" t="str">
        <f aca="false">IFERROR(INDEX('Historical Data'!$K$2:$K$9,MATCH($A296,'Historical Data'!$BE$2:$BE$9,0)),"")</f>
        <v/>
      </c>
      <c r="I296" s="111" t="str">
        <f aca="false">IFERROR(INDEX('Historical Data'!$J$2:$J$9,MATCH($A296,'Historical Data'!$BE$2:$BE$9,0)),"")</f>
        <v/>
      </c>
      <c r="J296" s="111" t="str">
        <f aca="false">IFERROR(INDEX('Historical Data'!$L$2:$L$9,MATCH($A296,'Historical Data'!$BE$2:$BE$9,0)),"")</f>
        <v/>
      </c>
      <c r="K296" s="113" t="str">
        <f aca="false">IFERROR(INDEX('Historical Data'!$M$2:$M$9,MATCH($A296,'Historical Data'!$BE$2:$BE$9,0)),"")</f>
        <v/>
      </c>
      <c r="L296" s="114" t="str">
        <f aca="false">IFERROR(INDEX('Historical Data'!$N$2:$N$9,MATCH($A296,'Historical Data'!$BE$2:$BE$9,0)),"")</f>
        <v/>
      </c>
      <c r="M296" s="114" t="str">
        <f aca="false">IFERROR(INDEX('Historical Data'!$Q$2:$Q$9,MATCH($A296,'Historical Data'!$BE$2:$BE$9,0)),"")</f>
        <v/>
      </c>
      <c r="N296" s="115" t="str">
        <f aca="false">IFERROR(INDEX('Historical Data'!$S$2:$S$9,MATCH($A296,'Historical Data'!$BE$2:$BE$9,0)),"")</f>
        <v/>
      </c>
      <c r="O296" s="114" t="str">
        <f aca="false">IFERROR(INDEX('Historical Data'!$AJ$2:$AJ$9,MATCH($A296,'Historical Data'!$BE$2:$BE$9,0)),"")</f>
        <v/>
      </c>
      <c r="P296" s="114" t="str">
        <f aca="false">IFERROR(INDEX('Historical Data'!$AK$2:$AK$9,MATCH($A296,'Historical Data'!$BE$2:$BE$9,0)),"")</f>
        <v/>
      </c>
      <c r="Q296" s="111" t="str">
        <f aca="false">IFERROR(INDEX('Historical Data'!$AA$2:$AA$9,MATCH($A296,'Historical Data'!$BE$2:$BE$9,0)),"")</f>
        <v/>
      </c>
      <c r="R296" s="111" t="str">
        <f aca="false">IFERROR(INDEX('Historical Data'!$AB$2:$AB$9,MATCH($A296,'Historical Data'!$BE$2:$BE$9,0)),"")</f>
        <v/>
      </c>
      <c r="S296" s="111" t="str">
        <f aca="false">IFERROR(INDEX('Historical Data'!$AN$2:$AN$9,MATCH($A296,'Historical Data'!$BE$2:$BE$9,0)),"")</f>
        <v/>
      </c>
      <c r="T296" s="111" t="str">
        <f aca="false">IFERROR(INDEX('Historical Data'!$AC$2:$AC$9,MATCH($A296,'Historical Data'!$BE$2:$BE$9,0)),"")</f>
        <v/>
      </c>
      <c r="U296" s="111" t="str">
        <f aca="false">IFERROR(INDEX('Historical Data'!$AE$2:$AE$9,MATCH($A296,'Historical Data'!$BE$2:$BE$9,0)),"")</f>
        <v/>
      </c>
      <c r="V296" s="111" t="str">
        <f aca="false">IFERROR(INDEX('Historical Data'!$AH$2:$AH$9,MATCH($A296,'Historical Data'!$BE$2:$BE$9,0)),"")</f>
        <v/>
      </c>
      <c r="W296" s="111" t="str">
        <f aca="false">IFERROR(INDEX('Historical Data'!$BC$2:$BC$9,MATCH($A296,'Historical Data'!$BE$2:$BE$9,0)),"")</f>
        <v/>
      </c>
      <c r="X296" s="110" t="str">
        <f aca="false">IF(B296="","",IF(W296=1,"NR + industry + position",IF(W296=2,"NR + ISO + position",IF(W296=3,"NR + industry",IF(W296=4,"NR + ISO",IF(W296=5,"NR + position",IF(W296=6,"NR only","book baseline"))))))&amp;"  ["&amp;IF(T296=1,"seasoned","unseasoned")&amp;IF(U296=1,", defaulted","")&amp;IF(V296=1,", open","")&amp;"]")</f>
        <v/>
      </c>
    </row>
    <row r="297" customFormat="false" ht="15" hidden="false" customHeight="false" outlineLevel="0" collapsed="false">
      <c r="A297" s="110" t="n">
        <v>293</v>
      </c>
      <c r="B297" s="111" t="str">
        <f aca="false">IFERROR(INDEX('Historical Data'!$A$2:$A$9,MATCH($A297,'Historical Data'!$BE$2:$BE$9,0)),"")</f>
        <v/>
      </c>
      <c r="C297" s="111" t="str">
        <f aca="false">IFERROR(INDEX('Historical Data'!$B$2:$B$9,MATCH($A297,'Historical Data'!$BE$2:$BE$9,0)),"")</f>
        <v/>
      </c>
      <c r="D297" s="111" t="str">
        <f aca="false">IFERROR(INDEX('Historical Data'!$D$2:$D$9,MATCH($A297,'Historical Data'!$BE$2:$BE$9,0)),"")</f>
        <v/>
      </c>
      <c r="E297" s="112" t="str">
        <f aca="false">IFERROR(INDEX('Historical Data'!$E$2:$E$9,MATCH($A297,'Historical Data'!$BE$2:$BE$9,0)),"")</f>
        <v/>
      </c>
      <c r="F297" s="111" t="str">
        <f aca="false">IFERROR(INDEX('Historical Data'!$G$2:$G$9,MATCH($A297,'Historical Data'!$BE$2:$BE$9,0)),"")</f>
        <v/>
      </c>
      <c r="G297" s="111" t="str">
        <f aca="false">IFERROR(INDEX('Historical Data'!$Y$2:$Y$9,MATCH($A297,'Historical Data'!$BE$2:$BE$9,0)),"")</f>
        <v/>
      </c>
      <c r="H297" s="111" t="str">
        <f aca="false">IFERROR(INDEX('Historical Data'!$K$2:$K$9,MATCH($A297,'Historical Data'!$BE$2:$BE$9,0)),"")</f>
        <v/>
      </c>
      <c r="I297" s="111" t="str">
        <f aca="false">IFERROR(INDEX('Historical Data'!$J$2:$J$9,MATCH($A297,'Historical Data'!$BE$2:$BE$9,0)),"")</f>
        <v/>
      </c>
      <c r="J297" s="111" t="str">
        <f aca="false">IFERROR(INDEX('Historical Data'!$L$2:$L$9,MATCH($A297,'Historical Data'!$BE$2:$BE$9,0)),"")</f>
        <v/>
      </c>
      <c r="K297" s="113" t="str">
        <f aca="false">IFERROR(INDEX('Historical Data'!$M$2:$M$9,MATCH($A297,'Historical Data'!$BE$2:$BE$9,0)),"")</f>
        <v/>
      </c>
      <c r="L297" s="114" t="str">
        <f aca="false">IFERROR(INDEX('Historical Data'!$N$2:$N$9,MATCH($A297,'Historical Data'!$BE$2:$BE$9,0)),"")</f>
        <v/>
      </c>
      <c r="M297" s="114" t="str">
        <f aca="false">IFERROR(INDEX('Historical Data'!$Q$2:$Q$9,MATCH($A297,'Historical Data'!$BE$2:$BE$9,0)),"")</f>
        <v/>
      </c>
      <c r="N297" s="115" t="str">
        <f aca="false">IFERROR(INDEX('Historical Data'!$S$2:$S$9,MATCH($A297,'Historical Data'!$BE$2:$BE$9,0)),"")</f>
        <v/>
      </c>
      <c r="O297" s="114" t="str">
        <f aca="false">IFERROR(INDEX('Historical Data'!$AJ$2:$AJ$9,MATCH($A297,'Historical Data'!$BE$2:$BE$9,0)),"")</f>
        <v/>
      </c>
      <c r="P297" s="114" t="str">
        <f aca="false">IFERROR(INDEX('Historical Data'!$AK$2:$AK$9,MATCH($A297,'Historical Data'!$BE$2:$BE$9,0)),"")</f>
        <v/>
      </c>
      <c r="Q297" s="111" t="str">
        <f aca="false">IFERROR(INDEX('Historical Data'!$AA$2:$AA$9,MATCH($A297,'Historical Data'!$BE$2:$BE$9,0)),"")</f>
        <v/>
      </c>
      <c r="R297" s="111" t="str">
        <f aca="false">IFERROR(INDEX('Historical Data'!$AB$2:$AB$9,MATCH($A297,'Historical Data'!$BE$2:$BE$9,0)),"")</f>
        <v/>
      </c>
      <c r="S297" s="111" t="str">
        <f aca="false">IFERROR(INDEX('Historical Data'!$AN$2:$AN$9,MATCH($A297,'Historical Data'!$BE$2:$BE$9,0)),"")</f>
        <v/>
      </c>
      <c r="T297" s="111" t="str">
        <f aca="false">IFERROR(INDEX('Historical Data'!$AC$2:$AC$9,MATCH($A297,'Historical Data'!$BE$2:$BE$9,0)),"")</f>
        <v/>
      </c>
      <c r="U297" s="111" t="str">
        <f aca="false">IFERROR(INDEX('Historical Data'!$AE$2:$AE$9,MATCH($A297,'Historical Data'!$BE$2:$BE$9,0)),"")</f>
        <v/>
      </c>
      <c r="V297" s="111" t="str">
        <f aca="false">IFERROR(INDEX('Historical Data'!$AH$2:$AH$9,MATCH($A297,'Historical Data'!$BE$2:$BE$9,0)),"")</f>
        <v/>
      </c>
      <c r="W297" s="111" t="str">
        <f aca="false">IFERROR(INDEX('Historical Data'!$BC$2:$BC$9,MATCH($A297,'Historical Data'!$BE$2:$BE$9,0)),"")</f>
        <v/>
      </c>
      <c r="X297" s="110" t="str">
        <f aca="false">IF(B297="","",IF(W297=1,"NR + industry + position",IF(W297=2,"NR + ISO + position",IF(W297=3,"NR + industry",IF(W297=4,"NR + ISO",IF(W297=5,"NR + position",IF(W297=6,"NR only","book baseline"))))))&amp;"  ["&amp;IF(T297=1,"seasoned","unseasoned")&amp;IF(U297=1,", defaulted","")&amp;IF(V297=1,", open","")&amp;"]")</f>
        <v/>
      </c>
    </row>
    <row r="298" customFormat="false" ht="15" hidden="false" customHeight="false" outlineLevel="0" collapsed="false">
      <c r="A298" s="110" t="n">
        <v>294</v>
      </c>
      <c r="B298" s="111" t="str">
        <f aca="false">IFERROR(INDEX('Historical Data'!$A$2:$A$9,MATCH($A298,'Historical Data'!$BE$2:$BE$9,0)),"")</f>
        <v/>
      </c>
      <c r="C298" s="111" t="str">
        <f aca="false">IFERROR(INDEX('Historical Data'!$B$2:$B$9,MATCH($A298,'Historical Data'!$BE$2:$BE$9,0)),"")</f>
        <v/>
      </c>
      <c r="D298" s="111" t="str">
        <f aca="false">IFERROR(INDEX('Historical Data'!$D$2:$D$9,MATCH($A298,'Historical Data'!$BE$2:$BE$9,0)),"")</f>
        <v/>
      </c>
      <c r="E298" s="112" t="str">
        <f aca="false">IFERROR(INDEX('Historical Data'!$E$2:$E$9,MATCH($A298,'Historical Data'!$BE$2:$BE$9,0)),"")</f>
        <v/>
      </c>
      <c r="F298" s="111" t="str">
        <f aca="false">IFERROR(INDEX('Historical Data'!$G$2:$G$9,MATCH($A298,'Historical Data'!$BE$2:$BE$9,0)),"")</f>
        <v/>
      </c>
      <c r="G298" s="111" t="str">
        <f aca="false">IFERROR(INDEX('Historical Data'!$Y$2:$Y$9,MATCH($A298,'Historical Data'!$BE$2:$BE$9,0)),"")</f>
        <v/>
      </c>
      <c r="H298" s="111" t="str">
        <f aca="false">IFERROR(INDEX('Historical Data'!$K$2:$K$9,MATCH($A298,'Historical Data'!$BE$2:$BE$9,0)),"")</f>
        <v/>
      </c>
      <c r="I298" s="111" t="str">
        <f aca="false">IFERROR(INDEX('Historical Data'!$J$2:$J$9,MATCH($A298,'Historical Data'!$BE$2:$BE$9,0)),"")</f>
        <v/>
      </c>
      <c r="J298" s="111" t="str">
        <f aca="false">IFERROR(INDEX('Historical Data'!$L$2:$L$9,MATCH($A298,'Historical Data'!$BE$2:$BE$9,0)),"")</f>
        <v/>
      </c>
      <c r="K298" s="113" t="str">
        <f aca="false">IFERROR(INDEX('Historical Data'!$M$2:$M$9,MATCH($A298,'Historical Data'!$BE$2:$BE$9,0)),"")</f>
        <v/>
      </c>
      <c r="L298" s="114" t="str">
        <f aca="false">IFERROR(INDEX('Historical Data'!$N$2:$N$9,MATCH($A298,'Historical Data'!$BE$2:$BE$9,0)),"")</f>
        <v/>
      </c>
      <c r="M298" s="114" t="str">
        <f aca="false">IFERROR(INDEX('Historical Data'!$Q$2:$Q$9,MATCH($A298,'Historical Data'!$BE$2:$BE$9,0)),"")</f>
        <v/>
      </c>
      <c r="N298" s="115" t="str">
        <f aca="false">IFERROR(INDEX('Historical Data'!$S$2:$S$9,MATCH($A298,'Historical Data'!$BE$2:$BE$9,0)),"")</f>
        <v/>
      </c>
      <c r="O298" s="114" t="str">
        <f aca="false">IFERROR(INDEX('Historical Data'!$AJ$2:$AJ$9,MATCH($A298,'Historical Data'!$BE$2:$BE$9,0)),"")</f>
        <v/>
      </c>
      <c r="P298" s="114" t="str">
        <f aca="false">IFERROR(INDEX('Historical Data'!$AK$2:$AK$9,MATCH($A298,'Historical Data'!$BE$2:$BE$9,0)),"")</f>
        <v/>
      </c>
      <c r="Q298" s="111" t="str">
        <f aca="false">IFERROR(INDEX('Historical Data'!$AA$2:$AA$9,MATCH($A298,'Historical Data'!$BE$2:$BE$9,0)),"")</f>
        <v/>
      </c>
      <c r="R298" s="111" t="str">
        <f aca="false">IFERROR(INDEX('Historical Data'!$AB$2:$AB$9,MATCH($A298,'Historical Data'!$BE$2:$BE$9,0)),"")</f>
        <v/>
      </c>
      <c r="S298" s="111" t="str">
        <f aca="false">IFERROR(INDEX('Historical Data'!$AN$2:$AN$9,MATCH($A298,'Historical Data'!$BE$2:$BE$9,0)),"")</f>
        <v/>
      </c>
      <c r="T298" s="111" t="str">
        <f aca="false">IFERROR(INDEX('Historical Data'!$AC$2:$AC$9,MATCH($A298,'Historical Data'!$BE$2:$BE$9,0)),"")</f>
        <v/>
      </c>
      <c r="U298" s="111" t="str">
        <f aca="false">IFERROR(INDEX('Historical Data'!$AE$2:$AE$9,MATCH($A298,'Historical Data'!$BE$2:$BE$9,0)),"")</f>
        <v/>
      </c>
      <c r="V298" s="111" t="str">
        <f aca="false">IFERROR(INDEX('Historical Data'!$AH$2:$AH$9,MATCH($A298,'Historical Data'!$BE$2:$BE$9,0)),"")</f>
        <v/>
      </c>
      <c r="W298" s="111" t="str">
        <f aca="false">IFERROR(INDEX('Historical Data'!$BC$2:$BC$9,MATCH($A298,'Historical Data'!$BE$2:$BE$9,0)),"")</f>
        <v/>
      </c>
      <c r="X298" s="110" t="str">
        <f aca="false">IF(B298="","",IF(W298=1,"NR + industry + position",IF(W298=2,"NR + ISO + position",IF(W298=3,"NR + industry",IF(W298=4,"NR + ISO",IF(W298=5,"NR + position",IF(W298=6,"NR only","book baseline"))))))&amp;"  ["&amp;IF(T298=1,"seasoned","unseasoned")&amp;IF(U298=1,", defaulted","")&amp;IF(V298=1,", open","")&amp;"]")</f>
        <v/>
      </c>
    </row>
    <row r="299" customFormat="false" ht="15" hidden="false" customHeight="false" outlineLevel="0" collapsed="false">
      <c r="A299" s="110" t="n">
        <v>295</v>
      </c>
      <c r="B299" s="111" t="str">
        <f aca="false">IFERROR(INDEX('Historical Data'!$A$2:$A$9,MATCH($A299,'Historical Data'!$BE$2:$BE$9,0)),"")</f>
        <v/>
      </c>
      <c r="C299" s="111" t="str">
        <f aca="false">IFERROR(INDEX('Historical Data'!$B$2:$B$9,MATCH($A299,'Historical Data'!$BE$2:$BE$9,0)),"")</f>
        <v/>
      </c>
      <c r="D299" s="111" t="str">
        <f aca="false">IFERROR(INDEX('Historical Data'!$D$2:$D$9,MATCH($A299,'Historical Data'!$BE$2:$BE$9,0)),"")</f>
        <v/>
      </c>
      <c r="E299" s="112" t="str">
        <f aca="false">IFERROR(INDEX('Historical Data'!$E$2:$E$9,MATCH($A299,'Historical Data'!$BE$2:$BE$9,0)),"")</f>
        <v/>
      </c>
      <c r="F299" s="111" t="str">
        <f aca="false">IFERROR(INDEX('Historical Data'!$G$2:$G$9,MATCH($A299,'Historical Data'!$BE$2:$BE$9,0)),"")</f>
        <v/>
      </c>
      <c r="G299" s="111" t="str">
        <f aca="false">IFERROR(INDEX('Historical Data'!$Y$2:$Y$9,MATCH($A299,'Historical Data'!$BE$2:$BE$9,0)),"")</f>
        <v/>
      </c>
      <c r="H299" s="111" t="str">
        <f aca="false">IFERROR(INDEX('Historical Data'!$K$2:$K$9,MATCH($A299,'Historical Data'!$BE$2:$BE$9,0)),"")</f>
        <v/>
      </c>
      <c r="I299" s="111" t="str">
        <f aca="false">IFERROR(INDEX('Historical Data'!$J$2:$J$9,MATCH($A299,'Historical Data'!$BE$2:$BE$9,0)),"")</f>
        <v/>
      </c>
      <c r="J299" s="111" t="str">
        <f aca="false">IFERROR(INDEX('Historical Data'!$L$2:$L$9,MATCH($A299,'Historical Data'!$BE$2:$BE$9,0)),"")</f>
        <v/>
      </c>
      <c r="K299" s="113" t="str">
        <f aca="false">IFERROR(INDEX('Historical Data'!$M$2:$M$9,MATCH($A299,'Historical Data'!$BE$2:$BE$9,0)),"")</f>
        <v/>
      </c>
      <c r="L299" s="114" t="str">
        <f aca="false">IFERROR(INDEX('Historical Data'!$N$2:$N$9,MATCH($A299,'Historical Data'!$BE$2:$BE$9,0)),"")</f>
        <v/>
      </c>
      <c r="M299" s="114" t="str">
        <f aca="false">IFERROR(INDEX('Historical Data'!$Q$2:$Q$9,MATCH($A299,'Historical Data'!$BE$2:$BE$9,0)),"")</f>
        <v/>
      </c>
      <c r="N299" s="115" t="str">
        <f aca="false">IFERROR(INDEX('Historical Data'!$S$2:$S$9,MATCH($A299,'Historical Data'!$BE$2:$BE$9,0)),"")</f>
        <v/>
      </c>
      <c r="O299" s="114" t="str">
        <f aca="false">IFERROR(INDEX('Historical Data'!$AJ$2:$AJ$9,MATCH($A299,'Historical Data'!$BE$2:$BE$9,0)),"")</f>
        <v/>
      </c>
      <c r="P299" s="114" t="str">
        <f aca="false">IFERROR(INDEX('Historical Data'!$AK$2:$AK$9,MATCH($A299,'Historical Data'!$BE$2:$BE$9,0)),"")</f>
        <v/>
      </c>
      <c r="Q299" s="111" t="str">
        <f aca="false">IFERROR(INDEX('Historical Data'!$AA$2:$AA$9,MATCH($A299,'Historical Data'!$BE$2:$BE$9,0)),"")</f>
        <v/>
      </c>
      <c r="R299" s="111" t="str">
        <f aca="false">IFERROR(INDEX('Historical Data'!$AB$2:$AB$9,MATCH($A299,'Historical Data'!$BE$2:$BE$9,0)),"")</f>
        <v/>
      </c>
      <c r="S299" s="111" t="str">
        <f aca="false">IFERROR(INDEX('Historical Data'!$AN$2:$AN$9,MATCH($A299,'Historical Data'!$BE$2:$BE$9,0)),"")</f>
        <v/>
      </c>
      <c r="T299" s="111" t="str">
        <f aca="false">IFERROR(INDEX('Historical Data'!$AC$2:$AC$9,MATCH($A299,'Historical Data'!$BE$2:$BE$9,0)),"")</f>
        <v/>
      </c>
      <c r="U299" s="111" t="str">
        <f aca="false">IFERROR(INDEX('Historical Data'!$AE$2:$AE$9,MATCH($A299,'Historical Data'!$BE$2:$BE$9,0)),"")</f>
        <v/>
      </c>
      <c r="V299" s="111" t="str">
        <f aca="false">IFERROR(INDEX('Historical Data'!$AH$2:$AH$9,MATCH($A299,'Historical Data'!$BE$2:$BE$9,0)),"")</f>
        <v/>
      </c>
      <c r="W299" s="111" t="str">
        <f aca="false">IFERROR(INDEX('Historical Data'!$BC$2:$BC$9,MATCH($A299,'Historical Data'!$BE$2:$BE$9,0)),"")</f>
        <v/>
      </c>
      <c r="X299" s="110" t="str">
        <f aca="false">IF(B299="","",IF(W299=1,"NR + industry + position",IF(W299=2,"NR + ISO + position",IF(W299=3,"NR + industry",IF(W299=4,"NR + ISO",IF(W299=5,"NR + position",IF(W299=6,"NR only","book baseline"))))))&amp;"  ["&amp;IF(T299=1,"seasoned","unseasoned")&amp;IF(U299=1,", defaulted","")&amp;IF(V299=1,", open","")&amp;"]")</f>
        <v/>
      </c>
    </row>
    <row r="300" customFormat="false" ht="15" hidden="false" customHeight="false" outlineLevel="0" collapsed="false">
      <c r="A300" s="110" t="n">
        <v>296</v>
      </c>
      <c r="B300" s="111" t="str">
        <f aca="false">IFERROR(INDEX('Historical Data'!$A$2:$A$9,MATCH($A300,'Historical Data'!$BE$2:$BE$9,0)),"")</f>
        <v/>
      </c>
      <c r="C300" s="111" t="str">
        <f aca="false">IFERROR(INDEX('Historical Data'!$B$2:$B$9,MATCH($A300,'Historical Data'!$BE$2:$BE$9,0)),"")</f>
        <v/>
      </c>
      <c r="D300" s="111" t="str">
        <f aca="false">IFERROR(INDEX('Historical Data'!$D$2:$D$9,MATCH($A300,'Historical Data'!$BE$2:$BE$9,0)),"")</f>
        <v/>
      </c>
      <c r="E300" s="112" t="str">
        <f aca="false">IFERROR(INDEX('Historical Data'!$E$2:$E$9,MATCH($A300,'Historical Data'!$BE$2:$BE$9,0)),"")</f>
        <v/>
      </c>
      <c r="F300" s="111" t="str">
        <f aca="false">IFERROR(INDEX('Historical Data'!$G$2:$G$9,MATCH($A300,'Historical Data'!$BE$2:$BE$9,0)),"")</f>
        <v/>
      </c>
      <c r="G300" s="111" t="str">
        <f aca="false">IFERROR(INDEX('Historical Data'!$Y$2:$Y$9,MATCH($A300,'Historical Data'!$BE$2:$BE$9,0)),"")</f>
        <v/>
      </c>
      <c r="H300" s="111" t="str">
        <f aca="false">IFERROR(INDEX('Historical Data'!$K$2:$K$9,MATCH($A300,'Historical Data'!$BE$2:$BE$9,0)),"")</f>
        <v/>
      </c>
      <c r="I300" s="111" t="str">
        <f aca="false">IFERROR(INDEX('Historical Data'!$J$2:$J$9,MATCH($A300,'Historical Data'!$BE$2:$BE$9,0)),"")</f>
        <v/>
      </c>
      <c r="J300" s="111" t="str">
        <f aca="false">IFERROR(INDEX('Historical Data'!$L$2:$L$9,MATCH($A300,'Historical Data'!$BE$2:$BE$9,0)),"")</f>
        <v/>
      </c>
      <c r="K300" s="113" t="str">
        <f aca="false">IFERROR(INDEX('Historical Data'!$M$2:$M$9,MATCH($A300,'Historical Data'!$BE$2:$BE$9,0)),"")</f>
        <v/>
      </c>
      <c r="L300" s="114" t="str">
        <f aca="false">IFERROR(INDEX('Historical Data'!$N$2:$N$9,MATCH($A300,'Historical Data'!$BE$2:$BE$9,0)),"")</f>
        <v/>
      </c>
      <c r="M300" s="114" t="str">
        <f aca="false">IFERROR(INDEX('Historical Data'!$Q$2:$Q$9,MATCH($A300,'Historical Data'!$BE$2:$BE$9,0)),"")</f>
        <v/>
      </c>
      <c r="N300" s="115" t="str">
        <f aca="false">IFERROR(INDEX('Historical Data'!$S$2:$S$9,MATCH($A300,'Historical Data'!$BE$2:$BE$9,0)),"")</f>
        <v/>
      </c>
      <c r="O300" s="114" t="str">
        <f aca="false">IFERROR(INDEX('Historical Data'!$AJ$2:$AJ$9,MATCH($A300,'Historical Data'!$BE$2:$BE$9,0)),"")</f>
        <v/>
      </c>
      <c r="P300" s="114" t="str">
        <f aca="false">IFERROR(INDEX('Historical Data'!$AK$2:$AK$9,MATCH($A300,'Historical Data'!$BE$2:$BE$9,0)),"")</f>
        <v/>
      </c>
      <c r="Q300" s="111" t="str">
        <f aca="false">IFERROR(INDEX('Historical Data'!$AA$2:$AA$9,MATCH($A300,'Historical Data'!$BE$2:$BE$9,0)),"")</f>
        <v/>
      </c>
      <c r="R300" s="111" t="str">
        <f aca="false">IFERROR(INDEX('Historical Data'!$AB$2:$AB$9,MATCH($A300,'Historical Data'!$BE$2:$BE$9,0)),"")</f>
        <v/>
      </c>
      <c r="S300" s="111" t="str">
        <f aca="false">IFERROR(INDEX('Historical Data'!$AN$2:$AN$9,MATCH($A300,'Historical Data'!$BE$2:$BE$9,0)),"")</f>
        <v/>
      </c>
      <c r="T300" s="111" t="str">
        <f aca="false">IFERROR(INDEX('Historical Data'!$AC$2:$AC$9,MATCH($A300,'Historical Data'!$BE$2:$BE$9,0)),"")</f>
        <v/>
      </c>
      <c r="U300" s="111" t="str">
        <f aca="false">IFERROR(INDEX('Historical Data'!$AE$2:$AE$9,MATCH($A300,'Historical Data'!$BE$2:$BE$9,0)),"")</f>
        <v/>
      </c>
      <c r="V300" s="111" t="str">
        <f aca="false">IFERROR(INDEX('Historical Data'!$AH$2:$AH$9,MATCH($A300,'Historical Data'!$BE$2:$BE$9,0)),"")</f>
        <v/>
      </c>
      <c r="W300" s="111" t="str">
        <f aca="false">IFERROR(INDEX('Historical Data'!$BC$2:$BC$9,MATCH($A300,'Historical Data'!$BE$2:$BE$9,0)),"")</f>
        <v/>
      </c>
      <c r="X300" s="110" t="str">
        <f aca="false">IF(B300="","",IF(W300=1,"NR + industry + position",IF(W300=2,"NR + ISO + position",IF(W300=3,"NR + industry",IF(W300=4,"NR + ISO",IF(W300=5,"NR + position",IF(W300=6,"NR only","book baseline"))))))&amp;"  ["&amp;IF(T300=1,"seasoned","unseasoned")&amp;IF(U300=1,", defaulted","")&amp;IF(V300=1,", open","")&amp;"]")</f>
        <v/>
      </c>
    </row>
    <row r="301" customFormat="false" ht="15" hidden="false" customHeight="false" outlineLevel="0" collapsed="false">
      <c r="A301" s="110" t="n">
        <v>297</v>
      </c>
      <c r="B301" s="111" t="str">
        <f aca="false">IFERROR(INDEX('Historical Data'!$A$2:$A$9,MATCH($A301,'Historical Data'!$BE$2:$BE$9,0)),"")</f>
        <v/>
      </c>
      <c r="C301" s="111" t="str">
        <f aca="false">IFERROR(INDEX('Historical Data'!$B$2:$B$9,MATCH($A301,'Historical Data'!$BE$2:$BE$9,0)),"")</f>
        <v/>
      </c>
      <c r="D301" s="111" t="str">
        <f aca="false">IFERROR(INDEX('Historical Data'!$D$2:$D$9,MATCH($A301,'Historical Data'!$BE$2:$BE$9,0)),"")</f>
        <v/>
      </c>
      <c r="E301" s="112" t="str">
        <f aca="false">IFERROR(INDEX('Historical Data'!$E$2:$E$9,MATCH($A301,'Historical Data'!$BE$2:$BE$9,0)),"")</f>
        <v/>
      </c>
      <c r="F301" s="111" t="str">
        <f aca="false">IFERROR(INDEX('Historical Data'!$G$2:$G$9,MATCH($A301,'Historical Data'!$BE$2:$BE$9,0)),"")</f>
        <v/>
      </c>
      <c r="G301" s="111" t="str">
        <f aca="false">IFERROR(INDEX('Historical Data'!$Y$2:$Y$9,MATCH($A301,'Historical Data'!$BE$2:$BE$9,0)),"")</f>
        <v/>
      </c>
      <c r="H301" s="111" t="str">
        <f aca="false">IFERROR(INDEX('Historical Data'!$K$2:$K$9,MATCH($A301,'Historical Data'!$BE$2:$BE$9,0)),"")</f>
        <v/>
      </c>
      <c r="I301" s="111" t="str">
        <f aca="false">IFERROR(INDEX('Historical Data'!$J$2:$J$9,MATCH($A301,'Historical Data'!$BE$2:$BE$9,0)),"")</f>
        <v/>
      </c>
      <c r="J301" s="111" t="str">
        <f aca="false">IFERROR(INDEX('Historical Data'!$L$2:$L$9,MATCH($A301,'Historical Data'!$BE$2:$BE$9,0)),"")</f>
        <v/>
      </c>
      <c r="K301" s="113" t="str">
        <f aca="false">IFERROR(INDEX('Historical Data'!$M$2:$M$9,MATCH($A301,'Historical Data'!$BE$2:$BE$9,0)),"")</f>
        <v/>
      </c>
      <c r="L301" s="114" t="str">
        <f aca="false">IFERROR(INDEX('Historical Data'!$N$2:$N$9,MATCH($A301,'Historical Data'!$BE$2:$BE$9,0)),"")</f>
        <v/>
      </c>
      <c r="M301" s="114" t="str">
        <f aca="false">IFERROR(INDEX('Historical Data'!$Q$2:$Q$9,MATCH($A301,'Historical Data'!$BE$2:$BE$9,0)),"")</f>
        <v/>
      </c>
      <c r="N301" s="115" t="str">
        <f aca="false">IFERROR(INDEX('Historical Data'!$S$2:$S$9,MATCH($A301,'Historical Data'!$BE$2:$BE$9,0)),"")</f>
        <v/>
      </c>
      <c r="O301" s="114" t="str">
        <f aca="false">IFERROR(INDEX('Historical Data'!$AJ$2:$AJ$9,MATCH($A301,'Historical Data'!$BE$2:$BE$9,0)),"")</f>
        <v/>
      </c>
      <c r="P301" s="114" t="str">
        <f aca="false">IFERROR(INDEX('Historical Data'!$AK$2:$AK$9,MATCH($A301,'Historical Data'!$BE$2:$BE$9,0)),"")</f>
        <v/>
      </c>
      <c r="Q301" s="111" t="str">
        <f aca="false">IFERROR(INDEX('Historical Data'!$AA$2:$AA$9,MATCH($A301,'Historical Data'!$BE$2:$BE$9,0)),"")</f>
        <v/>
      </c>
      <c r="R301" s="111" t="str">
        <f aca="false">IFERROR(INDEX('Historical Data'!$AB$2:$AB$9,MATCH($A301,'Historical Data'!$BE$2:$BE$9,0)),"")</f>
        <v/>
      </c>
      <c r="S301" s="111" t="str">
        <f aca="false">IFERROR(INDEX('Historical Data'!$AN$2:$AN$9,MATCH($A301,'Historical Data'!$BE$2:$BE$9,0)),"")</f>
        <v/>
      </c>
      <c r="T301" s="111" t="str">
        <f aca="false">IFERROR(INDEX('Historical Data'!$AC$2:$AC$9,MATCH($A301,'Historical Data'!$BE$2:$BE$9,0)),"")</f>
        <v/>
      </c>
      <c r="U301" s="111" t="str">
        <f aca="false">IFERROR(INDEX('Historical Data'!$AE$2:$AE$9,MATCH($A301,'Historical Data'!$BE$2:$BE$9,0)),"")</f>
        <v/>
      </c>
      <c r="V301" s="111" t="str">
        <f aca="false">IFERROR(INDEX('Historical Data'!$AH$2:$AH$9,MATCH($A301,'Historical Data'!$BE$2:$BE$9,0)),"")</f>
        <v/>
      </c>
      <c r="W301" s="111" t="str">
        <f aca="false">IFERROR(INDEX('Historical Data'!$BC$2:$BC$9,MATCH($A301,'Historical Data'!$BE$2:$BE$9,0)),"")</f>
        <v/>
      </c>
      <c r="X301" s="110" t="str">
        <f aca="false">IF(B301="","",IF(W301=1,"NR + industry + position",IF(W301=2,"NR + ISO + position",IF(W301=3,"NR + industry",IF(W301=4,"NR + ISO",IF(W301=5,"NR + position",IF(W301=6,"NR only","book baseline"))))))&amp;"  ["&amp;IF(T301=1,"seasoned","unseasoned")&amp;IF(U301=1,", defaulted","")&amp;IF(V301=1,", open","")&amp;"]")</f>
        <v/>
      </c>
    </row>
    <row r="302" customFormat="false" ht="15" hidden="false" customHeight="false" outlineLevel="0" collapsed="false">
      <c r="A302" s="110" t="n">
        <v>298</v>
      </c>
      <c r="B302" s="111" t="str">
        <f aca="false">IFERROR(INDEX('Historical Data'!$A$2:$A$9,MATCH($A302,'Historical Data'!$BE$2:$BE$9,0)),"")</f>
        <v/>
      </c>
      <c r="C302" s="111" t="str">
        <f aca="false">IFERROR(INDEX('Historical Data'!$B$2:$B$9,MATCH($A302,'Historical Data'!$BE$2:$BE$9,0)),"")</f>
        <v/>
      </c>
      <c r="D302" s="111" t="str">
        <f aca="false">IFERROR(INDEX('Historical Data'!$D$2:$D$9,MATCH($A302,'Historical Data'!$BE$2:$BE$9,0)),"")</f>
        <v/>
      </c>
      <c r="E302" s="112" t="str">
        <f aca="false">IFERROR(INDEX('Historical Data'!$E$2:$E$9,MATCH($A302,'Historical Data'!$BE$2:$BE$9,0)),"")</f>
        <v/>
      </c>
      <c r="F302" s="111" t="str">
        <f aca="false">IFERROR(INDEX('Historical Data'!$G$2:$G$9,MATCH($A302,'Historical Data'!$BE$2:$BE$9,0)),"")</f>
        <v/>
      </c>
      <c r="G302" s="111" t="str">
        <f aca="false">IFERROR(INDEX('Historical Data'!$Y$2:$Y$9,MATCH($A302,'Historical Data'!$BE$2:$BE$9,0)),"")</f>
        <v/>
      </c>
      <c r="H302" s="111" t="str">
        <f aca="false">IFERROR(INDEX('Historical Data'!$K$2:$K$9,MATCH($A302,'Historical Data'!$BE$2:$BE$9,0)),"")</f>
        <v/>
      </c>
      <c r="I302" s="111" t="str">
        <f aca="false">IFERROR(INDEX('Historical Data'!$J$2:$J$9,MATCH($A302,'Historical Data'!$BE$2:$BE$9,0)),"")</f>
        <v/>
      </c>
      <c r="J302" s="111" t="str">
        <f aca="false">IFERROR(INDEX('Historical Data'!$L$2:$L$9,MATCH($A302,'Historical Data'!$BE$2:$BE$9,0)),"")</f>
        <v/>
      </c>
      <c r="K302" s="113" t="str">
        <f aca="false">IFERROR(INDEX('Historical Data'!$M$2:$M$9,MATCH($A302,'Historical Data'!$BE$2:$BE$9,0)),"")</f>
        <v/>
      </c>
      <c r="L302" s="114" t="str">
        <f aca="false">IFERROR(INDEX('Historical Data'!$N$2:$N$9,MATCH($A302,'Historical Data'!$BE$2:$BE$9,0)),"")</f>
        <v/>
      </c>
      <c r="M302" s="114" t="str">
        <f aca="false">IFERROR(INDEX('Historical Data'!$Q$2:$Q$9,MATCH($A302,'Historical Data'!$BE$2:$BE$9,0)),"")</f>
        <v/>
      </c>
      <c r="N302" s="115" t="str">
        <f aca="false">IFERROR(INDEX('Historical Data'!$S$2:$S$9,MATCH($A302,'Historical Data'!$BE$2:$BE$9,0)),"")</f>
        <v/>
      </c>
      <c r="O302" s="114" t="str">
        <f aca="false">IFERROR(INDEX('Historical Data'!$AJ$2:$AJ$9,MATCH($A302,'Historical Data'!$BE$2:$BE$9,0)),"")</f>
        <v/>
      </c>
      <c r="P302" s="114" t="str">
        <f aca="false">IFERROR(INDEX('Historical Data'!$AK$2:$AK$9,MATCH($A302,'Historical Data'!$BE$2:$BE$9,0)),"")</f>
        <v/>
      </c>
      <c r="Q302" s="111" t="str">
        <f aca="false">IFERROR(INDEX('Historical Data'!$AA$2:$AA$9,MATCH($A302,'Historical Data'!$BE$2:$BE$9,0)),"")</f>
        <v/>
      </c>
      <c r="R302" s="111" t="str">
        <f aca="false">IFERROR(INDEX('Historical Data'!$AB$2:$AB$9,MATCH($A302,'Historical Data'!$BE$2:$BE$9,0)),"")</f>
        <v/>
      </c>
      <c r="S302" s="111" t="str">
        <f aca="false">IFERROR(INDEX('Historical Data'!$AN$2:$AN$9,MATCH($A302,'Historical Data'!$BE$2:$BE$9,0)),"")</f>
        <v/>
      </c>
      <c r="T302" s="111" t="str">
        <f aca="false">IFERROR(INDEX('Historical Data'!$AC$2:$AC$9,MATCH($A302,'Historical Data'!$BE$2:$BE$9,0)),"")</f>
        <v/>
      </c>
      <c r="U302" s="111" t="str">
        <f aca="false">IFERROR(INDEX('Historical Data'!$AE$2:$AE$9,MATCH($A302,'Historical Data'!$BE$2:$BE$9,0)),"")</f>
        <v/>
      </c>
      <c r="V302" s="111" t="str">
        <f aca="false">IFERROR(INDEX('Historical Data'!$AH$2:$AH$9,MATCH($A302,'Historical Data'!$BE$2:$BE$9,0)),"")</f>
        <v/>
      </c>
      <c r="W302" s="111" t="str">
        <f aca="false">IFERROR(INDEX('Historical Data'!$BC$2:$BC$9,MATCH($A302,'Historical Data'!$BE$2:$BE$9,0)),"")</f>
        <v/>
      </c>
      <c r="X302" s="110" t="str">
        <f aca="false">IF(B302="","",IF(W302=1,"NR + industry + position",IF(W302=2,"NR + ISO + position",IF(W302=3,"NR + industry",IF(W302=4,"NR + ISO",IF(W302=5,"NR + position",IF(W302=6,"NR only","book baseline"))))))&amp;"  ["&amp;IF(T302=1,"seasoned","unseasoned")&amp;IF(U302=1,", defaulted","")&amp;IF(V302=1,", open","")&amp;"]")</f>
        <v/>
      </c>
    </row>
    <row r="303" customFormat="false" ht="15" hidden="false" customHeight="false" outlineLevel="0" collapsed="false">
      <c r="A303" s="110" t="n">
        <v>299</v>
      </c>
      <c r="B303" s="111" t="str">
        <f aca="false">IFERROR(INDEX('Historical Data'!$A$2:$A$9,MATCH($A303,'Historical Data'!$BE$2:$BE$9,0)),"")</f>
        <v/>
      </c>
      <c r="C303" s="111" t="str">
        <f aca="false">IFERROR(INDEX('Historical Data'!$B$2:$B$9,MATCH($A303,'Historical Data'!$BE$2:$BE$9,0)),"")</f>
        <v/>
      </c>
      <c r="D303" s="111" t="str">
        <f aca="false">IFERROR(INDEX('Historical Data'!$D$2:$D$9,MATCH($A303,'Historical Data'!$BE$2:$BE$9,0)),"")</f>
        <v/>
      </c>
      <c r="E303" s="112" t="str">
        <f aca="false">IFERROR(INDEX('Historical Data'!$E$2:$E$9,MATCH($A303,'Historical Data'!$BE$2:$BE$9,0)),"")</f>
        <v/>
      </c>
      <c r="F303" s="111" t="str">
        <f aca="false">IFERROR(INDEX('Historical Data'!$G$2:$G$9,MATCH($A303,'Historical Data'!$BE$2:$BE$9,0)),"")</f>
        <v/>
      </c>
      <c r="G303" s="111" t="str">
        <f aca="false">IFERROR(INDEX('Historical Data'!$Y$2:$Y$9,MATCH($A303,'Historical Data'!$BE$2:$BE$9,0)),"")</f>
        <v/>
      </c>
      <c r="H303" s="111" t="str">
        <f aca="false">IFERROR(INDEX('Historical Data'!$K$2:$K$9,MATCH($A303,'Historical Data'!$BE$2:$BE$9,0)),"")</f>
        <v/>
      </c>
      <c r="I303" s="111" t="str">
        <f aca="false">IFERROR(INDEX('Historical Data'!$J$2:$J$9,MATCH($A303,'Historical Data'!$BE$2:$BE$9,0)),"")</f>
        <v/>
      </c>
      <c r="J303" s="111" t="str">
        <f aca="false">IFERROR(INDEX('Historical Data'!$L$2:$L$9,MATCH($A303,'Historical Data'!$BE$2:$BE$9,0)),"")</f>
        <v/>
      </c>
      <c r="K303" s="113" t="str">
        <f aca="false">IFERROR(INDEX('Historical Data'!$M$2:$M$9,MATCH($A303,'Historical Data'!$BE$2:$BE$9,0)),"")</f>
        <v/>
      </c>
      <c r="L303" s="114" t="str">
        <f aca="false">IFERROR(INDEX('Historical Data'!$N$2:$N$9,MATCH($A303,'Historical Data'!$BE$2:$BE$9,0)),"")</f>
        <v/>
      </c>
      <c r="M303" s="114" t="str">
        <f aca="false">IFERROR(INDEX('Historical Data'!$Q$2:$Q$9,MATCH($A303,'Historical Data'!$BE$2:$BE$9,0)),"")</f>
        <v/>
      </c>
      <c r="N303" s="115" t="str">
        <f aca="false">IFERROR(INDEX('Historical Data'!$S$2:$S$9,MATCH($A303,'Historical Data'!$BE$2:$BE$9,0)),"")</f>
        <v/>
      </c>
      <c r="O303" s="114" t="str">
        <f aca="false">IFERROR(INDEX('Historical Data'!$AJ$2:$AJ$9,MATCH($A303,'Historical Data'!$BE$2:$BE$9,0)),"")</f>
        <v/>
      </c>
      <c r="P303" s="114" t="str">
        <f aca="false">IFERROR(INDEX('Historical Data'!$AK$2:$AK$9,MATCH($A303,'Historical Data'!$BE$2:$BE$9,0)),"")</f>
        <v/>
      </c>
      <c r="Q303" s="111" t="str">
        <f aca="false">IFERROR(INDEX('Historical Data'!$AA$2:$AA$9,MATCH($A303,'Historical Data'!$BE$2:$BE$9,0)),"")</f>
        <v/>
      </c>
      <c r="R303" s="111" t="str">
        <f aca="false">IFERROR(INDEX('Historical Data'!$AB$2:$AB$9,MATCH($A303,'Historical Data'!$BE$2:$BE$9,0)),"")</f>
        <v/>
      </c>
      <c r="S303" s="111" t="str">
        <f aca="false">IFERROR(INDEX('Historical Data'!$AN$2:$AN$9,MATCH($A303,'Historical Data'!$BE$2:$BE$9,0)),"")</f>
        <v/>
      </c>
      <c r="T303" s="111" t="str">
        <f aca="false">IFERROR(INDEX('Historical Data'!$AC$2:$AC$9,MATCH($A303,'Historical Data'!$BE$2:$BE$9,0)),"")</f>
        <v/>
      </c>
      <c r="U303" s="111" t="str">
        <f aca="false">IFERROR(INDEX('Historical Data'!$AE$2:$AE$9,MATCH($A303,'Historical Data'!$BE$2:$BE$9,0)),"")</f>
        <v/>
      </c>
      <c r="V303" s="111" t="str">
        <f aca="false">IFERROR(INDEX('Historical Data'!$AH$2:$AH$9,MATCH($A303,'Historical Data'!$BE$2:$BE$9,0)),"")</f>
        <v/>
      </c>
      <c r="W303" s="111" t="str">
        <f aca="false">IFERROR(INDEX('Historical Data'!$BC$2:$BC$9,MATCH($A303,'Historical Data'!$BE$2:$BE$9,0)),"")</f>
        <v/>
      </c>
      <c r="X303" s="110" t="str">
        <f aca="false">IF(B303="","",IF(W303=1,"NR + industry + position",IF(W303=2,"NR + ISO + position",IF(W303=3,"NR + industry",IF(W303=4,"NR + ISO",IF(W303=5,"NR + position",IF(W303=6,"NR only","book baseline"))))))&amp;"  ["&amp;IF(T303=1,"seasoned","unseasoned")&amp;IF(U303=1,", defaulted","")&amp;IF(V303=1,", open","")&amp;"]")</f>
        <v/>
      </c>
    </row>
    <row r="304" customFormat="false" ht="15" hidden="false" customHeight="false" outlineLevel="0" collapsed="false">
      <c r="A304" s="110" t="n">
        <v>300</v>
      </c>
      <c r="B304" s="111" t="str">
        <f aca="false">IFERROR(INDEX('Historical Data'!$A$2:$A$9,MATCH($A304,'Historical Data'!$BE$2:$BE$9,0)),"")</f>
        <v/>
      </c>
      <c r="C304" s="111" t="str">
        <f aca="false">IFERROR(INDEX('Historical Data'!$B$2:$B$9,MATCH($A304,'Historical Data'!$BE$2:$BE$9,0)),"")</f>
        <v/>
      </c>
      <c r="D304" s="111" t="str">
        <f aca="false">IFERROR(INDEX('Historical Data'!$D$2:$D$9,MATCH($A304,'Historical Data'!$BE$2:$BE$9,0)),"")</f>
        <v/>
      </c>
      <c r="E304" s="112" t="str">
        <f aca="false">IFERROR(INDEX('Historical Data'!$E$2:$E$9,MATCH($A304,'Historical Data'!$BE$2:$BE$9,0)),"")</f>
        <v/>
      </c>
      <c r="F304" s="111" t="str">
        <f aca="false">IFERROR(INDEX('Historical Data'!$G$2:$G$9,MATCH($A304,'Historical Data'!$BE$2:$BE$9,0)),"")</f>
        <v/>
      </c>
      <c r="G304" s="111" t="str">
        <f aca="false">IFERROR(INDEX('Historical Data'!$Y$2:$Y$9,MATCH($A304,'Historical Data'!$BE$2:$BE$9,0)),"")</f>
        <v/>
      </c>
      <c r="H304" s="111" t="str">
        <f aca="false">IFERROR(INDEX('Historical Data'!$K$2:$K$9,MATCH($A304,'Historical Data'!$BE$2:$BE$9,0)),"")</f>
        <v/>
      </c>
      <c r="I304" s="111" t="str">
        <f aca="false">IFERROR(INDEX('Historical Data'!$J$2:$J$9,MATCH($A304,'Historical Data'!$BE$2:$BE$9,0)),"")</f>
        <v/>
      </c>
      <c r="J304" s="111" t="str">
        <f aca="false">IFERROR(INDEX('Historical Data'!$L$2:$L$9,MATCH($A304,'Historical Data'!$BE$2:$BE$9,0)),"")</f>
        <v/>
      </c>
      <c r="K304" s="113" t="str">
        <f aca="false">IFERROR(INDEX('Historical Data'!$M$2:$M$9,MATCH($A304,'Historical Data'!$BE$2:$BE$9,0)),"")</f>
        <v/>
      </c>
      <c r="L304" s="114" t="str">
        <f aca="false">IFERROR(INDEX('Historical Data'!$N$2:$N$9,MATCH($A304,'Historical Data'!$BE$2:$BE$9,0)),"")</f>
        <v/>
      </c>
      <c r="M304" s="114" t="str">
        <f aca="false">IFERROR(INDEX('Historical Data'!$Q$2:$Q$9,MATCH($A304,'Historical Data'!$BE$2:$BE$9,0)),"")</f>
        <v/>
      </c>
      <c r="N304" s="115" t="str">
        <f aca="false">IFERROR(INDEX('Historical Data'!$S$2:$S$9,MATCH($A304,'Historical Data'!$BE$2:$BE$9,0)),"")</f>
        <v/>
      </c>
      <c r="O304" s="114" t="str">
        <f aca="false">IFERROR(INDEX('Historical Data'!$AJ$2:$AJ$9,MATCH($A304,'Historical Data'!$BE$2:$BE$9,0)),"")</f>
        <v/>
      </c>
      <c r="P304" s="114" t="str">
        <f aca="false">IFERROR(INDEX('Historical Data'!$AK$2:$AK$9,MATCH($A304,'Historical Data'!$BE$2:$BE$9,0)),"")</f>
        <v/>
      </c>
      <c r="Q304" s="111" t="str">
        <f aca="false">IFERROR(INDEX('Historical Data'!$AA$2:$AA$9,MATCH($A304,'Historical Data'!$BE$2:$BE$9,0)),"")</f>
        <v/>
      </c>
      <c r="R304" s="111" t="str">
        <f aca="false">IFERROR(INDEX('Historical Data'!$AB$2:$AB$9,MATCH($A304,'Historical Data'!$BE$2:$BE$9,0)),"")</f>
        <v/>
      </c>
      <c r="S304" s="111" t="str">
        <f aca="false">IFERROR(INDEX('Historical Data'!$AN$2:$AN$9,MATCH($A304,'Historical Data'!$BE$2:$BE$9,0)),"")</f>
        <v/>
      </c>
      <c r="T304" s="111" t="str">
        <f aca="false">IFERROR(INDEX('Historical Data'!$AC$2:$AC$9,MATCH($A304,'Historical Data'!$BE$2:$BE$9,0)),"")</f>
        <v/>
      </c>
      <c r="U304" s="111" t="str">
        <f aca="false">IFERROR(INDEX('Historical Data'!$AE$2:$AE$9,MATCH($A304,'Historical Data'!$BE$2:$BE$9,0)),"")</f>
        <v/>
      </c>
      <c r="V304" s="111" t="str">
        <f aca="false">IFERROR(INDEX('Historical Data'!$AH$2:$AH$9,MATCH($A304,'Historical Data'!$BE$2:$BE$9,0)),"")</f>
        <v/>
      </c>
      <c r="W304" s="111" t="str">
        <f aca="false">IFERROR(INDEX('Historical Data'!$BC$2:$BC$9,MATCH($A304,'Historical Data'!$BE$2:$BE$9,0)),"")</f>
        <v/>
      </c>
      <c r="X304" s="110" t="str">
        <f aca="false">IF(B304="","",IF(W304=1,"NR + industry + position",IF(W304=2,"NR + ISO + position",IF(W304=3,"NR + industry",IF(W304=4,"NR + ISO",IF(W304=5,"NR + position",IF(W304=6,"NR only","book baseline"))))))&amp;"  ["&amp;IF(T304=1,"seasoned","unseasoned")&amp;IF(U304=1,", defaulted","")&amp;IF(V304=1,", open","")&amp;"]")</f>
        <v/>
      </c>
    </row>
    <row r="305" customFormat="false" ht="15" hidden="false" customHeight="false" outlineLevel="0" collapsed="false">
      <c r="A305" s="110" t="n">
        <v>301</v>
      </c>
      <c r="B305" s="111" t="str">
        <f aca="false">IFERROR(INDEX('Historical Data'!$A$2:$A$9,MATCH($A305,'Historical Data'!$BE$2:$BE$9,0)),"")</f>
        <v/>
      </c>
      <c r="C305" s="111" t="str">
        <f aca="false">IFERROR(INDEX('Historical Data'!$B$2:$B$9,MATCH($A305,'Historical Data'!$BE$2:$BE$9,0)),"")</f>
        <v/>
      </c>
      <c r="D305" s="111" t="str">
        <f aca="false">IFERROR(INDEX('Historical Data'!$D$2:$D$9,MATCH($A305,'Historical Data'!$BE$2:$BE$9,0)),"")</f>
        <v/>
      </c>
      <c r="E305" s="112" t="str">
        <f aca="false">IFERROR(INDEX('Historical Data'!$E$2:$E$9,MATCH($A305,'Historical Data'!$BE$2:$BE$9,0)),"")</f>
        <v/>
      </c>
      <c r="F305" s="111" t="str">
        <f aca="false">IFERROR(INDEX('Historical Data'!$G$2:$G$9,MATCH($A305,'Historical Data'!$BE$2:$BE$9,0)),"")</f>
        <v/>
      </c>
      <c r="G305" s="111" t="str">
        <f aca="false">IFERROR(INDEX('Historical Data'!$Y$2:$Y$9,MATCH($A305,'Historical Data'!$BE$2:$BE$9,0)),"")</f>
        <v/>
      </c>
      <c r="H305" s="111" t="str">
        <f aca="false">IFERROR(INDEX('Historical Data'!$K$2:$K$9,MATCH($A305,'Historical Data'!$BE$2:$BE$9,0)),"")</f>
        <v/>
      </c>
      <c r="I305" s="111" t="str">
        <f aca="false">IFERROR(INDEX('Historical Data'!$J$2:$J$9,MATCH($A305,'Historical Data'!$BE$2:$BE$9,0)),"")</f>
        <v/>
      </c>
      <c r="J305" s="111" t="str">
        <f aca="false">IFERROR(INDEX('Historical Data'!$L$2:$L$9,MATCH($A305,'Historical Data'!$BE$2:$BE$9,0)),"")</f>
        <v/>
      </c>
      <c r="K305" s="113" t="str">
        <f aca="false">IFERROR(INDEX('Historical Data'!$M$2:$M$9,MATCH($A305,'Historical Data'!$BE$2:$BE$9,0)),"")</f>
        <v/>
      </c>
      <c r="L305" s="114" t="str">
        <f aca="false">IFERROR(INDEX('Historical Data'!$N$2:$N$9,MATCH($A305,'Historical Data'!$BE$2:$BE$9,0)),"")</f>
        <v/>
      </c>
      <c r="M305" s="114" t="str">
        <f aca="false">IFERROR(INDEX('Historical Data'!$Q$2:$Q$9,MATCH($A305,'Historical Data'!$BE$2:$BE$9,0)),"")</f>
        <v/>
      </c>
      <c r="N305" s="115" t="str">
        <f aca="false">IFERROR(INDEX('Historical Data'!$S$2:$S$9,MATCH($A305,'Historical Data'!$BE$2:$BE$9,0)),"")</f>
        <v/>
      </c>
      <c r="O305" s="114" t="str">
        <f aca="false">IFERROR(INDEX('Historical Data'!$AJ$2:$AJ$9,MATCH($A305,'Historical Data'!$BE$2:$BE$9,0)),"")</f>
        <v/>
      </c>
      <c r="P305" s="114" t="str">
        <f aca="false">IFERROR(INDEX('Historical Data'!$AK$2:$AK$9,MATCH($A305,'Historical Data'!$BE$2:$BE$9,0)),"")</f>
        <v/>
      </c>
      <c r="Q305" s="111" t="str">
        <f aca="false">IFERROR(INDEX('Historical Data'!$AA$2:$AA$9,MATCH($A305,'Historical Data'!$BE$2:$BE$9,0)),"")</f>
        <v/>
      </c>
      <c r="R305" s="111" t="str">
        <f aca="false">IFERROR(INDEX('Historical Data'!$AB$2:$AB$9,MATCH($A305,'Historical Data'!$BE$2:$BE$9,0)),"")</f>
        <v/>
      </c>
      <c r="S305" s="111" t="str">
        <f aca="false">IFERROR(INDEX('Historical Data'!$AN$2:$AN$9,MATCH($A305,'Historical Data'!$BE$2:$BE$9,0)),"")</f>
        <v/>
      </c>
      <c r="T305" s="111" t="str">
        <f aca="false">IFERROR(INDEX('Historical Data'!$AC$2:$AC$9,MATCH($A305,'Historical Data'!$BE$2:$BE$9,0)),"")</f>
        <v/>
      </c>
      <c r="U305" s="111" t="str">
        <f aca="false">IFERROR(INDEX('Historical Data'!$AE$2:$AE$9,MATCH($A305,'Historical Data'!$BE$2:$BE$9,0)),"")</f>
        <v/>
      </c>
      <c r="V305" s="111" t="str">
        <f aca="false">IFERROR(INDEX('Historical Data'!$AH$2:$AH$9,MATCH($A305,'Historical Data'!$BE$2:$BE$9,0)),"")</f>
        <v/>
      </c>
      <c r="W305" s="111" t="str">
        <f aca="false">IFERROR(INDEX('Historical Data'!$BC$2:$BC$9,MATCH($A305,'Historical Data'!$BE$2:$BE$9,0)),"")</f>
        <v/>
      </c>
      <c r="X305" s="110" t="str">
        <f aca="false">IF(B305="","",IF(W305=1,"NR + industry + position",IF(W305=2,"NR + ISO + position",IF(W305=3,"NR + industry",IF(W305=4,"NR + ISO",IF(W305=5,"NR + position",IF(W305=6,"NR only","book baseline"))))))&amp;"  ["&amp;IF(T305=1,"seasoned","unseasoned")&amp;IF(U305=1,", defaulted","")&amp;IF(V305=1,", open","")&amp;"]")</f>
        <v/>
      </c>
    </row>
    <row r="306" customFormat="false" ht="15" hidden="false" customHeight="false" outlineLevel="0" collapsed="false">
      <c r="A306" s="110" t="n">
        <v>302</v>
      </c>
      <c r="B306" s="111" t="str">
        <f aca="false">IFERROR(INDEX('Historical Data'!$A$2:$A$9,MATCH($A306,'Historical Data'!$BE$2:$BE$9,0)),"")</f>
        <v/>
      </c>
      <c r="C306" s="111" t="str">
        <f aca="false">IFERROR(INDEX('Historical Data'!$B$2:$B$9,MATCH($A306,'Historical Data'!$BE$2:$BE$9,0)),"")</f>
        <v/>
      </c>
      <c r="D306" s="111" t="str">
        <f aca="false">IFERROR(INDEX('Historical Data'!$D$2:$D$9,MATCH($A306,'Historical Data'!$BE$2:$BE$9,0)),"")</f>
        <v/>
      </c>
      <c r="E306" s="112" t="str">
        <f aca="false">IFERROR(INDEX('Historical Data'!$E$2:$E$9,MATCH($A306,'Historical Data'!$BE$2:$BE$9,0)),"")</f>
        <v/>
      </c>
      <c r="F306" s="111" t="str">
        <f aca="false">IFERROR(INDEX('Historical Data'!$G$2:$G$9,MATCH($A306,'Historical Data'!$BE$2:$BE$9,0)),"")</f>
        <v/>
      </c>
      <c r="G306" s="111" t="str">
        <f aca="false">IFERROR(INDEX('Historical Data'!$Y$2:$Y$9,MATCH($A306,'Historical Data'!$BE$2:$BE$9,0)),"")</f>
        <v/>
      </c>
      <c r="H306" s="111" t="str">
        <f aca="false">IFERROR(INDEX('Historical Data'!$K$2:$K$9,MATCH($A306,'Historical Data'!$BE$2:$BE$9,0)),"")</f>
        <v/>
      </c>
      <c r="I306" s="111" t="str">
        <f aca="false">IFERROR(INDEX('Historical Data'!$J$2:$J$9,MATCH($A306,'Historical Data'!$BE$2:$BE$9,0)),"")</f>
        <v/>
      </c>
      <c r="J306" s="111" t="str">
        <f aca="false">IFERROR(INDEX('Historical Data'!$L$2:$L$9,MATCH($A306,'Historical Data'!$BE$2:$BE$9,0)),"")</f>
        <v/>
      </c>
      <c r="K306" s="113" t="str">
        <f aca="false">IFERROR(INDEX('Historical Data'!$M$2:$M$9,MATCH($A306,'Historical Data'!$BE$2:$BE$9,0)),"")</f>
        <v/>
      </c>
      <c r="L306" s="114" t="str">
        <f aca="false">IFERROR(INDEX('Historical Data'!$N$2:$N$9,MATCH($A306,'Historical Data'!$BE$2:$BE$9,0)),"")</f>
        <v/>
      </c>
      <c r="M306" s="114" t="str">
        <f aca="false">IFERROR(INDEX('Historical Data'!$Q$2:$Q$9,MATCH($A306,'Historical Data'!$BE$2:$BE$9,0)),"")</f>
        <v/>
      </c>
      <c r="N306" s="115" t="str">
        <f aca="false">IFERROR(INDEX('Historical Data'!$S$2:$S$9,MATCH($A306,'Historical Data'!$BE$2:$BE$9,0)),"")</f>
        <v/>
      </c>
      <c r="O306" s="114" t="str">
        <f aca="false">IFERROR(INDEX('Historical Data'!$AJ$2:$AJ$9,MATCH($A306,'Historical Data'!$BE$2:$BE$9,0)),"")</f>
        <v/>
      </c>
      <c r="P306" s="114" t="str">
        <f aca="false">IFERROR(INDEX('Historical Data'!$AK$2:$AK$9,MATCH($A306,'Historical Data'!$BE$2:$BE$9,0)),"")</f>
        <v/>
      </c>
      <c r="Q306" s="111" t="str">
        <f aca="false">IFERROR(INDEX('Historical Data'!$AA$2:$AA$9,MATCH($A306,'Historical Data'!$BE$2:$BE$9,0)),"")</f>
        <v/>
      </c>
      <c r="R306" s="111" t="str">
        <f aca="false">IFERROR(INDEX('Historical Data'!$AB$2:$AB$9,MATCH($A306,'Historical Data'!$BE$2:$BE$9,0)),"")</f>
        <v/>
      </c>
      <c r="S306" s="111" t="str">
        <f aca="false">IFERROR(INDEX('Historical Data'!$AN$2:$AN$9,MATCH($A306,'Historical Data'!$BE$2:$BE$9,0)),"")</f>
        <v/>
      </c>
      <c r="T306" s="111" t="str">
        <f aca="false">IFERROR(INDEX('Historical Data'!$AC$2:$AC$9,MATCH($A306,'Historical Data'!$BE$2:$BE$9,0)),"")</f>
        <v/>
      </c>
      <c r="U306" s="111" t="str">
        <f aca="false">IFERROR(INDEX('Historical Data'!$AE$2:$AE$9,MATCH($A306,'Historical Data'!$BE$2:$BE$9,0)),"")</f>
        <v/>
      </c>
      <c r="V306" s="111" t="str">
        <f aca="false">IFERROR(INDEX('Historical Data'!$AH$2:$AH$9,MATCH($A306,'Historical Data'!$BE$2:$BE$9,0)),"")</f>
        <v/>
      </c>
      <c r="W306" s="111" t="str">
        <f aca="false">IFERROR(INDEX('Historical Data'!$BC$2:$BC$9,MATCH($A306,'Historical Data'!$BE$2:$BE$9,0)),"")</f>
        <v/>
      </c>
      <c r="X306" s="110" t="str">
        <f aca="false">IF(B306="","",IF(W306=1,"NR + industry + position",IF(W306=2,"NR + ISO + position",IF(W306=3,"NR + industry",IF(W306=4,"NR + ISO",IF(W306=5,"NR + position",IF(W306=6,"NR only","book baseline"))))))&amp;"  ["&amp;IF(T306=1,"seasoned","unseasoned")&amp;IF(U306=1,", defaulted","")&amp;IF(V306=1,", open","")&amp;"]")</f>
        <v/>
      </c>
    </row>
    <row r="307" customFormat="false" ht="15" hidden="false" customHeight="false" outlineLevel="0" collapsed="false">
      <c r="A307" s="110" t="n">
        <v>303</v>
      </c>
      <c r="B307" s="111" t="str">
        <f aca="false">IFERROR(INDEX('Historical Data'!$A$2:$A$9,MATCH($A307,'Historical Data'!$BE$2:$BE$9,0)),"")</f>
        <v/>
      </c>
      <c r="C307" s="111" t="str">
        <f aca="false">IFERROR(INDEX('Historical Data'!$B$2:$B$9,MATCH($A307,'Historical Data'!$BE$2:$BE$9,0)),"")</f>
        <v/>
      </c>
      <c r="D307" s="111" t="str">
        <f aca="false">IFERROR(INDEX('Historical Data'!$D$2:$D$9,MATCH($A307,'Historical Data'!$BE$2:$BE$9,0)),"")</f>
        <v/>
      </c>
      <c r="E307" s="112" t="str">
        <f aca="false">IFERROR(INDEX('Historical Data'!$E$2:$E$9,MATCH($A307,'Historical Data'!$BE$2:$BE$9,0)),"")</f>
        <v/>
      </c>
      <c r="F307" s="111" t="str">
        <f aca="false">IFERROR(INDEX('Historical Data'!$G$2:$G$9,MATCH($A307,'Historical Data'!$BE$2:$BE$9,0)),"")</f>
        <v/>
      </c>
      <c r="G307" s="111" t="str">
        <f aca="false">IFERROR(INDEX('Historical Data'!$Y$2:$Y$9,MATCH($A307,'Historical Data'!$BE$2:$BE$9,0)),"")</f>
        <v/>
      </c>
      <c r="H307" s="111" t="str">
        <f aca="false">IFERROR(INDEX('Historical Data'!$K$2:$K$9,MATCH($A307,'Historical Data'!$BE$2:$BE$9,0)),"")</f>
        <v/>
      </c>
      <c r="I307" s="111" t="str">
        <f aca="false">IFERROR(INDEX('Historical Data'!$J$2:$J$9,MATCH($A307,'Historical Data'!$BE$2:$BE$9,0)),"")</f>
        <v/>
      </c>
      <c r="J307" s="111" t="str">
        <f aca="false">IFERROR(INDEX('Historical Data'!$L$2:$L$9,MATCH($A307,'Historical Data'!$BE$2:$BE$9,0)),"")</f>
        <v/>
      </c>
      <c r="K307" s="113" t="str">
        <f aca="false">IFERROR(INDEX('Historical Data'!$M$2:$M$9,MATCH($A307,'Historical Data'!$BE$2:$BE$9,0)),"")</f>
        <v/>
      </c>
      <c r="L307" s="114" t="str">
        <f aca="false">IFERROR(INDEX('Historical Data'!$N$2:$N$9,MATCH($A307,'Historical Data'!$BE$2:$BE$9,0)),"")</f>
        <v/>
      </c>
      <c r="M307" s="114" t="str">
        <f aca="false">IFERROR(INDEX('Historical Data'!$Q$2:$Q$9,MATCH($A307,'Historical Data'!$BE$2:$BE$9,0)),"")</f>
        <v/>
      </c>
      <c r="N307" s="115" t="str">
        <f aca="false">IFERROR(INDEX('Historical Data'!$S$2:$S$9,MATCH($A307,'Historical Data'!$BE$2:$BE$9,0)),"")</f>
        <v/>
      </c>
      <c r="O307" s="114" t="str">
        <f aca="false">IFERROR(INDEX('Historical Data'!$AJ$2:$AJ$9,MATCH($A307,'Historical Data'!$BE$2:$BE$9,0)),"")</f>
        <v/>
      </c>
      <c r="P307" s="114" t="str">
        <f aca="false">IFERROR(INDEX('Historical Data'!$AK$2:$AK$9,MATCH($A307,'Historical Data'!$BE$2:$BE$9,0)),"")</f>
        <v/>
      </c>
      <c r="Q307" s="111" t="str">
        <f aca="false">IFERROR(INDEX('Historical Data'!$AA$2:$AA$9,MATCH($A307,'Historical Data'!$BE$2:$BE$9,0)),"")</f>
        <v/>
      </c>
      <c r="R307" s="111" t="str">
        <f aca="false">IFERROR(INDEX('Historical Data'!$AB$2:$AB$9,MATCH($A307,'Historical Data'!$BE$2:$BE$9,0)),"")</f>
        <v/>
      </c>
      <c r="S307" s="111" t="str">
        <f aca="false">IFERROR(INDEX('Historical Data'!$AN$2:$AN$9,MATCH($A307,'Historical Data'!$BE$2:$BE$9,0)),"")</f>
        <v/>
      </c>
      <c r="T307" s="111" t="str">
        <f aca="false">IFERROR(INDEX('Historical Data'!$AC$2:$AC$9,MATCH($A307,'Historical Data'!$BE$2:$BE$9,0)),"")</f>
        <v/>
      </c>
      <c r="U307" s="111" t="str">
        <f aca="false">IFERROR(INDEX('Historical Data'!$AE$2:$AE$9,MATCH($A307,'Historical Data'!$BE$2:$BE$9,0)),"")</f>
        <v/>
      </c>
      <c r="V307" s="111" t="str">
        <f aca="false">IFERROR(INDEX('Historical Data'!$AH$2:$AH$9,MATCH($A307,'Historical Data'!$BE$2:$BE$9,0)),"")</f>
        <v/>
      </c>
      <c r="W307" s="111" t="str">
        <f aca="false">IFERROR(INDEX('Historical Data'!$BC$2:$BC$9,MATCH($A307,'Historical Data'!$BE$2:$BE$9,0)),"")</f>
        <v/>
      </c>
      <c r="X307" s="110" t="str">
        <f aca="false">IF(B307="","",IF(W307=1,"NR + industry + position",IF(W307=2,"NR + ISO + position",IF(W307=3,"NR + industry",IF(W307=4,"NR + ISO",IF(W307=5,"NR + position",IF(W307=6,"NR only","book baseline"))))))&amp;"  ["&amp;IF(T307=1,"seasoned","unseasoned")&amp;IF(U307=1,", defaulted","")&amp;IF(V307=1,", open","")&amp;"]")</f>
        <v/>
      </c>
    </row>
    <row r="308" customFormat="false" ht="15" hidden="false" customHeight="false" outlineLevel="0" collapsed="false">
      <c r="A308" s="110" t="n">
        <v>304</v>
      </c>
      <c r="B308" s="111" t="str">
        <f aca="false">IFERROR(INDEX('Historical Data'!$A$2:$A$9,MATCH($A308,'Historical Data'!$BE$2:$BE$9,0)),"")</f>
        <v/>
      </c>
      <c r="C308" s="111" t="str">
        <f aca="false">IFERROR(INDEX('Historical Data'!$B$2:$B$9,MATCH($A308,'Historical Data'!$BE$2:$BE$9,0)),"")</f>
        <v/>
      </c>
      <c r="D308" s="111" t="str">
        <f aca="false">IFERROR(INDEX('Historical Data'!$D$2:$D$9,MATCH($A308,'Historical Data'!$BE$2:$BE$9,0)),"")</f>
        <v/>
      </c>
      <c r="E308" s="112" t="str">
        <f aca="false">IFERROR(INDEX('Historical Data'!$E$2:$E$9,MATCH($A308,'Historical Data'!$BE$2:$BE$9,0)),"")</f>
        <v/>
      </c>
      <c r="F308" s="111" t="str">
        <f aca="false">IFERROR(INDEX('Historical Data'!$G$2:$G$9,MATCH($A308,'Historical Data'!$BE$2:$BE$9,0)),"")</f>
        <v/>
      </c>
      <c r="G308" s="111" t="str">
        <f aca="false">IFERROR(INDEX('Historical Data'!$Y$2:$Y$9,MATCH($A308,'Historical Data'!$BE$2:$BE$9,0)),"")</f>
        <v/>
      </c>
      <c r="H308" s="111" t="str">
        <f aca="false">IFERROR(INDEX('Historical Data'!$K$2:$K$9,MATCH($A308,'Historical Data'!$BE$2:$BE$9,0)),"")</f>
        <v/>
      </c>
      <c r="I308" s="111" t="str">
        <f aca="false">IFERROR(INDEX('Historical Data'!$J$2:$J$9,MATCH($A308,'Historical Data'!$BE$2:$BE$9,0)),"")</f>
        <v/>
      </c>
      <c r="J308" s="111" t="str">
        <f aca="false">IFERROR(INDEX('Historical Data'!$L$2:$L$9,MATCH($A308,'Historical Data'!$BE$2:$BE$9,0)),"")</f>
        <v/>
      </c>
      <c r="K308" s="113" t="str">
        <f aca="false">IFERROR(INDEX('Historical Data'!$M$2:$M$9,MATCH($A308,'Historical Data'!$BE$2:$BE$9,0)),"")</f>
        <v/>
      </c>
      <c r="L308" s="114" t="str">
        <f aca="false">IFERROR(INDEX('Historical Data'!$N$2:$N$9,MATCH($A308,'Historical Data'!$BE$2:$BE$9,0)),"")</f>
        <v/>
      </c>
      <c r="M308" s="114" t="str">
        <f aca="false">IFERROR(INDEX('Historical Data'!$Q$2:$Q$9,MATCH($A308,'Historical Data'!$BE$2:$BE$9,0)),"")</f>
        <v/>
      </c>
      <c r="N308" s="115" t="str">
        <f aca="false">IFERROR(INDEX('Historical Data'!$S$2:$S$9,MATCH($A308,'Historical Data'!$BE$2:$BE$9,0)),"")</f>
        <v/>
      </c>
      <c r="O308" s="114" t="str">
        <f aca="false">IFERROR(INDEX('Historical Data'!$AJ$2:$AJ$9,MATCH($A308,'Historical Data'!$BE$2:$BE$9,0)),"")</f>
        <v/>
      </c>
      <c r="P308" s="114" t="str">
        <f aca="false">IFERROR(INDEX('Historical Data'!$AK$2:$AK$9,MATCH($A308,'Historical Data'!$BE$2:$BE$9,0)),"")</f>
        <v/>
      </c>
      <c r="Q308" s="111" t="str">
        <f aca="false">IFERROR(INDEX('Historical Data'!$AA$2:$AA$9,MATCH($A308,'Historical Data'!$BE$2:$BE$9,0)),"")</f>
        <v/>
      </c>
      <c r="R308" s="111" t="str">
        <f aca="false">IFERROR(INDEX('Historical Data'!$AB$2:$AB$9,MATCH($A308,'Historical Data'!$BE$2:$BE$9,0)),"")</f>
        <v/>
      </c>
      <c r="S308" s="111" t="str">
        <f aca="false">IFERROR(INDEX('Historical Data'!$AN$2:$AN$9,MATCH($A308,'Historical Data'!$BE$2:$BE$9,0)),"")</f>
        <v/>
      </c>
      <c r="T308" s="111" t="str">
        <f aca="false">IFERROR(INDEX('Historical Data'!$AC$2:$AC$9,MATCH($A308,'Historical Data'!$BE$2:$BE$9,0)),"")</f>
        <v/>
      </c>
      <c r="U308" s="111" t="str">
        <f aca="false">IFERROR(INDEX('Historical Data'!$AE$2:$AE$9,MATCH($A308,'Historical Data'!$BE$2:$BE$9,0)),"")</f>
        <v/>
      </c>
      <c r="V308" s="111" t="str">
        <f aca="false">IFERROR(INDEX('Historical Data'!$AH$2:$AH$9,MATCH($A308,'Historical Data'!$BE$2:$BE$9,0)),"")</f>
        <v/>
      </c>
      <c r="W308" s="111" t="str">
        <f aca="false">IFERROR(INDEX('Historical Data'!$BC$2:$BC$9,MATCH($A308,'Historical Data'!$BE$2:$BE$9,0)),"")</f>
        <v/>
      </c>
      <c r="X308" s="110" t="str">
        <f aca="false">IF(B308="","",IF(W308=1,"NR + industry + position",IF(W308=2,"NR + ISO + position",IF(W308=3,"NR + industry",IF(W308=4,"NR + ISO",IF(W308=5,"NR + position",IF(W308=6,"NR only","book baseline"))))))&amp;"  ["&amp;IF(T308=1,"seasoned","unseasoned")&amp;IF(U308=1,", defaulted","")&amp;IF(V308=1,", open","")&amp;"]")</f>
        <v/>
      </c>
    </row>
    <row r="309" customFormat="false" ht="15" hidden="false" customHeight="false" outlineLevel="0" collapsed="false">
      <c r="A309" s="110" t="n">
        <v>305</v>
      </c>
      <c r="B309" s="111" t="str">
        <f aca="false">IFERROR(INDEX('Historical Data'!$A$2:$A$9,MATCH($A309,'Historical Data'!$BE$2:$BE$9,0)),"")</f>
        <v/>
      </c>
      <c r="C309" s="111" t="str">
        <f aca="false">IFERROR(INDEX('Historical Data'!$B$2:$B$9,MATCH($A309,'Historical Data'!$BE$2:$BE$9,0)),"")</f>
        <v/>
      </c>
      <c r="D309" s="111" t="str">
        <f aca="false">IFERROR(INDEX('Historical Data'!$D$2:$D$9,MATCH($A309,'Historical Data'!$BE$2:$BE$9,0)),"")</f>
        <v/>
      </c>
      <c r="E309" s="112" t="str">
        <f aca="false">IFERROR(INDEX('Historical Data'!$E$2:$E$9,MATCH($A309,'Historical Data'!$BE$2:$BE$9,0)),"")</f>
        <v/>
      </c>
      <c r="F309" s="111" t="str">
        <f aca="false">IFERROR(INDEX('Historical Data'!$G$2:$G$9,MATCH($A309,'Historical Data'!$BE$2:$BE$9,0)),"")</f>
        <v/>
      </c>
      <c r="G309" s="111" t="str">
        <f aca="false">IFERROR(INDEX('Historical Data'!$Y$2:$Y$9,MATCH($A309,'Historical Data'!$BE$2:$BE$9,0)),"")</f>
        <v/>
      </c>
      <c r="H309" s="111" t="str">
        <f aca="false">IFERROR(INDEX('Historical Data'!$K$2:$K$9,MATCH($A309,'Historical Data'!$BE$2:$BE$9,0)),"")</f>
        <v/>
      </c>
      <c r="I309" s="111" t="str">
        <f aca="false">IFERROR(INDEX('Historical Data'!$J$2:$J$9,MATCH($A309,'Historical Data'!$BE$2:$BE$9,0)),"")</f>
        <v/>
      </c>
      <c r="J309" s="111" t="str">
        <f aca="false">IFERROR(INDEX('Historical Data'!$L$2:$L$9,MATCH($A309,'Historical Data'!$BE$2:$BE$9,0)),"")</f>
        <v/>
      </c>
      <c r="K309" s="113" t="str">
        <f aca="false">IFERROR(INDEX('Historical Data'!$M$2:$M$9,MATCH($A309,'Historical Data'!$BE$2:$BE$9,0)),"")</f>
        <v/>
      </c>
      <c r="L309" s="114" t="str">
        <f aca="false">IFERROR(INDEX('Historical Data'!$N$2:$N$9,MATCH($A309,'Historical Data'!$BE$2:$BE$9,0)),"")</f>
        <v/>
      </c>
      <c r="M309" s="114" t="str">
        <f aca="false">IFERROR(INDEX('Historical Data'!$Q$2:$Q$9,MATCH($A309,'Historical Data'!$BE$2:$BE$9,0)),"")</f>
        <v/>
      </c>
      <c r="N309" s="115" t="str">
        <f aca="false">IFERROR(INDEX('Historical Data'!$S$2:$S$9,MATCH($A309,'Historical Data'!$BE$2:$BE$9,0)),"")</f>
        <v/>
      </c>
      <c r="O309" s="114" t="str">
        <f aca="false">IFERROR(INDEX('Historical Data'!$AJ$2:$AJ$9,MATCH($A309,'Historical Data'!$BE$2:$BE$9,0)),"")</f>
        <v/>
      </c>
      <c r="P309" s="114" t="str">
        <f aca="false">IFERROR(INDEX('Historical Data'!$AK$2:$AK$9,MATCH($A309,'Historical Data'!$BE$2:$BE$9,0)),"")</f>
        <v/>
      </c>
      <c r="Q309" s="111" t="str">
        <f aca="false">IFERROR(INDEX('Historical Data'!$AA$2:$AA$9,MATCH($A309,'Historical Data'!$BE$2:$BE$9,0)),"")</f>
        <v/>
      </c>
      <c r="R309" s="111" t="str">
        <f aca="false">IFERROR(INDEX('Historical Data'!$AB$2:$AB$9,MATCH($A309,'Historical Data'!$BE$2:$BE$9,0)),"")</f>
        <v/>
      </c>
      <c r="S309" s="111" t="str">
        <f aca="false">IFERROR(INDEX('Historical Data'!$AN$2:$AN$9,MATCH($A309,'Historical Data'!$BE$2:$BE$9,0)),"")</f>
        <v/>
      </c>
      <c r="T309" s="111" t="str">
        <f aca="false">IFERROR(INDEX('Historical Data'!$AC$2:$AC$9,MATCH($A309,'Historical Data'!$BE$2:$BE$9,0)),"")</f>
        <v/>
      </c>
      <c r="U309" s="111" t="str">
        <f aca="false">IFERROR(INDEX('Historical Data'!$AE$2:$AE$9,MATCH($A309,'Historical Data'!$BE$2:$BE$9,0)),"")</f>
        <v/>
      </c>
      <c r="V309" s="111" t="str">
        <f aca="false">IFERROR(INDEX('Historical Data'!$AH$2:$AH$9,MATCH($A309,'Historical Data'!$BE$2:$BE$9,0)),"")</f>
        <v/>
      </c>
      <c r="W309" s="111" t="str">
        <f aca="false">IFERROR(INDEX('Historical Data'!$BC$2:$BC$9,MATCH($A309,'Historical Data'!$BE$2:$BE$9,0)),"")</f>
        <v/>
      </c>
      <c r="X309" s="110" t="str">
        <f aca="false">IF(B309="","",IF(W309=1,"NR + industry + position",IF(W309=2,"NR + ISO + position",IF(W309=3,"NR + industry",IF(W309=4,"NR + ISO",IF(W309=5,"NR + position",IF(W309=6,"NR only","book baseline"))))))&amp;"  ["&amp;IF(T309=1,"seasoned","unseasoned")&amp;IF(U309=1,", defaulted","")&amp;IF(V309=1,", open","")&amp;"]")</f>
        <v/>
      </c>
    </row>
    <row r="310" customFormat="false" ht="15" hidden="false" customHeight="false" outlineLevel="0" collapsed="false">
      <c r="A310" s="110" t="n">
        <v>306</v>
      </c>
      <c r="B310" s="111" t="str">
        <f aca="false">IFERROR(INDEX('Historical Data'!$A$2:$A$9,MATCH($A310,'Historical Data'!$BE$2:$BE$9,0)),"")</f>
        <v/>
      </c>
      <c r="C310" s="111" t="str">
        <f aca="false">IFERROR(INDEX('Historical Data'!$B$2:$B$9,MATCH($A310,'Historical Data'!$BE$2:$BE$9,0)),"")</f>
        <v/>
      </c>
      <c r="D310" s="111" t="str">
        <f aca="false">IFERROR(INDEX('Historical Data'!$D$2:$D$9,MATCH($A310,'Historical Data'!$BE$2:$BE$9,0)),"")</f>
        <v/>
      </c>
      <c r="E310" s="112" t="str">
        <f aca="false">IFERROR(INDEX('Historical Data'!$E$2:$E$9,MATCH($A310,'Historical Data'!$BE$2:$BE$9,0)),"")</f>
        <v/>
      </c>
      <c r="F310" s="111" t="str">
        <f aca="false">IFERROR(INDEX('Historical Data'!$G$2:$G$9,MATCH($A310,'Historical Data'!$BE$2:$BE$9,0)),"")</f>
        <v/>
      </c>
      <c r="G310" s="111" t="str">
        <f aca="false">IFERROR(INDEX('Historical Data'!$Y$2:$Y$9,MATCH($A310,'Historical Data'!$BE$2:$BE$9,0)),"")</f>
        <v/>
      </c>
      <c r="H310" s="111" t="str">
        <f aca="false">IFERROR(INDEX('Historical Data'!$K$2:$K$9,MATCH($A310,'Historical Data'!$BE$2:$BE$9,0)),"")</f>
        <v/>
      </c>
      <c r="I310" s="111" t="str">
        <f aca="false">IFERROR(INDEX('Historical Data'!$J$2:$J$9,MATCH($A310,'Historical Data'!$BE$2:$BE$9,0)),"")</f>
        <v/>
      </c>
      <c r="J310" s="111" t="str">
        <f aca="false">IFERROR(INDEX('Historical Data'!$L$2:$L$9,MATCH($A310,'Historical Data'!$BE$2:$BE$9,0)),"")</f>
        <v/>
      </c>
      <c r="K310" s="113" t="str">
        <f aca="false">IFERROR(INDEX('Historical Data'!$M$2:$M$9,MATCH($A310,'Historical Data'!$BE$2:$BE$9,0)),"")</f>
        <v/>
      </c>
      <c r="L310" s="114" t="str">
        <f aca="false">IFERROR(INDEX('Historical Data'!$N$2:$N$9,MATCH($A310,'Historical Data'!$BE$2:$BE$9,0)),"")</f>
        <v/>
      </c>
      <c r="M310" s="114" t="str">
        <f aca="false">IFERROR(INDEX('Historical Data'!$Q$2:$Q$9,MATCH($A310,'Historical Data'!$BE$2:$BE$9,0)),"")</f>
        <v/>
      </c>
      <c r="N310" s="115" t="str">
        <f aca="false">IFERROR(INDEX('Historical Data'!$S$2:$S$9,MATCH($A310,'Historical Data'!$BE$2:$BE$9,0)),"")</f>
        <v/>
      </c>
      <c r="O310" s="114" t="str">
        <f aca="false">IFERROR(INDEX('Historical Data'!$AJ$2:$AJ$9,MATCH($A310,'Historical Data'!$BE$2:$BE$9,0)),"")</f>
        <v/>
      </c>
      <c r="P310" s="114" t="str">
        <f aca="false">IFERROR(INDEX('Historical Data'!$AK$2:$AK$9,MATCH($A310,'Historical Data'!$BE$2:$BE$9,0)),"")</f>
        <v/>
      </c>
      <c r="Q310" s="111" t="str">
        <f aca="false">IFERROR(INDEX('Historical Data'!$AA$2:$AA$9,MATCH($A310,'Historical Data'!$BE$2:$BE$9,0)),"")</f>
        <v/>
      </c>
      <c r="R310" s="111" t="str">
        <f aca="false">IFERROR(INDEX('Historical Data'!$AB$2:$AB$9,MATCH($A310,'Historical Data'!$BE$2:$BE$9,0)),"")</f>
        <v/>
      </c>
      <c r="S310" s="111" t="str">
        <f aca="false">IFERROR(INDEX('Historical Data'!$AN$2:$AN$9,MATCH($A310,'Historical Data'!$BE$2:$BE$9,0)),"")</f>
        <v/>
      </c>
      <c r="T310" s="111" t="str">
        <f aca="false">IFERROR(INDEX('Historical Data'!$AC$2:$AC$9,MATCH($A310,'Historical Data'!$BE$2:$BE$9,0)),"")</f>
        <v/>
      </c>
      <c r="U310" s="111" t="str">
        <f aca="false">IFERROR(INDEX('Historical Data'!$AE$2:$AE$9,MATCH($A310,'Historical Data'!$BE$2:$BE$9,0)),"")</f>
        <v/>
      </c>
      <c r="V310" s="111" t="str">
        <f aca="false">IFERROR(INDEX('Historical Data'!$AH$2:$AH$9,MATCH($A310,'Historical Data'!$BE$2:$BE$9,0)),"")</f>
        <v/>
      </c>
      <c r="W310" s="111" t="str">
        <f aca="false">IFERROR(INDEX('Historical Data'!$BC$2:$BC$9,MATCH($A310,'Historical Data'!$BE$2:$BE$9,0)),"")</f>
        <v/>
      </c>
      <c r="X310" s="110" t="str">
        <f aca="false">IF(B310="","",IF(W310=1,"NR + industry + position",IF(W310=2,"NR + ISO + position",IF(W310=3,"NR + industry",IF(W310=4,"NR + ISO",IF(W310=5,"NR + position",IF(W310=6,"NR only","book baseline"))))))&amp;"  ["&amp;IF(T310=1,"seasoned","unseasoned")&amp;IF(U310=1,", defaulted","")&amp;IF(V310=1,", open","")&amp;"]")</f>
        <v/>
      </c>
    </row>
    <row r="311" customFormat="false" ht="15" hidden="false" customHeight="false" outlineLevel="0" collapsed="false">
      <c r="A311" s="110" t="n">
        <v>307</v>
      </c>
      <c r="B311" s="111" t="str">
        <f aca="false">IFERROR(INDEX('Historical Data'!$A$2:$A$9,MATCH($A311,'Historical Data'!$BE$2:$BE$9,0)),"")</f>
        <v/>
      </c>
      <c r="C311" s="111" t="str">
        <f aca="false">IFERROR(INDEX('Historical Data'!$B$2:$B$9,MATCH($A311,'Historical Data'!$BE$2:$BE$9,0)),"")</f>
        <v/>
      </c>
      <c r="D311" s="111" t="str">
        <f aca="false">IFERROR(INDEX('Historical Data'!$D$2:$D$9,MATCH($A311,'Historical Data'!$BE$2:$BE$9,0)),"")</f>
        <v/>
      </c>
      <c r="E311" s="112" t="str">
        <f aca="false">IFERROR(INDEX('Historical Data'!$E$2:$E$9,MATCH($A311,'Historical Data'!$BE$2:$BE$9,0)),"")</f>
        <v/>
      </c>
      <c r="F311" s="111" t="str">
        <f aca="false">IFERROR(INDEX('Historical Data'!$G$2:$G$9,MATCH($A311,'Historical Data'!$BE$2:$BE$9,0)),"")</f>
        <v/>
      </c>
      <c r="G311" s="111" t="str">
        <f aca="false">IFERROR(INDEX('Historical Data'!$Y$2:$Y$9,MATCH($A311,'Historical Data'!$BE$2:$BE$9,0)),"")</f>
        <v/>
      </c>
      <c r="H311" s="111" t="str">
        <f aca="false">IFERROR(INDEX('Historical Data'!$K$2:$K$9,MATCH($A311,'Historical Data'!$BE$2:$BE$9,0)),"")</f>
        <v/>
      </c>
      <c r="I311" s="111" t="str">
        <f aca="false">IFERROR(INDEX('Historical Data'!$J$2:$J$9,MATCH($A311,'Historical Data'!$BE$2:$BE$9,0)),"")</f>
        <v/>
      </c>
      <c r="J311" s="111" t="str">
        <f aca="false">IFERROR(INDEX('Historical Data'!$L$2:$L$9,MATCH($A311,'Historical Data'!$BE$2:$BE$9,0)),"")</f>
        <v/>
      </c>
      <c r="K311" s="113" t="str">
        <f aca="false">IFERROR(INDEX('Historical Data'!$M$2:$M$9,MATCH($A311,'Historical Data'!$BE$2:$BE$9,0)),"")</f>
        <v/>
      </c>
      <c r="L311" s="114" t="str">
        <f aca="false">IFERROR(INDEX('Historical Data'!$N$2:$N$9,MATCH($A311,'Historical Data'!$BE$2:$BE$9,0)),"")</f>
        <v/>
      </c>
      <c r="M311" s="114" t="str">
        <f aca="false">IFERROR(INDEX('Historical Data'!$Q$2:$Q$9,MATCH($A311,'Historical Data'!$BE$2:$BE$9,0)),"")</f>
        <v/>
      </c>
      <c r="N311" s="115" t="str">
        <f aca="false">IFERROR(INDEX('Historical Data'!$S$2:$S$9,MATCH($A311,'Historical Data'!$BE$2:$BE$9,0)),"")</f>
        <v/>
      </c>
      <c r="O311" s="114" t="str">
        <f aca="false">IFERROR(INDEX('Historical Data'!$AJ$2:$AJ$9,MATCH($A311,'Historical Data'!$BE$2:$BE$9,0)),"")</f>
        <v/>
      </c>
      <c r="P311" s="114" t="str">
        <f aca="false">IFERROR(INDEX('Historical Data'!$AK$2:$AK$9,MATCH($A311,'Historical Data'!$BE$2:$BE$9,0)),"")</f>
        <v/>
      </c>
      <c r="Q311" s="111" t="str">
        <f aca="false">IFERROR(INDEX('Historical Data'!$AA$2:$AA$9,MATCH($A311,'Historical Data'!$BE$2:$BE$9,0)),"")</f>
        <v/>
      </c>
      <c r="R311" s="111" t="str">
        <f aca="false">IFERROR(INDEX('Historical Data'!$AB$2:$AB$9,MATCH($A311,'Historical Data'!$BE$2:$BE$9,0)),"")</f>
        <v/>
      </c>
      <c r="S311" s="111" t="str">
        <f aca="false">IFERROR(INDEX('Historical Data'!$AN$2:$AN$9,MATCH($A311,'Historical Data'!$BE$2:$BE$9,0)),"")</f>
        <v/>
      </c>
      <c r="T311" s="111" t="str">
        <f aca="false">IFERROR(INDEX('Historical Data'!$AC$2:$AC$9,MATCH($A311,'Historical Data'!$BE$2:$BE$9,0)),"")</f>
        <v/>
      </c>
      <c r="U311" s="111" t="str">
        <f aca="false">IFERROR(INDEX('Historical Data'!$AE$2:$AE$9,MATCH($A311,'Historical Data'!$BE$2:$BE$9,0)),"")</f>
        <v/>
      </c>
      <c r="V311" s="111" t="str">
        <f aca="false">IFERROR(INDEX('Historical Data'!$AH$2:$AH$9,MATCH($A311,'Historical Data'!$BE$2:$BE$9,0)),"")</f>
        <v/>
      </c>
      <c r="W311" s="111" t="str">
        <f aca="false">IFERROR(INDEX('Historical Data'!$BC$2:$BC$9,MATCH($A311,'Historical Data'!$BE$2:$BE$9,0)),"")</f>
        <v/>
      </c>
      <c r="X311" s="110" t="str">
        <f aca="false">IF(B311="","",IF(W311=1,"NR + industry + position",IF(W311=2,"NR + ISO + position",IF(W311=3,"NR + industry",IF(W311=4,"NR + ISO",IF(W311=5,"NR + position",IF(W311=6,"NR only","book baseline"))))))&amp;"  ["&amp;IF(T311=1,"seasoned","unseasoned")&amp;IF(U311=1,", defaulted","")&amp;IF(V311=1,", open","")&amp;"]")</f>
        <v/>
      </c>
    </row>
    <row r="312" customFormat="false" ht="15" hidden="false" customHeight="false" outlineLevel="0" collapsed="false">
      <c r="A312" s="110" t="n">
        <v>308</v>
      </c>
      <c r="B312" s="111" t="str">
        <f aca="false">IFERROR(INDEX('Historical Data'!$A$2:$A$9,MATCH($A312,'Historical Data'!$BE$2:$BE$9,0)),"")</f>
        <v/>
      </c>
      <c r="C312" s="111" t="str">
        <f aca="false">IFERROR(INDEX('Historical Data'!$B$2:$B$9,MATCH($A312,'Historical Data'!$BE$2:$BE$9,0)),"")</f>
        <v/>
      </c>
      <c r="D312" s="111" t="str">
        <f aca="false">IFERROR(INDEX('Historical Data'!$D$2:$D$9,MATCH($A312,'Historical Data'!$BE$2:$BE$9,0)),"")</f>
        <v/>
      </c>
      <c r="E312" s="112" t="str">
        <f aca="false">IFERROR(INDEX('Historical Data'!$E$2:$E$9,MATCH($A312,'Historical Data'!$BE$2:$BE$9,0)),"")</f>
        <v/>
      </c>
      <c r="F312" s="111" t="str">
        <f aca="false">IFERROR(INDEX('Historical Data'!$G$2:$G$9,MATCH($A312,'Historical Data'!$BE$2:$BE$9,0)),"")</f>
        <v/>
      </c>
      <c r="G312" s="111" t="str">
        <f aca="false">IFERROR(INDEX('Historical Data'!$Y$2:$Y$9,MATCH($A312,'Historical Data'!$BE$2:$BE$9,0)),"")</f>
        <v/>
      </c>
      <c r="H312" s="111" t="str">
        <f aca="false">IFERROR(INDEX('Historical Data'!$K$2:$K$9,MATCH($A312,'Historical Data'!$BE$2:$BE$9,0)),"")</f>
        <v/>
      </c>
      <c r="I312" s="111" t="str">
        <f aca="false">IFERROR(INDEX('Historical Data'!$J$2:$J$9,MATCH($A312,'Historical Data'!$BE$2:$BE$9,0)),"")</f>
        <v/>
      </c>
      <c r="J312" s="111" t="str">
        <f aca="false">IFERROR(INDEX('Historical Data'!$L$2:$L$9,MATCH($A312,'Historical Data'!$BE$2:$BE$9,0)),"")</f>
        <v/>
      </c>
      <c r="K312" s="113" t="str">
        <f aca="false">IFERROR(INDEX('Historical Data'!$M$2:$M$9,MATCH($A312,'Historical Data'!$BE$2:$BE$9,0)),"")</f>
        <v/>
      </c>
      <c r="L312" s="114" t="str">
        <f aca="false">IFERROR(INDEX('Historical Data'!$N$2:$N$9,MATCH($A312,'Historical Data'!$BE$2:$BE$9,0)),"")</f>
        <v/>
      </c>
      <c r="M312" s="114" t="str">
        <f aca="false">IFERROR(INDEX('Historical Data'!$Q$2:$Q$9,MATCH($A312,'Historical Data'!$BE$2:$BE$9,0)),"")</f>
        <v/>
      </c>
      <c r="N312" s="115" t="str">
        <f aca="false">IFERROR(INDEX('Historical Data'!$S$2:$S$9,MATCH($A312,'Historical Data'!$BE$2:$BE$9,0)),"")</f>
        <v/>
      </c>
      <c r="O312" s="114" t="str">
        <f aca="false">IFERROR(INDEX('Historical Data'!$AJ$2:$AJ$9,MATCH($A312,'Historical Data'!$BE$2:$BE$9,0)),"")</f>
        <v/>
      </c>
      <c r="P312" s="114" t="str">
        <f aca="false">IFERROR(INDEX('Historical Data'!$AK$2:$AK$9,MATCH($A312,'Historical Data'!$BE$2:$BE$9,0)),"")</f>
        <v/>
      </c>
      <c r="Q312" s="111" t="str">
        <f aca="false">IFERROR(INDEX('Historical Data'!$AA$2:$AA$9,MATCH($A312,'Historical Data'!$BE$2:$BE$9,0)),"")</f>
        <v/>
      </c>
      <c r="R312" s="111" t="str">
        <f aca="false">IFERROR(INDEX('Historical Data'!$AB$2:$AB$9,MATCH($A312,'Historical Data'!$BE$2:$BE$9,0)),"")</f>
        <v/>
      </c>
      <c r="S312" s="111" t="str">
        <f aca="false">IFERROR(INDEX('Historical Data'!$AN$2:$AN$9,MATCH($A312,'Historical Data'!$BE$2:$BE$9,0)),"")</f>
        <v/>
      </c>
      <c r="T312" s="111" t="str">
        <f aca="false">IFERROR(INDEX('Historical Data'!$AC$2:$AC$9,MATCH($A312,'Historical Data'!$BE$2:$BE$9,0)),"")</f>
        <v/>
      </c>
      <c r="U312" s="111" t="str">
        <f aca="false">IFERROR(INDEX('Historical Data'!$AE$2:$AE$9,MATCH($A312,'Historical Data'!$BE$2:$BE$9,0)),"")</f>
        <v/>
      </c>
      <c r="V312" s="111" t="str">
        <f aca="false">IFERROR(INDEX('Historical Data'!$AH$2:$AH$9,MATCH($A312,'Historical Data'!$BE$2:$BE$9,0)),"")</f>
        <v/>
      </c>
      <c r="W312" s="111" t="str">
        <f aca="false">IFERROR(INDEX('Historical Data'!$BC$2:$BC$9,MATCH($A312,'Historical Data'!$BE$2:$BE$9,0)),"")</f>
        <v/>
      </c>
      <c r="X312" s="110" t="str">
        <f aca="false">IF(B312="","",IF(W312=1,"NR + industry + position",IF(W312=2,"NR + ISO + position",IF(W312=3,"NR + industry",IF(W312=4,"NR + ISO",IF(W312=5,"NR + position",IF(W312=6,"NR only","book baseline"))))))&amp;"  ["&amp;IF(T312=1,"seasoned","unseasoned")&amp;IF(U312=1,", defaulted","")&amp;IF(V312=1,", open","")&amp;"]")</f>
        <v/>
      </c>
    </row>
    <row r="313" customFormat="false" ht="15" hidden="false" customHeight="false" outlineLevel="0" collapsed="false">
      <c r="A313" s="110" t="n">
        <v>309</v>
      </c>
      <c r="B313" s="111" t="str">
        <f aca="false">IFERROR(INDEX('Historical Data'!$A$2:$A$9,MATCH($A313,'Historical Data'!$BE$2:$BE$9,0)),"")</f>
        <v/>
      </c>
      <c r="C313" s="111" t="str">
        <f aca="false">IFERROR(INDEX('Historical Data'!$B$2:$B$9,MATCH($A313,'Historical Data'!$BE$2:$BE$9,0)),"")</f>
        <v/>
      </c>
      <c r="D313" s="111" t="str">
        <f aca="false">IFERROR(INDEX('Historical Data'!$D$2:$D$9,MATCH($A313,'Historical Data'!$BE$2:$BE$9,0)),"")</f>
        <v/>
      </c>
      <c r="E313" s="112" t="str">
        <f aca="false">IFERROR(INDEX('Historical Data'!$E$2:$E$9,MATCH($A313,'Historical Data'!$BE$2:$BE$9,0)),"")</f>
        <v/>
      </c>
      <c r="F313" s="111" t="str">
        <f aca="false">IFERROR(INDEX('Historical Data'!$G$2:$G$9,MATCH($A313,'Historical Data'!$BE$2:$BE$9,0)),"")</f>
        <v/>
      </c>
      <c r="G313" s="111" t="str">
        <f aca="false">IFERROR(INDEX('Historical Data'!$Y$2:$Y$9,MATCH($A313,'Historical Data'!$BE$2:$BE$9,0)),"")</f>
        <v/>
      </c>
      <c r="H313" s="111" t="str">
        <f aca="false">IFERROR(INDEX('Historical Data'!$K$2:$K$9,MATCH($A313,'Historical Data'!$BE$2:$BE$9,0)),"")</f>
        <v/>
      </c>
      <c r="I313" s="111" t="str">
        <f aca="false">IFERROR(INDEX('Historical Data'!$J$2:$J$9,MATCH($A313,'Historical Data'!$BE$2:$BE$9,0)),"")</f>
        <v/>
      </c>
      <c r="J313" s="111" t="str">
        <f aca="false">IFERROR(INDEX('Historical Data'!$L$2:$L$9,MATCH($A313,'Historical Data'!$BE$2:$BE$9,0)),"")</f>
        <v/>
      </c>
      <c r="K313" s="113" t="str">
        <f aca="false">IFERROR(INDEX('Historical Data'!$M$2:$M$9,MATCH($A313,'Historical Data'!$BE$2:$BE$9,0)),"")</f>
        <v/>
      </c>
      <c r="L313" s="114" t="str">
        <f aca="false">IFERROR(INDEX('Historical Data'!$N$2:$N$9,MATCH($A313,'Historical Data'!$BE$2:$BE$9,0)),"")</f>
        <v/>
      </c>
      <c r="M313" s="114" t="str">
        <f aca="false">IFERROR(INDEX('Historical Data'!$Q$2:$Q$9,MATCH($A313,'Historical Data'!$BE$2:$BE$9,0)),"")</f>
        <v/>
      </c>
      <c r="N313" s="115" t="str">
        <f aca="false">IFERROR(INDEX('Historical Data'!$S$2:$S$9,MATCH($A313,'Historical Data'!$BE$2:$BE$9,0)),"")</f>
        <v/>
      </c>
      <c r="O313" s="114" t="str">
        <f aca="false">IFERROR(INDEX('Historical Data'!$AJ$2:$AJ$9,MATCH($A313,'Historical Data'!$BE$2:$BE$9,0)),"")</f>
        <v/>
      </c>
      <c r="P313" s="114" t="str">
        <f aca="false">IFERROR(INDEX('Historical Data'!$AK$2:$AK$9,MATCH($A313,'Historical Data'!$BE$2:$BE$9,0)),"")</f>
        <v/>
      </c>
      <c r="Q313" s="111" t="str">
        <f aca="false">IFERROR(INDEX('Historical Data'!$AA$2:$AA$9,MATCH($A313,'Historical Data'!$BE$2:$BE$9,0)),"")</f>
        <v/>
      </c>
      <c r="R313" s="111" t="str">
        <f aca="false">IFERROR(INDEX('Historical Data'!$AB$2:$AB$9,MATCH($A313,'Historical Data'!$BE$2:$BE$9,0)),"")</f>
        <v/>
      </c>
      <c r="S313" s="111" t="str">
        <f aca="false">IFERROR(INDEX('Historical Data'!$AN$2:$AN$9,MATCH($A313,'Historical Data'!$BE$2:$BE$9,0)),"")</f>
        <v/>
      </c>
      <c r="T313" s="111" t="str">
        <f aca="false">IFERROR(INDEX('Historical Data'!$AC$2:$AC$9,MATCH($A313,'Historical Data'!$BE$2:$BE$9,0)),"")</f>
        <v/>
      </c>
      <c r="U313" s="111" t="str">
        <f aca="false">IFERROR(INDEX('Historical Data'!$AE$2:$AE$9,MATCH($A313,'Historical Data'!$BE$2:$BE$9,0)),"")</f>
        <v/>
      </c>
      <c r="V313" s="111" t="str">
        <f aca="false">IFERROR(INDEX('Historical Data'!$AH$2:$AH$9,MATCH($A313,'Historical Data'!$BE$2:$BE$9,0)),"")</f>
        <v/>
      </c>
      <c r="W313" s="111" t="str">
        <f aca="false">IFERROR(INDEX('Historical Data'!$BC$2:$BC$9,MATCH($A313,'Historical Data'!$BE$2:$BE$9,0)),"")</f>
        <v/>
      </c>
      <c r="X313" s="110" t="str">
        <f aca="false">IF(B313="","",IF(W313=1,"NR + industry + position",IF(W313=2,"NR + ISO + position",IF(W313=3,"NR + industry",IF(W313=4,"NR + ISO",IF(W313=5,"NR + position",IF(W313=6,"NR only","book baseline"))))))&amp;"  ["&amp;IF(T313=1,"seasoned","unseasoned")&amp;IF(U313=1,", defaulted","")&amp;IF(V313=1,", open","")&amp;"]")</f>
        <v/>
      </c>
    </row>
    <row r="314" customFormat="false" ht="15" hidden="false" customHeight="false" outlineLevel="0" collapsed="false">
      <c r="A314" s="110" t="n">
        <v>310</v>
      </c>
      <c r="B314" s="111" t="str">
        <f aca="false">IFERROR(INDEX('Historical Data'!$A$2:$A$9,MATCH($A314,'Historical Data'!$BE$2:$BE$9,0)),"")</f>
        <v/>
      </c>
      <c r="C314" s="111" t="str">
        <f aca="false">IFERROR(INDEX('Historical Data'!$B$2:$B$9,MATCH($A314,'Historical Data'!$BE$2:$BE$9,0)),"")</f>
        <v/>
      </c>
      <c r="D314" s="111" t="str">
        <f aca="false">IFERROR(INDEX('Historical Data'!$D$2:$D$9,MATCH($A314,'Historical Data'!$BE$2:$BE$9,0)),"")</f>
        <v/>
      </c>
      <c r="E314" s="112" t="str">
        <f aca="false">IFERROR(INDEX('Historical Data'!$E$2:$E$9,MATCH($A314,'Historical Data'!$BE$2:$BE$9,0)),"")</f>
        <v/>
      </c>
      <c r="F314" s="111" t="str">
        <f aca="false">IFERROR(INDEX('Historical Data'!$G$2:$G$9,MATCH($A314,'Historical Data'!$BE$2:$BE$9,0)),"")</f>
        <v/>
      </c>
      <c r="G314" s="111" t="str">
        <f aca="false">IFERROR(INDEX('Historical Data'!$Y$2:$Y$9,MATCH($A314,'Historical Data'!$BE$2:$BE$9,0)),"")</f>
        <v/>
      </c>
      <c r="H314" s="111" t="str">
        <f aca="false">IFERROR(INDEX('Historical Data'!$K$2:$K$9,MATCH($A314,'Historical Data'!$BE$2:$BE$9,0)),"")</f>
        <v/>
      </c>
      <c r="I314" s="111" t="str">
        <f aca="false">IFERROR(INDEX('Historical Data'!$J$2:$J$9,MATCH($A314,'Historical Data'!$BE$2:$BE$9,0)),"")</f>
        <v/>
      </c>
      <c r="J314" s="111" t="str">
        <f aca="false">IFERROR(INDEX('Historical Data'!$L$2:$L$9,MATCH($A314,'Historical Data'!$BE$2:$BE$9,0)),"")</f>
        <v/>
      </c>
      <c r="K314" s="113" t="str">
        <f aca="false">IFERROR(INDEX('Historical Data'!$M$2:$M$9,MATCH($A314,'Historical Data'!$BE$2:$BE$9,0)),"")</f>
        <v/>
      </c>
      <c r="L314" s="114" t="str">
        <f aca="false">IFERROR(INDEX('Historical Data'!$N$2:$N$9,MATCH($A314,'Historical Data'!$BE$2:$BE$9,0)),"")</f>
        <v/>
      </c>
      <c r="M314" s="114" t="str">
        <f aca="false">IFERROR(INDEX('Historical Data'!$Q$2:$Q$9,MATCH($A314,'Historical Data'!$BE$2:$BE$9,0)),"")</f>
        <v/>
      </c>
      <c r="N314" s="115" t="str">
        <f aca="false">IFERROR(INDEX('Historical Data'!$S$2:$S$9,MATCH($A314,'Historical Data'!$BE$2:$BE$9,0)),"")</f>
        <v/>
      </c>
      <c r="O314" s="114" t="str">
        <f aca="false">IFERROR(INDEX('Historical Data'!$AJ$2:$AJ$9,MATCH($A314,'Historical Data'!$BE$2:$BE$9,0)),"")</f>
        <v/>
      </c>
      <c r="P314" s="114" t="str">
        <f aca="false">IFERROR(INDEX('Historical Data'!$AK$2:$AK$9,MATCH($A314,'Historical Data'!$BE$2:$BE$9,0)),"")</f>
        <v/>
      </c>
      <c r="Q314" s="111" t="str">
        <f aca="false">IFERROR(INDEX('Historical Data'!$AA$2:$AA$9,MATCH($A314,'Historical Data'!$BE$2:$BE$9,0)),"")</f>
        <v/>
      </c>
      <c r="R314" s="111" t="str">
        <f aca="false">IFERROR(INDEX('Historical Data'!$AB$2:$AB$9,MATCH($A314,'Historical Data'!$BE$2:$BE$9,0)),"")</f>
        <v/>
      </c>
      <c r="S314" s="111" t="str">
        <f aca="false">IFERROR(INDEX('Historical Data'!$AN$2:$AN$9,MATCH($A314,'Historical Data'!$BE$2:$BE$9,0)),"")</f>
        <v/>
      </c>
      <c r="T314" s="111" t="str">
        <f aca="false">IFERROR(INDEX('Historical Data'!$AC$2:$AC$9,MATCH($A314,'Historical Data'!$BE$2:$BE$9,0)),"")</f>
        <v/>
      </c>
      <c r="U314" s="111" t="str">
        <f aca="false">IFERROR(INDEX('Historical Data'!$AE$2:$AE$9,MATCH($A314,'Historical Data'!$BE$2:$BE$9,0)),"")</f>
        <v/>
      </c>
      <c r="V314" s="111" t="str">
        <f aca="false">IFERROR(INDEX('Historical Data'!$AH$2:$AH$9,MATCH($A314,'Historical Data'!$BE$2:$BE$9,0)),"")</f>
        <v/>
      </c>
      <c r="W314" s="111" t="str">
        <f aca="false">IFERROR(INDEX('Historical Data'!$BC$2:$BC$9,MATCH($A314,'Historical Data'!$BE$2:$BE$9,0)),"")</f>
        <v/>
      </c>
      <c r="X314" s="110" t="str">
        <f aca="false">IF(B314="","",IF(W314=1,"NR + industry + position",IF(W314=2,"NR + ISO + position",IF(W314=3,"NR + industry",IF(W314=4,"NR + ISO",IF(W314=5,"NR + position",IF(W314=6,"NR only","book baseline"))))))&amp;"  ["&amp;IF(T314=1,"seasoned","unseasoned")&amp;IF(U314=1,", defaulted","")&amp;IF(V314=1,", open","")&amp;"]")</f>
        <v/>
      </c>
    </row>
    <row r="315" customFormat="false" ht="15" hidden="false" customHeight="false" outlineLevel="0" collapsed="false">
      <c r="A315" s="110" t="n">
        <v>311</v>
      </c>
      <c r="B315" s="111" t="str">
        <f aca="false">IFERROR(INDEX('Historical Data'!$A$2:$A$9,MATCH($A315,'Historical Data'!$BE$2:$BE$9,0)),"")</f>
        <v/>
      </c>
      <c r="C315" s="111" t="str">
        <f aca="false">IFERROR(INDEX('Historical Data'!$B$2:$B$9,MATCH($A315,'Historical Data'!$BE$2:$BE$9,0)),"")</f>
        <v/>
      </c>
      <c r="D315" s="111" t="str">
        <f aca="false">IFERROR(INDEX('Historical Data'!$D$2:$D$9,MATCH($A315,'Historical Data'!$BE$2:$BE$9,0)),"")</f>
        <v/>
      </c>
      <c r="E315" s="112" t="str">
        <f aca="false">IFERROR(INDEX('Historical Data'!$E$2:$E$9,MATCH($A315,'Historical Data'!$BE$2:$BE$9,0)),"")</f>
        <v/>
      </c>
      <c r="F315" s="111" t="str">
        <f aca="false">IFERROR(INDEX('Historical Data'!$G$2:$G$9,MATCH($A315,'Historical Data'!$BE$2:$BE$9,0)),"")</f>
        <v/>
      </c>
      <c r="G315" s="111" t="str">
        <f aca="false">IFERROR(INDEX('Historical Data'!$Y$2:$Y$9,MATCH($A315,'Historical Data'!$BE$2:$BE$9,0)),"")</f>
        <v/>
      </c>
      <c r="H315" s="111" t="str">
        <f aca="false">IFERROR(INDEX('Historical Data'!$K$2:$K$9,MATCH($A315,'Historical Data'!$BE$2:$BE$9,0)),"")</f>
        <v/>
      </c>
      <c r="I315" s="111" t="str">
        <f aca="false">IFERROR(INDEX('Historical Data'!$J$2:$J$9,MATCH($A315,'Historical Data'!$BE$2:$BE$9,0)),"")</f>
        <v/>
      </c>
      <c r="J315" s="111" t="str">
        <f aca="false">IFERROR(INDEX('Historical Data'!$L$2:$L$9,MATCH($A315,'Historical Data'!$BE$2:$BE$9,0)),"")</f>
        <v/>
      </c>
      <c r="K315" s="113" t="str">
        <f aca="false">IFERROR(INDEX('Historical Data'!$M$2:$M$9,MATCH($A315,'Historical Data'!$BE$2:$BE$9,0)),"")</f>
        <v/>
      </c>
      <c r="L315" s="114" t="str">
        <f aca="false">IFERROR(INDEX('Historical Data'!$N$2:$N$9,MATCH($A315,'Historical Data'!$BE$2:$BE$9,0)),"")</f>
        <v/>
      </c>
      <c r="M315" s="114" t="str">
        <f aca="false">IFERROR(INDEX('Historical Data'!$Q$2:$Q$9,MATCH($A315,'Historical Data'!$BE$2:$BE$9,0)),"")</f>
        <v/>
      </c>
      <c r="N315" s="115" t="str">
        <f aca="false">IFERROR(INDEX('Historical Data'!$S$2:$S$9,MATCH($A315,'Historical Data'!$BE$2:$BE$9,0)),"")</f>
        <v/>
      </c>
      <c r="O315" s="114" t="str">
        <f aca="false">IFERROR(INDEX('Historical Data'!$AJ$2:$AJ$9,MATCH($A315,'Historical Data'!$BE$2:$BE$9,0)),"")</f>
        <v/>
      </c>
      <c r="P315" s="114" t="str">
        <f aca="false">IFERROR(INDEX('Historical Data'!$AK$2:$AK$9,MATCH($A315,'Historical Data'!$BE$2:$BE$9,0)),"")</f>
        <v/>
      </c>
      <c r="Q315" s="111" t="str">
        <f aca="false">IFERROR(INDEX('Historical Data'!$AA$2:$AA$9,MATCH($A315,'Historical Data'!$BE$2:$BE$9,0)),"")</f>
        <v/>
      </c>
      <c r="R315" s="111" t="str">
        <f aca="false">IFERROR(INDEX('Historical Data'!$AB$2:$AB$9,MATCH($A315,'Historical Data'!$BE$2:$BE$9,0)),"")</f>
        <v/>
      </c>
      <c r="S315" s="111" t="str">
        <f aca="false">IFERROR(INDEX('Historical Data'!$AN$2:$AN$9,MATCH($A315,'Historical Data'!$BE$2:$BE$9,0)),"")</f>
        <v/>
      </c>
      <c r="T315" s="111" t="str">
        <f aca="false">IFERROR(INDEX('Historical Data'!$AC$2:$AC$9,MATCH($A315,'Historical Data'!$BE$2:$BE$9,0)),"")</f>
        <v/>
      </c>
      <c r="U315" s="111" t="str">
        <f aca="false">IFERROR(INDEX('Historical Data'!$AE$2:$AE$9,MATCH($A315,'Historical Data'!$BE$2:$BE$9,0)),"")</f>
        <v/>
      </c>
      <c r="V315" s="111" t="str">
        <f aca="false">IFERROR(INDEX('Historical Data'!$AH$2:$AH$9,MATCH($A315,'Historical Data'!$BE$2:$BE$9,0)),"")</f>
        <v/>
      </c>
      <c r="W315" s="111" t="str">
        <f aca="false">IFERROR(INDEX('Historical Data'!$BC$2:$BC$9,MATCH($A315,'Historical Data'!$BE$2:$BE$9,0)),"")</f>
        <v/>
      </c>
      <c r="X315" s="110" t="str">
        <f aca="false">IF(B315="","",IF(W315=1,"NR + industry + position",IF(W315=2,"NR + ISO + position",IF(W315=3,"NR + industry",IF(W315=4,"NR + ISO",IF(W315=5,"NR + position",IF(W315=6,"NR only","book baseline"))))))&amp;"  ["&amp;IF(T315=1,"seasoned","unseasoned")&amp;IF(U315=1,", defaulted","")&amp;IF(V315=1,", open","")&amp;"]")</f>
        <v/>
      </c>
    </row>
    <row r="316" customFormat="false" ht="15" hidden="false" customHeight="false" outlineLevel="0" collapsed="false">
      <c r="A316" s="110" t="n">
        <v>312</v>
      </c>
      <c r="B316" s="111" t="str">
        <f aca="false">IFERROR(INDEX('Historical Data'!$A$2:$A$9,MATCH($A316,'Historical Data'!$BE$2:$BE$9,0)),"")</f>
        <v/>
      </c>
      <c r="C316" s="111" t="str">
        <f aca="false">IFERROR(INDEX('Historical Data'!$B$2:$B$9,MATCH($A316,'Historical Data'!$BE$2:$BE$9,0)),"")</f>
        <v/>
      </c>
      <c r="D316" s="111" t="str">
        <f aca="false">IFERROR(INDEX('Historical Data'!$D$2:$D$9,MATCH($A316,'Historical Data'!$BE$2:$BE$9,0)),"")</f>
        <v/>
      </c>
      <c r="E316" s="112" t="str">
        <f aca="false">IFERROR(INDEX('Historical Data'!$E$2:$E$9,MATCH($A316,'Historical Data'!$BE$2:$BE$9,0)),"")</f>
        <v/>
      </c>
      <c r="F316" s="111" t="str">
        <f aca="false">IFERROR(INDEX('Historical Data'!$G$2:$G$9,MATCH($A316,'Historical Data'!$BE$2:$BE$9,0)),"")</f>
        <v/>
      </c>
      <c r="G316" s="111" t="str">
        <f aca="false">IFERROR(INDEX('Historical Data'!$Y$2:$Y$9,MATCH($A316,'Historical Data'!$BE$2:$BE$9,0)),"")</f>
        <v/>
      </c>
      <c r="H316" s="111" t="str">
        <f aca="false">IFERROR(INDEX('Historical Data'!$K$2:$K$9,MATCH($A316,'Historical Data'!$BE$2:$BE$9,0)),"")</f>
        <v/>
      </c>
      <c r="I316" s="111" t="str">
        <f aca="false">IFERROR(INDEX('Historical Data'!$J$2:$J$9,MATCH($A316,'Historical Data'!$BE$2:$BE$9,0)),"")</f>
        <v/>
      </c>
      <c r="J316" s="111" t="str">
        <f aca="false">IFERROR(INDEX('Historical Data'!$L$2:$L$9,MATCH($A316,'Historical Data'!$BE$2:$BE$9,0)),"")</f>
        <v/>
      </c>
      <c r="K316" s="113" t="str">
        <f aca="false">IFERROR(INDEX('Historical Data'!$M$2:$M$9,MATCH($A316,'Historical Data'!$BE$2:$BE$9,0)),"")</f>
        <v/>
      </c>
      <c r="L316" s="114" t="str">
        <f aca="false">IFERROR(INDEX('Historical Data'!$N$2:$N$9,MATCH($A316,'Historical Data'!$BE$2:$BE$9,0)),"")</f>
        <v/>
      </c>
      <c r="M316" s="114" t="str">
        <f aca="false">IFERROR(INDEX('Historical Data'!$Q$2:$Q$9,MATCH($A316,'Historical Data'!$BE$2:$BE$9,0)),"")</f>
        <v/>
      </c>
      <c r="N316" s="115" t="str">
        <f aca="false">IFERROR(INDEX('Historical Data'!$S$2:$S$9,MATCH($A316,'Historical Data'!$BE$2:$BE$9,0)),"")</f>
        <v/>
      </c>
      <c r="O316" s="114" t="str">
        <f aca="false">IFERROR(INDEX('Historical Data'!$AJ$2:$AJ$9,MATCH($A316,'Historical Data'!$BE$2:$BE$9,0)),"")</f>
        <v/>
      </c>
      <c r="P316" s="114" t="str">
        <f aca="false">IFERROR(INDEX('Historical Data'!$AK$2:$AK$9,MATCH($A316,'Historical Data'!$BE$2:$BE$9,0)),"")</f>
        <v/>
      </c>
      <c r="Q316" s="111" t="str">
        <f aca="false">IFERROR(INDEX('Historical Data'!$AA$2:$AA$9,MATCH($A316,'Historical Data'!$BE$2:$BE$9,0)),"")</f>
        <v/>
      </c>
      <c r="R316" s="111" t="str">
        <f aca="false">IFERROR(INDEX('Historical Data'!$AB$2:$AB$9,MATCH($A316,'Historical Data'!$BE$2:$BE$9,0)),"")</f>
        <v/>
      </c>
      <c r="S316" s="111" t="str">
        <f aca="false">IFERROR(INDEX('Historical Data'!$AN$2:$AN$9,MATCH($A316,'Historical Data'!$BE$2:$BE$9,0)),"")</f>
        <v/>
      </c>
      <c r="T316" s="111" t="str">
        <f aca="false">IFERROR(INDEX('Historical Data'!$AC$2:$AC$9,MATCH($A316,'Historical Data'!$BE$2:$BE$9,0)),"")</f>
        <v/>
      </c>
      <c r="U316" s="111" t="str">
        <f aca="false">IFERROR(INDEX('Historical Data'!$AE$2:$AE$9,MATCH($A316,'Historical Data'!$BE$2:$BE$9,0)),"")</f>
        <v/>
      </c>
      <c r="V316" s="111" t="str">
        <f aca="false">IFERROR(INDEX('Historical Data'!$AH$2:$AH$9,MATCH($A316,'Historical Data'!$BE$2:$BE$9,0)),"")</f>
        <v/>
      </c>
      <c r="W316" s="111" t="str">
        <f aca="false">IFERROR(INDEX('Historical Data'!$BC$2:$BC$9,MATCH($A316,'Historical Data'!$BE$2:$BE$9,0)),"")</f>
        <v/>
      </c>
      <c r="X316" s="110" t="str">
        <f aca="false">IF(B316="","",IF(W316=1,"NR + industry + position",IF(W316=2,"NR + ISO + position",IF(W316=3,"NR + industry",IF(W316=4,"NR + ISO",IF(W316=5,"NR + position",IF(W316=6,"NR only","book baseline"))))))&amp;"  ["&amp;IF(T316=1,"seasoned","unseasoned")&amp;IF(U316=1,", defaulted","")&amp;IF(V316=1,", open","")&amp;"]")</f>
        <v/>
      </c>
    </row>
    <row r="317" customFormat="false" ht="15" hidden="false" customHeight="false" outlineLevel="0" collapsed="false">
      <c r="A317" s="110" t="n">
        <v>313</v>
      </c>
      <c r="B317" s="111" t="str">
        <f aca="false">IFERROR(INDEX('Historical Data'!$A$2:$A$9,MATCH($A317,'Historical Data'!$BE$2:$BE$9,0)),"")</f>
        <v/>
      </c>
      <c r="C317" s="111" t="str">
        <f aca="false">IFERROR(INDEX('Historical Data'!$B$2:$B$9,MATCH($A317,'Historical Data'!$BE$2:$BE$9,0)),"")</f>
        <v/>
      </c>
      <c r="D317" s="111" t="str">
        <f aca="false">IFERROR(INDEX('Historical Data'!$D$2:$D$9,MATCH($A317,'Historical Data'!$BE$2:$BE$9,0)),"")</f>
        <v/>
      </c>
      <c r="E317" s="112" t="str">
        <f aca="false">IFERROR(INDEX('Historical Data'!$E$2:$E$9,MATCH($A317,'Historical Data'!$BE$2:$BE$9,0)),"")</f>
        <v/>
      </c>
      <c r="F317" s="111" t="str">
        <f aca="false">IFERROR(INDEX('Historical Data'!$G$2:$G$9,MATCH($A317,'Historical Data'!$BE$2:$BE$9,0)),"")</f>
        <v/>
      </c>
      <c r="G317" s="111" t="str">
        <f aca="false">IFERROR(INDEX('Historical Data'!$Y$2:$Y$9,MATCH($A317,'Historical Data'!$BE$2:$BE$9,0)),"")</f>
        <v/>
      </c>
      <c r="H317" s="111" t="str">
        <f aca="false">IFERROR(INDEX('Historical Data'!$K$2:$K$9,MATCH($A317,'Historical Data'!$BE$2:$BE$9,0)),"")</f>
        <v/>
      </c>
      <c r="I317" s="111" t="str">
        <f aca="false">IFERROR(INDEX('Historical Data'!$J$2:$J$9,MATCH($A317,'Historical Data'!$BE$2:$BE$9,0)),"")</f>
        <v/>
      </c>
      <c r="J317" s="111" t="str">
        <f aca="false">IFERROR(INDEX('Historical Data'!$L$2:$L$9,MATCH($A317,'Historical Data'!$BE$2:$BE$9,0)),"")</f>
        <v/>
      </c>
      <c r="K317" s="113" t="str">
        <f aca="false">IFERROR(INDEX('Historical Data'!$M$2:$M$9,MATCH($A317,'Historical Data'!$BE$2:$BE$9,0)),"")</f>
        <v/>
      </c>
      <c r="L317" s="114" t="str">
        <f aca="false">IFERROR(INDEX('Historical Data'!$N$2:$N$9,MATCH($A317,'Historical Data'!$BE$2:$BE$9,0)),"")</f>
        <v/>
      </c>
      <c r="M317" s="114" t="str">
        <f aca="false">IFERROR(INDEX('Historical Data'!$Q$2:$Q$9,MATCH($A317,'Historical Data'!$BE$2:$BE$9,0)),"")</f>
        <v/>
      </c>
      <c r="N317" s="115" t="str">
        <f aca="false">IFERROR(INDEX('Historical Data'!$S$2:$S$9,MATCH($A317,'Historical Data'!$BE$2:$BE$9,0)),"")</f>
        <v/>
      </c>
      <c r="O317" s="114" t="str">
        <f aca="false">IFERROR(INDEX('Historical Data'!$AJ$2:$AJ$9,MATCH($A317,'Historical Data'!$BE$2:$BE$9,0)),"")</f>
        <v/>
      </c>
      <c r="P317" s="114" t="str">
        <f aca="false">IFERROR(INDEX('Historical Data'!$AK$2:$AK$9,MATCH($A317,'Historical Data'!$BE$2:$BE$9,0)),"")</f>
        <v/>
      </c>
      <c r="Q317" s="111" t="str">
        <f aca="false">IFERROR(INDEX('Historical Data'!$AA$2:$AA$9,MATCH($A317,'Historical Data'!$BE$2:$BE$9,0)),"")</f>
        <v/>
      </c>
      <c r="R317" s="111" t="str">
        <f aca="false">IFERROR(INDEX('Historical Data'!$AB$2:$AB$9,MATCH($A317,'Historical Data'!$BE$2:$BE$9,0)),"")</f>
        <v/>
      </c>
      <c r="S317" s="111" t="str">
        <f aca="false">IFERROR(INDEX('Historical Data'!$AN$2:$AN$9,MATCH($A317,'Historical Data'!$BE$2:$BE$9,0)),"")</f>
        <v/>
      </c>
      <c r="T317" s="111" t="str">
        <f aca="false">IFERROR(INDEX('Historical Data'!$AC$2:$AC$9,MATCH($A317,'Historical Data'!$BE$2:$BE$9,0)),"")</f>
        <v/>
      </c>
      <c r="U317" s="111" t="str">
        <f aca="false">IFERROR(INDEX('Historical Data'!$AE$2:$AE$9,MATCH($A317,'Historical Data'!$BE$2:$BE$9,0)),"")</f>
        <v/>
      </c>
      <c r="V317" s="111" t="str">
        <f aca="false">IFERROR(INDEX('Historical Data'!$AH$2:$AH$9,MATCH($A317,'Historical Data'!$BE$2:$BE$9,0)),"")</f>
        <v/>
      </c>
      <c r="W317" s="111" t="str">
        <f aca="false">IFERROR(INDEX('Historical Data'!$BC$2:$BC$9,MATCH($A317,'Historical Data'!$BE$2:$BE$9,0)),"")</f>
        <v/>
      </c>
      <c r="X317" s="110" t="str">
        <f aca="false">IF(B317="","",IF(W317=1,"NR + industry + position",IF(W317=2,"NR + ISO + position",IF(W317=3,"NR + industry",IF(W317=4,"NR + ISO",IF(W317=5,"NR + position",IF(W317=6,"NR only","book baseline"))))))&amp;"  ["&amp;IF(T317=1,"seasoned","unseasoned")&amp;IF(U317=1,", defaulted","")&amp;IF(V317=1,", open","")&amp;"]")</f>
        <v/>
      </c>
    </row>
    <row r="318" customFormat="false" ht="15" hidden="false" customHeight="false" outlineLevel="0" collapsed="false">
      <c r="A318" s="110" t="n">
        <v>314</v>
      </c>
      <c r="B318" s="111" t="str">
        <f aca="false">IFERROR(INDEX('Historical Data'!$A$2:$A$9,MATCH($A318,'Historical Data'!$BE$2:$BE$9,0)),"")</f>
        <v/>
      </c>
      <c r="C318" s="111" t="str">
        <f aca="false">IFERROR(INDEX('Historical Data'!$B$2:$B$9,MATCH($A318,'Historical Data'!$BE$2:$BE$9,0)),"")</f>
        <v/>
      </c>
      <c r="D318" s="111" t="str">
        <f aca="false">IFERROR(INDEX('Historical Data'!$D$2:$D$9,MATCH($A318,'Historical Data'!$BE$2:$BE$9,0)),"")</f>
        <v/>
      </c>
      <c r="E318" s="112" t="str">
        <f aca="false">IFERROR(INDEX('Historical Data'!$E$2:$E$9,MATCH($A318,'Historical Data'!$BE$2:$BE$9,0)),"")</f>
        <v/>
      </c>
      <c r="F318" s="111" t="str">
        <f aca="false">IFERROR(INDEX('Historical Data'!$G$2:$G$9,MATCH($A318,'Historical Data'!$BE$2:$BE$9,0)),"")</f>
        <v/>
      </c>
      <c r="G318" s="111" t="str">
        <f aca="false">IFERROR(INDEX('Historical Data'!$Y$2:$Y$9,MATCH($A318,'Historical Data'!$BE$2:$BE$9,0)),"")</f>
        <v/>
      </c>
      <c r="H318" s="111" t="str">
        <f aca="false">IFERROR(INDEX('Historical Data'!$K$2:$K$9,MATCH($A318,'Historical Data'!$BE$2:$BE$9,0)),"")</f>
        <v/>
      </c>
      <c r="I318" s="111" t="str">
        <f aca="false">IFERROR(INDEX('Historical Data'!$J$2:$J$9,MATCH($A318,'Historical Data'!$BE$2:$BE$9,0)),"")</f>
        <v/>
      </c>
      <c r="J318" s="111" t="str">
        <f aca="false">IFERROR(INDEX('Historical Data'!$L$2:$L$9,MATCH($A318,'Historical Data'!$BE$2:$BE$9,0)),"")</f>
        <v/>
      </c>
      <c r="K318" s="113" t="str">
        <f aca="false">IFERROR(INDEX('Historical Data'!$M$2:$M$9,MATCH($A318,'Historical Data'!$BE$2:$BE$9,0)),"")</f>
        <v/>
      </c>
      <c r="L318" s="114" t="str">
        <f aca="false">IFERROR(INDEX('Historical Data'!$N$2:$N$9,MATCH($A318,'Historical Data'!$BE$2:$BE$9,0)),"")</f>
        <v/>
      </c>
      <c r="M318" s="114" t="str">
        <f aca="false">IFERROR(INDEX('Historical Data'!$Q$2:$Q$9,MATCH($A318,'Historical Data'!$BE$2:$BE$9,0)),"")</f>
        <v/>
      </c>
      <c r="N318" s="115" t="str">
        <f aca="false">IFERROR(INDEX('Historical Data'!$S$2:$S$9,MATCH($A318,'Historical Data'!$BE$2:$BE$9,0)),"")</f>
        <v/>
      </c>
      <c r="O318" s="114" t="str">
        <f aca="false">IFERROR(INDEX('Historical Data'!$AJ$2:$AJ$9,MATCH($A318,'Historical Data'!$BE$2:$BE$9,0)),"")</f>
        <v/>
      </c>
      <c r="P318" s="114" t="str">
        <f aca="false">IFERROR(INDEX('Historical Data'!$AK$2:$AK$9,MATCH($A318,'Historical Data'!$BE$2:$BE$9,0)),"")</f>
        <v/>
      </c>
      <c r="Q318" s="111" t="str">
        <f aca="false">IFERROR(INDEX('Historical Data'!$AA$2:$AA$9,MATCH($A318,'Historical Data'!$BE$2:$BE$9,0)),"")</f>
        <v/>
      </c>
      <c r="R318" s="111" t="str">
        <f aca="false">IFERROR(INDEX('Historical Data'!$AB$2:$AB$9,MATCH($A318,'Historical Data'!$BE$2:$BE$9,0)),"")</f>
        <v/>
      </c>
      <c r="S318" s="111" t="str">
        <f aca="false">IFERROR(INDEX('Historical Data'!$AN$2:$AN$9,MATCH($A318,'Historical Data'!$BE$2:$BE$9,0)),"")</f>
        <v/>
      </c>
      <c r="T318" s="111" t="str">
        <f aca="false">IFERROR(INDEX('Historical Data'!$AC$2:$AC$9,MATCH($A318,'Historical Data'!$BE$2:$BE$9,0)),"")</f>
        <v/>
      </c>
      <c r="U318" s="111" t="str">
        <f aca="false">IFERROR(INDEX('Historical Data'!$AE$2:$AE$9,MATCH($A318,'Historical Data'!$BE$2:$BE$9,0)),"")</f>
        <v/>
      </c>
      <c r="V318" s="111" t="str">
        <f aca="false">IFERROR(INDEX('Historical Data'!$AH$2:$AH$9,MATCH($A318,'Historical Data'!$BE$2:$BE$9,0)),"")</f>
        <v/>
      </c>
      <c r="W318" s="111" t="str">
        <f aca="false">IFERROR(INDEX('Historical Data'!$BC$2:$BC$9,MATCH($A318,'Historical Data'!$BE$2:$BE$9,0)),"")</f>
        <v/>
      </c>
      <c r="X318" s="110" t="str">
        <f aca="false">IF(B318="","",IF(W318=1,"NR + industry + position",IF(W318=2,"NR + ISO + position",IF(W318=3,"NR + industry",IF(W318=4,"NR + ISO",IF(W318=5,"NR + position",IF(W318=6,"NR only","book baseline"))))))&amp;"  ["&amp;IF(T318=1,"seasoned","unseasoned")&amp;IF(U318=1,", defaulted","")&amp;IF(V318=1,", open","")&amp;"]")</f>
        <v/>
      </c>
    </row>
    <row r="319" customFormat="false" ht="15" hidden="false" customHeight="false" outlineLevel="0" collapsed="false">
      <c r="A319" s="110" t="n">
        <v>315</v>
      </c>
      <c r="B319" s="111" t="str">
        <f aca="false">IFERROR(INDEX('Historical Data'!$A$2:$A$9,MATCH($A319,'Historical Data'!$BE$2:$BE$9,0)),"")</f>
        <v/>
      </c>
      <c r="C319" s="111" t="str">
        <f aca="false">IFERROR(INDEX('Historical Data'!$B$2:$B$9,MATCH($A319,'Historical Data'!$BE$2:$BE$9,0)),"")</f>
        <v/>
      </c>
      <c r="D319" s="111" t="str">
        <f aca="false">IFERROR(INDEX('Historical Data'!$D$2:$D$9,MATCH($A319,'Historical Data'!$BE$2:$BE$9,0)),"")</f>
        <v/>
      </c>
      <c r="E319" s="112" t="str">
        <f aca="false">IFERROR(INDEX('Historical Data'!$E$2:$E$9,MATCH($A319,'Historical Data'!$BE$2:$BE$9,0)),"")</f>
        <v/>
      </c>
      <c r="F319" s="111" t="str">
        <f aca="false">IFERROR(INDEX('Historical Data'!$G$2:$G$9,MATCH($A319,'Historical Data'!$BE$2:$BE$9,0)),"")</f>
        <v/>
      </c>
      <c r="G319" s="111" t="str">
        <f aca="false">IFERROR(INDEX('Historical Data'!$Y$2:$Y$9,MATCH($A319,'Historical Data'!$BE$2:$BE$9,0)),"")</f>
        <v/>
      </c>
      <c r="H319" s="111" t="str">
        <f aca="false">IFERROR(INDEX('Historical Data'!$K$2:$K$9,MATCH($A319,'Historical Data'!$BE$2:$BE$9,0)),"")</f>
        <v/>
      </c>
      <c r="I319" s="111" t="str">
        <f aca="false">IFERROR(INDEX('Historical Data'!$J$2:$J$9,MATCH($A319,'Historical Data'!$BE$2:$BE$9,0)),"")</f>
        <v/>
      </c>
      <c r="J319" s="111" t="str">
        <f aca="false">IFERROR(INDEX('Historical Data'!$L$2:$L$9,MATCH($A319,'Historical Data'!$BE$2:$BE$9,0)),"")</f>
        <v/>
      </c>
      <c r="K319" s="113" t="str">
        <f aca="false">IFERROR(INDEX('Historical Data'!$M$2:$M$9,MATCH($A319,'Historical Data'!$BE$2:$BE$9,0)),"")</f>
        <v/>
      </c>
      <c r="L319" s="114" t="str">
        <f aca="false">IFERROR(INDEX('Historical Data'!$N$2:$N$9,MATCH($A319,'Historical Data'!$BE$2:$BE$9,0)),"")</f>
        <v/>
      </c>
      <c r="M319" s="114" t="str">
        <f aca="false">IFERROR(INDEX('Historical Data'!$Q$2:$Q$9,MATCH($A319,'Historical Data'!$BE$2:$BE$9,0)),"")</f>
        <v/>
      </c>
      <c r="N319" s="115" t="str">
        <f aca="false">IFERROR(INDEX('Historical Data'!$S$2:$S$9,MATCH($A319,'Historical Data'!$BE$2:$BE$9,0)),"")</f>
        <v/>
      </c>
      <c r="O319" s="114" t="str">
        <f aca="false">IFERROR(INDEX('Historical Data'!$AJ$2:$AJ$9,MATCH($A319,'Historical Data'!$BE$2:$BE$9,0)),"")</f>
        <v/>
      </c>
      <c r="P319" s="114" t="str">
        <f aca="false">IFERROR(INDEX('Historical Data'!$AK$2:$AK$9,MATCH($A319,'Historical Data'!$BE$2:$BE$9,0)),"")</f>
        <v/>
      </c>
      <c r="Q319" s="111" t="str">
        <f aca="false">IFERROR(INDEX('Historical Data'!$AA$2:$AA$9,MATCH($A319,'Historical Data'!$BE$2:$BE$9,0)),"")</f>
        <v/>
      </c>
      <c r="R319" s="111" t="str">
        <f aca="false">IFERROR(INDEX('Historical Data'!$AB$2:$AB$9,MATCH($A319,'Historical Data'!$BE$2:$BE$9,0)),"")</f>
        <v/>
      </c>
      <c r="S319" s="111" t="str">
        <f aca="false">IFERROR(INDEX('Historical Data'!$AN$2:$AN$9,MATCH($A319,'Historical Data'!$BE$2:$BE$9,0)),"")</f>
        <v/>
      </c>
      <c r="T319" s="111" t="str">
        <f aca="false">IFERROR(INDEX('Historical Data'!$AC$2:$AC$9,MATCH($A319,'Historical Data'!$BE$2:$BE$9,0)),"")</f>
        <v/>
      </c>
      <c r="U319" s="111" t="str">
        <f aca="false">IFERROR(INDEX('Historical Data'!$AE$2:$AE$9,MATCH($A319,'Historical Data'!$BE$2:$BE$9,0)),"")</f>
        <v/>
      </c>
      <c r="V319" s="111" t="str">
        <f aca="false">IFERROR(INDEX('Historical Data'!$AH$2:$AH$9,MATCH($A319,'Historical Data'!$BE$2:$BE$9,0)),"")</f>
        <v/>
      </c>
      <c r="W319" s="111" t="str">
        <f aca="false">IFERROR(INDEX('Historical Data'!$BC$2:$BC$9,MATCH($A319,'Historical Data'!$BE$2:$BE$9,0)),"")</f>
        <v/>
      </c>
      <c r="X319" s="110" t="str">
        <f aca="false">IF(B319="","",IF(W319=1,"NR + industry + position",IF(W319=2,"NR + ISO + position",IF(W319=3,"NR + industry",IF(W319=4,"NR + ISO",IF(W319=5,"NR + position",IF(W319=6,"NR only","book baseline"))))))&amp;"  ["&amp;IF(T319=1,"seasoned","unseasoned")&amp;IF(U319=1,", defaulted","")&amp;IF(V319=1,", open","")&amp;"]")</f>
        <v/>
      </c>
    </row>
    <row r="320" customFormat="false" ht="15" hidden="false" customHeight="false" outlineLevel="0" collapsed="false">
      <c r="A320" s="110" t="n">
        <v>316</v>
      </c>
      <c r="B320" s="111" t="str">
        <f aca="false">IFERROR(INDEX('Historical Data'!$A$2:$A$9,MATCH($A320,'Historical Data'!$BE$2:$BE$9,0)),"")</f>
        <v/>
      </c>
      <c r="C320" s="111" t="str">
        <f aca="false">IFERROR(INDEX('Historical Data'!$B$2:$B$9,MATCH($A320,'Historical Data'!$BE$2:$BE$9,0)),"")</f>
        <v/>
      </c>
      <c r="D320" s="111" t="str">
        <f aca="false">IFERROR(INDEX('Historical Data'!$D$2:$D$9,MATCH($A320,'Historical Data'!$BE$2:$BE$9,0)),"")</f>
        <v/>
      </c>
      <c r="E320" s="112" t="str">
        <f aca="false">IFERROR(INDEX('Historical Data'!$E$2:$E$9,MATCH($A320,'Historical Data'!$BE$2:$BE$9,0)),"")</f>
        <v/>
      </c>
      <c r="F320" s="111" t="str">
        <f aca="false">IFERROR(INDEX('Historical Data'!$G$2:$G$9,MATCH($A320,'Historical Data'!$BE$2:$BE$9,0)),"")</f>
        <v/>
      </c>
      <c r="G320" s="111" t="str">
        <f aca="false">IFERROR(INDEX('Historical Data'!$Y$2:$Y$9,MATCH($A320,'Historical Data'!$BE$2:$BE$9,0)),"")</f>
        <v/>
      </c>
      <c r="H320" s="111" t="str">
        <f aca="false">IFERROR(INDEX('Historical Data'!$K$2:$K$9,MATCH($A320,'Historical Data'!$BE$2:$BE$9,0)),"")</f>
        <v/>
      </c>
      <c r="I320" s="111" t="str">
        <f aca="false">IFERROR(INDEX('Historical Data'!$J$2:$J$9,MATCH($A320,'Historical Data'!$BE$2:$BE$9,0)),"")</f>
        <v/>
      </c>
      <c r="J320" s="111" t="str">
        <f aca="false">IFERROR(INDEX('Historical Data'!$L$2:$L$9,MATCH($A320,'Historical Data'!$BE$2:$BE$9,0)),"")</f>
        <v/>
      </c>
      <c r="K320" s="113" t="str">
        <f aca="false">IFERROR(INDEX('Historical Data'!$M$2:$M$9,MATCH($A320,'Historical Data'!$BE$2:$BE$9,0)),"")</f>
        <v/>
      </c>
      <c r="L320" s="114" t="str">
        <f aca="false">IFERROR(INDEX('Historical Data'!$N$2:$N$9,MATCH($A320,'Historical Data'!$BE$2:$BE$9,0)),"")</f>
        <v/>
      </c>
      <c r="M320" s="114" t="str">
        <f aca="false">IFERROR(INDEX('Historical Data'!$Q$2:$Q$9,MATCH($A320,'Historical Data'!$BE$2:$BE$9,0)),"")</f>
        <v/>
      </c>
      <c r="N320" s="115" t="str">
        <f aca="false">IFERROR(INDEX('Historical Data'!$S$2:$S$9,MATCH($A320,'Historical Data'!$BE$2:$BE$9,0)),"")</f>
        <v/>
      </c>
      <c r="O320" s="114" t="str">
        <f aca="false">IFERROR(INDEX('Historical Data'!$AJ$2:$AJ$9,MATCH($A320,'Historical Data'!$BE$2:$BE$9,0)),"")</f>
        <v/>
      </c>
      <c r="P320" s="114" t="str">
        <f aca="false">IFERROR(INDEX('Historical Data'!$AK$2:$AK$9,MATCH($A320,'Historical Data'!$BE$2:$BE$9,0)),"")</f>
        <v/>
      </c>
      <c r="Q320" s="111" t="str">
        <f aca="false">IFERROR(INDEX('Historical Data'!$AA$2:$AA$9,MATCH($A320,'Historical Data'!$BE$2:$BE$9,0)),"")</f>
        <v/>
      </c>
      <c r="R320" s="111" t="str">
        <f aca="false">IFERROR(INDEX('Historical Data'!$AB$2:$AB$9,MATCH($A320,'Historical Data'!$BE$2:$BE$9,0)),"")</f>
        <v/>
      </c>
      <c r="S320" s="111" t="str">
        <f aca="false">IFERROR(INDEX('Historical Data'!$AN$2:$AN$9,MATCH($A320,'Historical Data'!$BE$2:$BE$9,0)),"")</f>
        <v/>
      </c>
      <c r="T320" s="111" t="str">
        <f aca="false">IFERROR(INDEX('Historical Data'!$AC$2:$AC$9,MATCH($A320,'Historical Data'!$BE$2:$BE$9,0)),"")</f>
        <v/>
      </c>
      <c r="U320" s="111" t="str">
        <f aca="false">IFERROR(INDEX('Historical Data'!$AE$2:$AE$9,MATCH($A320,'Historical Data'!$BE$2:$BE$9,0)),"")</f>
        <v/>
      </c>
      <c r="V320" s="111" t="str">
        <f aca="false">IFERROR(INDEX('Historical Data'!$AH$2:$AH$9,MATCH($A320,'Historical Data'!$BE$2:$BE$9,0)),"")</f>
        <v/>
      </c>
      <c r="W320" s="111" t="str">
        <f aca="false">IFERROR(INDEX('Historical Data'!$BC$2:$BC$9,MATCH($A320,'Historical Data'!$BE$2:$BE$9,0)),"")</f>
        <v/>
      </c>
      <c r="X320" s="110" t="str">
        <f aca="false">IF(B320="","",IF(W320=1,"NR + industry + position",IF(W320=2,"NR + ISO + position",IF(W320=3,"NR + industry",IF(W320=4,"NR + ISO",IF(W320=5,"NR + position",IF(W320=6,"NR only","book baseline"))))))&amp;"  ["&amp;IF(T320=1,"seasoned","unseasoned")&amp;IF(U320=1,", defaulted","")&amp;IF(V320=1,", open","")&amp;"]")</f>
        <v/>
      </c>
    </row>
    <row r="321" customFormat="false" ht="15" hidden="false" customHeight="false" outlineLevel="0" collapsed="false">
      <c r="A321" s="110" t="n">
        <v>317</v>
      </c>
      <c r="B321" s="111" t="str">
        <f aca="false">IFERROR(INDEX('Historical Data'!$A$2:$A$9,MATCH($A321,'Historical Data'!$BE$2:$BE$9,0)),"")</f>
        <v/>
      </c>
      <c r="C321" s="111" t="str">
        <f aca="false">IFERROR(INDEX('Historical Data'!$B$2:$B$9,MATCH($A321,'Historical Data'!$BE$2:$BE$9,0)),"")</f>
        <v/>
      </c>
      <c r="D321" s="111" t="str">
        <f aca="false">IFERROR(INDEX('Historical Data'!$D$2:$D$9,MATCH($A321,'Historical Data'!$BE$2:$BE$9,0)),"")</f>
        <v/>
      </c>
      <c r="E321" s="112" t="str">
        <f aca="false">IFERROR(INDEX('Historical Data'!$E$2:$E$9,MATCH($A321,'Historical Data'!$BE$2:$BE$9,0)),"")</f>
        <v/>
      </c>
      <c r="F321" s="111" t="str">
        <f aca="false">IFERROR(INDEX('Historical Data'!$G$2:$G$9,MATCH($A321,'Historical Data'!$BE$2:$BE$9,0)),"")</f>
        <v/>
      </c>
      <c r="G321" s="111" t="str">
        <f aca="false">IFERROR(INDEX('Historical Data'!$Y$2:$Y$9,MATCH($A321,'Historical Data'!$BE$2:$BE$9,0)),"")</f>
        <v/>
      </c>
      <c r="H321" s="111" t="str">
        <f aca="false">IFERROR(INDEX('Historical Data'!$K$2:$K$9,MATCH($A321,'Historical Data'!$BE$2:$BE$9,0)),"")</f>
        <v/>
      </c>
      <c r="I321" s="111" t="str">
        <f aca="false">IFERROR(INDEX('Historical Data'!$J$2:$J$9,MATCH($A321,'Historical Data'!$BE$2:$BE$9,0)),"")</f>
        <v/>
      </c>
      <c r="J321" s="111" t="str">
        <f aca="false">IFERROR(INDEX('Historical Data'!$L$2:$L$9,MATCH($A321,'Historical Data'!$BE$2:$BE$9,0)),"")</f>
        <v/>
      </c>
      <c r="K321" s="113" t="str">
        <f aca="false">IFERROR(INDEX('Historical Data'!$M$2:$M$9,MATCH($A321,'Historical Data'!$BE$2:$BE$9,0)),"")</f>
        <v/>
      </c>
      <c r="L321" s="114" t="str">
        <f aca="false">IFERROR(INDEX('Historical Data'!$N$2:$N$9,MATCH($A321,'Historical Data'!$BE$2:$BE$9,0)),"")</f>
        <v/>
      </c>
      <c r="M321" s="114" t="str">
        <f aca="false">IFERROR(INDEX('Historical Data'!$Q$2:$Q$9,MATCH($A321,'Historical Data'!$BE$2:$BE$9,0)),"")</f>
        <v/>
      </c>
      <c r="N321" s="115" t="str">
        <f aca="false">IFERROR(INDEX('Historical Data'!$S$2:$S$9,MATCH($A321,'Historical Data'!$BE$2:$BE$9,0)),"")</f>
        <v/>
      </c>
      <c r="O321" s="114" t="str">
        <f aca="false">IFERROR(INDEX('Historical Data'!$AJ$2:$AJ$9,MATCH($A321,'Historical Data'!$BE$2:$BE$9,0)),"")</f>
        <v/>
      </c>
      <c r="P321" s="114" t="str">
        <f aca="false">IFERROR(INDEX('Historical Data'!$AK$2:$AK$9,MATCH($A321,'Historical Data'!$BE$2:$BE$9,0)),"")</f>
        <v/>
      </c>
      <c r="Q321" s="111" t="str">
        <f aca="false">IFERROR(INDEX('Historical Data'!$AA$2:$AA$9,MATCH($A321,'Historical Data'!$BE$2:$BE$9,0)),"")</f>
        <v/>
      </c>
      <c r="R321" s="111" t="str">
        <f aca="false">IFERROR(INDEX('Historical Data'!$AB$2:$AB$9,MATCH($A321,'Historical Data'!$BE$2:$BE$9,0)),"")</f>
        <v/>
      </c>
      <c r="S321" s="111" t="str">
        <f aca="false">IFERROR(INDEX('Historical Data'!$AN$2:$AN$9,MATCH($A321,'Historical Data'!$BE$2:$BE$9,0)),"")</f>
        <v/>
      </c>
      <c r="T321" s="111" t="str">
        <f aca="false">IFERROR(INDEX('Historical Data'!$AC$2:$AC$9,MATCH($A321,'Historical Data'!$BE$2:$BE$9,0)),"")</f>
        <v/>
      </c>
      <c r="U321" s="111" t="str">
        <f aca="false">IFERROR(INDEX('Historical Data'!$AE$2:$AE$9,MATCH($A321,'Historical Data'!$BE$2:$BE$9,0)),"")</f>
        <v/>
      </c>
      <c r="V321" s="111" t="str">
        <f aca="false">IFERROR(INDEX('Historical Data'!$AH$2:$AH$9,MATCH($A321,'Historical Data'!$BE$2:$BE$9,0)),"")</f>
        <v/>
      </c>
      <c r="W321" s="111" t="str">
        <f aca="false">IFERROR(INDEX('Historical Data'!$BC$2:$BC$9,MATCH($A321,'Historical Data'!$BE$2:$BE$9,0)),"")</f>
        <v/>
      </c>
      <c r="X321" s="110" t="str">
        <f aca="false">IF(B321="","",IF(W321=1,"NR + industry + position",IF(W321=2,"NR + ISO + position",IF(W321=3,"NR + industry",IF(W321=4,"NR + ISO",IF(W321=5,"NR + position",IF(W321=6,"NR only","book baseline"))))))&amp;"  ["&amp;IF(T321=1,"seasoned","unseasoned")&amp;IF(U321=1,", defaulted","")&amp;IF(V321=1,", open","")&amp;"]")</f>
        <v/>
      </c>
    </row>
    <row r="322" customFormat="false" ht="15" hidden="false" customHeight="false" outlineLevel="0" collapsed="false">
      <c r="A322" s="110" t="n">
        <v>318</v>
      </c>
      <c r="B322" s="111" t="str">
        <f aca="false">IFERROR(INDEX('Historical Data'!$A$2:$A$9,MATCH($A322,'Historical Data'!$BE$2:$BE$9,0)),"")</f>
        <v/>
      </c>
      <c r="C322" s="111" t="str">
        <f aca="false">IFERROR(INDEX('Historical Data'!$B$2:$B$9,MATCH($A322,'Historical Data'!$BE$2:$BE$9,0)),"")</f>
        <v/>
      </c>
      <c r="D322" s="111" t="str">
        <f aca="false">IFERROR(INDEX('Historical Data'!$D$2:$D$9,MATCH($A322,'Historical Data'!$BE$2:$BE$9,0)),"")</f>
        <v/>
      </c>
      <c r="E322" s="112" t="str">
        <f aca="false">IFERROR(INDEX('Historical Data'!$E$2:$E$9,MATCH($A322,'Historical Data'!$BE$2:$BE$9,0)),"")</f>
        <v/>
      </c>
      <c r="F322" s="111" t="str">
        <f aca="false">IFERROR(INDEX('Historical Data'!$G$2:$G$9,MATCH($A322,'Historical Data'!$BE$2:$BE$9,0)),"")</f>
        <v/>
      </c>
      <c r="G322" s="111" t="str">
        <f aca="false">IFERROR(INDEX('Historical Data'!$Y$2:$Y$9,MATCH($A322,'Historical Data'!$BE$2:$BE$9,0)),"")</f>
        <v/>
      </c>
      <c r="H322" s="111" t="str">
        <f aca="false">IFERROR(INDEX('Historical Data'!$K$2:$K$9,MATCH($A322,'Historical Data'!$BE$2:$BE$9,0)),"")</f>
        <v/>
      </c>
      <c r="I322" s="111" t="str">
        <f aca="false">IFERROR(INDEX('Historical Data'!$J$2:$J$9,MATCH($A322,'Historical Data'!$BE$2:$BE$9,0)),"")</f>
        <v/>
      </c>
      <c r="J322" s="111" t="str">
        <f aca="false">IFERROR(INDEX('Historical Data'!$L$2:$L$9,MATCH($A322,'Historical Data'!$BE$2:$BE$9,0)),"")</f>
        <v/>
      </c>
      <c r="K322" s="113" t="str">
        <f aca="false">IFERROR(INDEX('Historical Data'!$M$2:$M$9,MATCH($A322,'Historical Data'!$BE$2:$BE$9,0)),"")</f>
        <v/>
      </c>
      <c r="L322" s="114" t="str">
        <f aca="false">IFERROR(INDEX('Historical Data'!$N$2:$N$9,MATCH($A322,'Historical Data'!$BE$2:$BE$9,0)),"")</f>
        <v/>
      </c>
      <c r="M322" s="114" t="str">
        <f aca="false">IFERROR(INDEX('Historical Data'!$Q$2:$Q$9,MATCH($A322,'Historical Data'!$BE$2:$BE$9,0)),"")</f>
        <v/>
      </c>
      <c r="N322" s="115" t="str">
        <f aca="false">IFERROR(INDEX('Historical Data'!$S$2:$S$9,MATCH($A322,'Historical Data'!$BE$2:$BE$9,0)),"")</f>
        <v/>
      </c>
      <c r="O322" s="114" t="str">
        <f aca="false">IFERROR(INDEX('Historical Data'!$AJ$2:$AJ$9,MATCH($A322,'Historical Data'!$BE$2:$BE$9,0)),"")</f>
        <v/>
      </c>
      <c r="P322" s="114" t="str">
        <f aca="false">IFERROR(INDEX('Historical Data'!$AK$2:$AK$9,MATCH($A322,'Historical Data'!$BE$2:$BE$9,0)),"")</f>
        <v/>
      </c>
      <c r="Q322" s="111" t="str">
        <f aca="false">IFERROR(INDEX('Historical Data'!$AA$2:$AA$9,MATCH($A322,'Historical Data'!$BE$2:$BE$9,0)),"")</f>
        <v/>
      </c>
      <c r="R322" s="111" t="str">
        <f aca="false">IFERROR(INDEX('Historical Data'!$AB$2:$AB$9,MATCH($A322,'Historical Data'!$BE$2:$BE$9,0)),"")</f>
        <v/>
      </c>
      <c r="S322" s="111" t="str">
        <f aca="false">IFERROR(INDEX('Historical Data'!$AN$2:$AN$9,MATCH($A322,'Historical Data'!$BE$2:$BE$9,0)),"")</f>
        <v/>
      </c>
      <c r="T322" s="111" t="str">
        <f aca="false">IFERROR(INDEX('Historical Data'!$AC$2:$AC$9,MATCH($A322,'Historical Data'!$BE$2:$BE$9,0)),"")</f>
        <v/>
      </c>
      <c r="U322" s="111" t="str">
        <f aca="false">IFERROR(INDEX('Historical Data'!$AE$2:$AE$9,MATCH($A322,'Historical Data'!$BE$2:$BE$9,0)),"")</f>
        <v/>
      </c>
      <c r="V322" s="111" t="str">
        <f aca="false">IFERROR(INDEX('Historical Data'!$AH$2:$AH$9,MATCH($A322,'Historical Data'!$BE$2:$BE$9,0)),"")</f>
        <v/>
      </c>
      <c r="W322" s="111" t="str">
        <f aca="false">IFERROR(INDEX('Historical Data'!$BC$2:$BC$9,MATCH($A322,'Historical Data'!$BE$2:$BE$9,0)),"")</f>
        <v/>
      </c>
      <c r="X322" s="110" t="str">
        <f aca="false">IF(B322="","",IF(W322=1,"NR + industry + position",IF(W322=2,"NR + ISO + position",IF(W322=3,"NR + industry",IF(W322=4,"NR + ISO",IF(W322=5,"NR + position",IF(W322=6,"NR only","book baseline"))))))&amp;"  ["&amp;IF(T322=1,"seasoned","unseasoned")&amp;IF(U322=1,", defaulted","")&amp;IF(V322=1,", open","")&amp;"]")</f>
        <v/>
      </c>
    </row>
    <row r="323" customFormat="false" ht="15" hidden="false" customHeight="false" outlineLevel="0" collapsed="false">
      <c r="A323" s="110" t="n">
        <v>319</v>
      </c>
      <c r="B323" s="111" t="str">
        <f aca="false">IFERROR(INDEX('Historical Data'!$A$2:$A$9,MATCH($A323,'Historical Data'!$BE$2:$BE$9,0)),"")</f>
        <v/>
      </c>
      <c r="C323" s="111" t="str">
        <f aca="false">IFERROR(INDEX('Historical Data'!$B$2:$B$9,MATCH($A323,'Historical Data'!$BE$2:$BE$9,0)),"")</f>
        <v/>
      </c>
      <c r="D323" s="111" t="str">
        <f aca="false">IFERROR(INDEX('Historical Data'!$D$2:$D$9,MATCH($A323,'Historical Data'!$BE$2:$BE$9,0)),"")</f>
        <v/>
      </c>
      <c r="E323" s="112" t="str">
        <f aca="false">IFERROR(INDEX('Historical Data'!$E$2:$E$9,MATCH($A323,'Historical Data'!$BE$2:$BE$9,0)),"")</f>
        <v/>
      </c>
      <c r="F323" s="111" t="str">
        <f aca="false">IFERROR(INDEX('Historical Data'!$G$2:$G$9,MATCH($A323,'Historical Data'!$BE$2:$BE$9,0)),"")</f>
        <v/>
      </c>
      <c r="G323" s="111" t="str">
        <f aca="false">IFERROR(INDEX('Historical Data'!$Y$2:$Y$9,MATCH($A323,'Historical Data'!$BE$2:$BE$9,0)),"")</f>
        <v/>
      </c>
      <c r="H323" s="111" t="str">
        <f aca="false">IFERROR(INDEX('Historical Data'!$K$2:$K$9,MATCH($A323,'Historical Data'!$BE$2:$BE$9,0)),"")</f>
        <v/>
      </c>
      <c r="I323" s="111" t="str">
        <f aca="false">IFERROR(INDEX('Historical Data'!$J$2:$J$9,MATCH($A323,'Historical Data'!$BE$2:$BE$9,0)),"")</f>
        <v/>
      </c>
      <c r="J323" s="111" t="str">
        <f aca="false">IFERROR(INDEX('Historical Data'!$L$2:$L$9,MATCH($A323,'Historical Data'!$BE$2:$BE$9,0)),"")</f>
        <v/>
      </c>
      <c r="K323" s="113" t="str">
        <f aca="false">IFERROR(INDEX('Historical Data'!$M$2:$M$9,MATCH($A323,'Historical Data'!$BE$2:$BE$9,0)),"")</f>
        <v/>
      </c>
      <c r="L323" s="114" t="str">
        <f aca="false">IFERROR(INDEX('Historical Data'!$N$2:$N$9,MATCH($A323,'Historical Data'!$BE$2:$BE$9,0)),"")</f>
        <v/>
      </c>
      <c r="M323" s="114" t="str">
        <f aca="false">IFERROR(INDEX('Historical Data'!$Q$2:$Q$9,MATCH($A323,'Historical Data'!$BE$2:$BE$9,0)),"")</f>
        <v/>
      </c>
      <c r="N323" s="115" t="str">
        <f aca="false">IFERROR(INDEX('Historical Data'!$S$2:$S$9,MATCH($A323,'Historical Data'!$BE$2:$BE$9,0)),"")</f>
        <v/>
      </c>
      <c r="O323" s="114" t="str">
        <f aca="false">IFERROR(INDEX('Historical Data'!$AJ$2:$AJ$9,MATCH($A323,'Historical Data'!$BE$2:$BE$9,0)),"")</f>
        <v/>
      </c>
      <c r="P323" s="114" t="str">
        <f aca="false">IFERROR(INDEX('Historical Data'!$AK$2:$AK$9,MATCH($A323,'Historical Data'!$BE$2:$BE$9,0)),"")</f>
        <v/>
      </c>
      <c r="Q323" s="111" t="str">
        <f aca="false">IFERROR(INDEX('Historical Data'!$AA$2:$AA$9,MATCH($A323,'Historical Data'!$BE$2:$BE$9,0)),"")</f>
        <v/>
      </c>
      <c r="R323" s="111" t="str">
        <f aca="false">IFERROR(INDEX('Historical Data'!$AB$2:$AB$9,MATCH($A323,'Historical Data'!$BE$2:$BE$9,0)),"")</f>
        <v/>
      </c>
      <c r="S323" s="111" t="str">
        <f aca="false">IFERROR(INDEX('Historical Data'!$AN$2:$AN$9,MATCH($A323,'Historical Data'!$BE$2:$BE$9,0)),"")</f>
        <v/>
      </c>
      <c r="T323" s="111" t="str">
        <f aca="false">IFERROR(INDEX('Historical Data'!$AC$2:$AC$9,MATCH($A323,'Historical Data'!$BE$2:$BE$9,0)),"")</f>
        <v/>
      </c>
      <c r="U323" s="111" t="str">
        <f aca="false">IFERROR(INDEX('Historical Data'!$AE$2:$AE$9,MATCH($A323,'Historical Data'!$BE$2:$BE$9,0)),"")</f>
        <v/>
      </c>
      <c r="V323" s="111" t="str">
        <f aca="false">IFERROR(INDEX('Historical Data'!$AH$2:$AH$9,MATCH($A323,'Historical Data'!$BE$2:$BE$9,0)),"")</f>
        <v/>
      </c>
      <c r="W323" s="111" t="str">
        <f aca="false">IFERROR(INDEX('Historical Data'!$BC$2:$BC$9,MATCH($A323,'Historical Data'!$BE$2:$BE$9,0)),"")</f>
        <v/>
      </c>
      <c r="X323" s="110" t="str">
        <f aca="false">IF(B323="","",IF(W323=1,"NR + industry + position",IF(W323=2,"NR + ISO + position",IF(W323=3,"NR + industry",IF(W323=4,"NR + ISO",IF(W323=5,"NR + position",IF(W323=6,"NR only","book baseline"))))))&amp;"  ["&amp;IF(T323=1,"seasoned","unseasoned")&amp;IF(U323=1,", defaulted","")&amp;IF(V323=1,", open","")&amp;"]")</f>
        <v/>
      </c>
    </row>
    <row r="324" customFormat="false" ht="15" hidden="false" customHeight="false" outlineLevel="0" collapsed="false">
      <c r="A324" s="110" t="n">
        <v>320</v>
      </c>
      <c r="B324" s="111" t="str">
        <f aca="false">IFERROR(INDEX('Historical Data'!$A$2:$A$9,MATCH($A324,'Historical Data'!$BE$2:$BE$9,0)),"")</f>
        <v/>
      </c>
      <c r="C324" s="111" t="str">
        <f aca="false">IFERROR(INDEX('Historical Data'!$B$2:$B$9,MATCH($A324,'Historical Data'!$BE$2:$BE$9,0)),"")</f>
        <v/>
      </c>
      <c r="D324" s="111" t="str">
        <f aca="false">IFERROR(INDEX('Historical Data'!$D$2:$D$9,MATCH($A324,'Historical Data'!$BE$2:$BE$9,0)),"")</f>
        <v/>
      </c>
      <c r="E324" s="112" t="str">
        <f aca="false">IFERROR(INDEX('Historical Data'!$E$2:$E$9,MATCH($A324,'Historical Data'!$BE$2:$BE$9,0)),"")</f>
        <v/>
      </c>
      <c r="F324" s="111" t="str">
        <f aca="false">IFERROR(INDEX('Historical Data'!$G$2:$G$9,MATCH($A324,'Historical Data'!$BE$2:$BE$9,0)),"")</f>
        <v/>
      </c>
      <c r="G324" s="111" t="str">
        <f aca="false">IFERROR(INDEX('Historical Data'!$Y$2:$Y$9,MATCH($A324,'Historical Data'!$BE$2:$BE$9,0)),"")</f>
        <v/>
      </c>
      <c r="H324" s="111" t="str">
        <f aca="false">IFERROR(INDEX('Historical Data'!$K$2:$K$9,MATCH($A324,'Historical Data'!$BE$2:$BE$9,0)),"")</f>
        <v/>
      </c>
      <c r="I324" s="111" t="str">
        <f aca="false">IFERROR(INDEX('Historical Data'!$J$2:$J$9,MATCH($A324,'Historical Data'!$BE$2:$BE$9,0)),"")</f>
        <v/>
      </c>
      <c r="J324" s="111" t="str">
        <f aca="false">IFERROR(INDEX('Historical Data'!$L$2:$L$9,MATCH($A324,'Historical Data'!$BE$2:$BE$9,0)),"")</f>
        <v/>
      </c>
      <c r="K324" s="113" t="str">
        <f aca="false">IFERROR(INDEX('Historical Data'!$M$2:$M$9,MATCH($A324,'Historical Data'!$BE$2:$BE$9,0)),"")</f>
        <v/>
      </c>
      <c r="L324" s="114" t="str">
        <f aca="false">IFERROR(INDEX('Historical Data'!$N$2:$N$9,MATCH($A324,'Historical Data'!$BE$2:$BE$9,0)),"")</f>
        <v/>
      </c>
      <c r="M324" s="114" t="str">
        <f aca="false">IFERROR(INDEX('Historical Data'!$Q$2:$Q$9,MATCH($A324,'Historical Data'!$BE$2:$BE$9,0)),"")</f>
        <v/>
      </c>
      <c r="N324" s="115" t="str">
        <f aca="false">IFERROR(INDEX('Historical Data'!$S$2:$S$9,MATCH($A324,'Historical Data'!$BE$2:$BE$9,0)),"")</f>
        <v/>
      </c>
      <c r="O324" s="114" t="str">
        <f aca="false">IFERROR(INDEX('Historical Data'!$AJ$2:$AJ$9,MATCH($A324,'Historical Data'!$BE$2:$BE$9,0)),"")</f>
        <v/>
      </c>
      <c r="P324" s="114" t="str">
        <f aca="false">IFERROR(INDEX('Historical Data'!$AK$2:$AK$9,MATCH($A324,'Historical Data'!$BE$2:$BE$9,0)),"")</f>
        <v/>
      </c>
      <c r="Q324" s="111" t="str">
        <f aca="false">IFERROR(INDEX('Historical Data'!$AA$2:$AA$9,MATCH($A324,'Historical Data'!$BE$2:$BE$9,0)),"")</f>
        <v/>
      </c>
      <c r="R324" s="111" t="str">
        <f aca="false">IFERROR(INDEX('Historical Data'!$AB$2:$AB$9,MATCH($A324,'Historical Data'!$BE$2:$BE$9,0)),"")</f>
        <v/>
      </c>
      <c r="S324" s="111" t="str">
        <f aca="false">IFERROR(INDEX('Historical Data'!$AN$2:$AN$9,MATCH($A324,'Historical Data'!$BE$2:$BE$9,0)),"")</f>
        <v/>
      </c>
      <c r="T324" s="111" t="str">
        <f aca="false">IFERROR(INDEX('Historical Data'!$AC$2:$AC$9,MATCH($A324,'Historical Data'!$BE$2:$BE$9,0)),"")</f>
        <v/>
      </c>
      <c r="U324" s="111" t="str">
        <f aca="false">IFERROR(INDEX('Historical Data'!$AE$2:$AE$9,MATCH($A324,'Historical Data'!$BE$2:$BE$9,0)),"")</f>
        <v/>
      </c>
      <c r="V324" s="111" t="str">
        <f aca="false">IFERROR(INDEX('Historical Data'!$AH$2:$AH$9,MATCH($A324,'Historical Data'!$BE$2:$BE$9,0)),"")</f>
        <v/>
      </c>
      <c r="W324" s="111" t="str">
        <f aca="false">IFERROR(INDEX('Historical Data'!$BC$2:$BC$9,MATCH($A324,'Historical Data'!$BE$2:$BE$9,0)),"")</f>
        <v/>
      </c>
      <c r="X324" s="110" t="str">
        <f aca="false">IF(B324="","",IF(W324=1,"NR + industry + position",IF(W324=2,"NR + ISO + position",IF(W324=3,"NR + industry",IF(W324=4,"NR + ISO",IF(W324=5,"NR + position",IF(W324=6,"NR only","book baseline"))))))&amp;"  ["&amp;IF(T324=1,"seasoned","unseasoned")&amp;IF(U324=1,", defaulted","")&amp;IF(V324=1,", open","")&amp;"]")</f>
        <v/>
      </c>
    </row>
    <row r="325" customFormat="false" ht="15" hidden="false" customHeight="false" outlineLevel="0" collapsed="false">
      <c r="A325" s="110" t="n">
        <v>321</v>
      </c>
      <c r="B325" s="111" t="str">
        <f aca="false">IFERROR(INDEX('Historical Data'!$A$2:$A$9,MATCH($A325,'Historical Data'!$BE$2:$BE$9,0)),"")</f>
        <v/>
      </c>
      <c r="C325" s="111" t="str">
        <f aca="false">IFERROR(INDEX('Historical Data'!$B$2:$B$9,MATCH($A325,'Historical Data'!$BE$2:$BE$9,0)),"")</f>
        <v/>
      </c>
      <c r="D325" s="111" t="str">
        <f aca="false">IFERROR(INDEX('Historical Data'!$D$2:$D$9,MATCH($A325,'Historical Data'!$BE$2:$BE$9,0)),"")</f>
        <v/>
      </c>
      <c r="E325" s="112" t="str">
        <f aca="false">IFERROR(INDEX('Historical Data'!$E$2:$E$9,MATCH($A325,'Historical Data'!$BE$2:$BE$9,0)),"")</f>
        <v/>
      </c>
      <c r="F325" s="111" t="str">
        <f aca="false">IFERROR(INDEX('Historical Data'!$G$2:$G$9,MATCH($A325,'Historical Data'!$BE$2:$BE$9,0)),"")</f>
        <v/>
      </c>
      <c r="G325" s="111" t="str">
        <f aca="false">IFERROR(INDEX('Historical Data'!$Y$2:$Y$9,MATCH($A325,'Historical Data'!$BE$2:$BE$9,0)),"")</f>
        <v/>
      </c>
      <c r="H325" s="111" t="str">
        <f aca="false">IFERROR(INDEX('Historical Data'!$K$2:$K$9,MATCH($A325,'Historical Data'!$BE$2:$BE$9,0)),"")</f>
        <v/>
      </c>
      <c r="I325" s="111" t="str">
        <f aca="false">IFERROR(INDEX('Historical Data'!$J$2:$J$9,MATCH($A325,'Historical Data'!$BE$2:$BE$9,0)),"")</f>
        <v/>
      </c>
      <c r="J325" s="111" t="str">
        <f aca="false">IFERROR(INDEX('Historical Data'!$L$2:$L$9,MATCH($A325,'Historical Data'!$BE$2:$BE$9,0)),"")</f>
        <v/>
      </c>
      <c r="K325" s="113" t="str">
        <f aca="false">IFERROR(INDEX('Historical Data'!$M$2:$M$9,MATCH($A325,'Historical Data'!$BE$2:$BE$9,0)),"")</f>
        <v/>
      </c>
      <c r="L325" s="114" t="str">
        <f aca="false">IFERROR(INDEX('Historical Data'!$N$2:$N$9,MATCH($A325,'Historical Data'!$BE$2:$BE$9,0)),"")</f>
        <v/>
      </c>
      <c r="M325" s="114" t="str">
        <f aca="false">IFERROR(INDEX('Historical Data'!$Q$2:$Q$9,MATCH($A325,'Historical Data'!$BE$2:$BE$9,0)),"")</f>
        <v/>
      </c>
      <c r="N325" s="115" t="str">
        <f aca="false">IFERROR(INDEX('Historical Data'!$S$2:$S$9,MATCH($A325,'Historical Data'!$BE$2:$BE$9,0)),"")</f>
        <v/>
      </c>
      <c r="O325" s="114" t="str">
        <f aca="false">IFERROR(INDEX('Historical Data'!$AJ$2:$AJ$9,MATCH($A325,'Historical Data'!$BE$2:$BE$9,0)),"")</f>
        <v/>
      </c>
      <c r="P325" s="114" t="str">
        <f aca="false">IFERROR(INDEX('Historical Data'!$AK$2:$AK$9,MATCH($A325,'Historical Data'!$BE$2:$BE$9,0)),"")</f>
        <v/>
      </c>
      <c r="Q325" s="111" t="str">
        <f aca="false">IFERROR(INDEX('Historical Data'!$AA$2:$AA$9,MATCH($A325,'Historical Data'!$BE$2:$BE$9,0)),"")</f>
        <v/>
      </c>
      <c r="R325" s="111" t="str">
        <f aca="false">IFERROR(INDEX('Historical Data'!$AB$2:$AB$9,MATCH($A325,'Historical Data'!$BE$2:$BE$9,0)),"")</f>
        <v/>
      </c>
      <c r="S325" s="111" t="str">
        <f aca="false">IFERROR(INDEX('Historical Data'!$AN$2:$AN$9,MATCH($A325,'Historical Data'!$BE$2:$BE$9,0)),"")</f>
        <v/>
      </c>
      <c r="T325" s="111" t="str">
        <f aca="false">IFERROR(INDEX('Historical Data'!$AC$2:$AC$9,MATCH($A325,'Historical Data'!$BE$2:$BE$9,0)),"")</f>
        <v/>
      </c>
      <c r="U325" s="111" t="str">
        <f aca="false">IFERROR(INDEX('Historical Data'!$AE$2:$AE$9,MATCH($A325,'Historical Data'!$BE$2:$BE$9,0)),"")</f>
        <v/>
      </c>
      <c r="V325" s="111" t="str">
        <f aca="false">IFERROR(INDEX('Historical Data'!$AH$2:$AH$9,MATCH($A325,'Historical Data'!$BE$2:$BE$9,0)),"")</f>
        <v/>
      </c>
      <c r="W325" s="111" t="str">
        <f aca="false">IFERROR(INDEX('Historical Data'!$BC$2:$BC$9,MATCH($A325,'Historical Data'!$BE$2:$BE$9,0)),"")</f>
        <v/>
      </c>
      <c r="X325" s="110" t="str">
        <f aca="false">IF(B325="","",IF(W325=1,"NR + industry + position",IF(W325=2,"NR + ISO + position",IF(W325=3,"NR + industry",IF(W325=4,"NR + ISO",IF(W325=5,"NR + position",IF(W325=6,"NR only","book baseline"))))))&amp;"  ["&amp;IF(T325=1,"seasoned","unseasoned")&amp;IF(U325=1,", defaulted","")&amp;IF(V325=1,", open","")&amp;"]")</f>
        <v/>
      </c>
    </row>
    <row r="326" customFormat="false" ht="15" hidden="false" customHeight="false" outlineLevel="0" collapsed="false">
      <c r="A326" s="110" t="n">
        <v>322</v>
      </c>
      <c r="B326" s="111" t="str">
        <f aca="false">IFERROR(INDEX('Historical Data'!$A$2:$A$9,MATCH($A326,'Historical Data'!$BE$2:$BE$9,0)),"")</f>
        <v/>
      </c>
      <c r="C326" s="111" t="str">
        <f aca="false">IFERROR(INDEX('Historical Data'!$B$2:$B$9,MATCH($A326,'Historical Data'!$BE$2:$BE$9,0)),"")</f>
        <v/>
      </c>
      <c r="D326" s="111" t="str">
        <f aca="false">IFERROR(INDEX('Historical Data'!$D$2:$D$9,MATCH($A326,'Historical Data'!$BE$2:$BE$9,0)),"")</f>
        <v/>
      </c>
      <c r="E326" s="112" t="str">
        <f aca="false">IFERROR(INDEX('Historical Data'!$E$2:$E$9,MATCH($A326,'Historical Data'!$BE$2:$BE$9,0)),"")</f>
        <v/>
      </c>
      <c r="F326" s="111" t="str">
        <f aca="false">IFERROR(INDEX('Historical Data'!$G$2:$G$9,MATCH($A326,'Historical Data'!$BE$2:$BE$9,0)),"")</f>
        <v/>
      </c>
      <c r="G326" s="111" t="str">
        <f aca="false">IFERROR(INDEX('Historical Data'!$Y$2:$Y$9,MATCH($A326,'Historical Data'!$BE$2:$BE$9,0)),"")</f>
        <v/>
      </c>
      <c r="H326" s="111" t="str">
        <f aca="false">IFERROR(INDEX('Historical Data'!$K$2:$K$9,MATCH($A326,'Historical Data'!$BE$2:$BE$9,0)),"")</f>
        <v/>
      </c>
      <c r="I326" s="111" t="str">
        <f aca="false">IFERROR(INDEX('Historical Data'!$J$2:$J$9,MATCH($A326,'Historical Data'!$BE$2:$BE$9,0)),"")</f>
        <v/>
      </c>
      <c r="J326" s="111" t="str">
        <f aca="false">IFERROR(INDEX('Historical Data'!$L$2:$L$9,MATCH($A326,'Historical Data'!$BE$2:$BE$9,0)),"")</f>
        <v/>
      </c>
      <c r="K326" s="113" t="str">
        <f aca="false">IFERROR(INDEX('Historical Data'!$M$2:$M$9,MATCH($A326,'Historical Data'!$BE$2:$BE$9,0)),"")</f>
        <v/>
      </c>
      <c r="L326" s="114" t="str">
        <f aca="false">IFERROR(INDEX('Historical Data'!$N$2:$N$9,MATCH($A326,'Historical Data'!$BE$2:$BE$9,0)),"")</f>
        <v/>
      </c>
      <c r="M326" s="114" t="str">
        <f aca="false">IFERROR(INDEX('Historical Data'!$Q$2:$Q$9,MATCH($A326,'Historical Data'!$BE$2:$BE$9,0)),"")</f>
        <v/>
      </c>
      <c r="N326" s="115" t="str">
        <f aca="false">IFERROR(INDEX('Historical Data'!$S$2:$S$9,MATCH($A326,'Historical Data'!$BE$2:$BE$9,0)),"")</f>
        <v/>
      </c>
      <c r="O326" s="114" t="str">
        <f aca="false">IFERROR(INDEX('Historical Data'!$AJ$2:$AJ$9,MATCH($A326,'Historical Data'!$BE$2:$BE$9,0)),"")</f>
        <v/>
      </c>
      <c r="P326" s="114" t="str">
        <f aca="false">IFERROR(INDEX('Historical Data'!$AK$2:$AK$9,MATCH($A326,'Historical Data'!$BE$2:$BE$9,0)),"")</f>
        <v/>
      </c>
      <c r="Q326" s="111" t="str">
        <f aca="false">IFERROR(INDEX('Historical Data'!$AA$2:$AA$9,MATCH($A326,'Historical Data'!$BE$2:$BE$9,0)),"")</f>
        <v/>
      </c>
      <c r="R326" s="111" t="str">
        <f aca="false">IFERROR(INDEX('Historical Data'!$AB$2:$AB$9,MATCH($A326,'Historical Data'!$BE$2:$BE$9,0)),"")</f>
        <v/>
      </c>
      <c r="S326" s="111" t="str">
        <f aca="false">IFERROR(INDEX('Historical Data'!$AN$2:$AN$9,MATCH($A326,'Historical Data'!$BE$2:$BE$9,0)),"")</f>
        <v/>
      </c>
      <c r="T326" s="111" t="str">
        <f aca="false">IFERROR(INDEX('Historical Data'!$AC$2:$AC$9,MATCH($A326,'Historical Data'!$BE$2:$BE$9,0)),"")</f>
        <v/>
      </c>
      <c r="U326" s="111" t="str">
        <f aca="false">IFERROR(INDEX('Historical Data'!$AE$2:$AE$9,MATCH($A326,'Historical Data'!$BE$2:$BE$9,0)),"")</f>
        <v/>
      </c>
      <c r="V326" s="111" t="str">
        <f aca="false">IFERROR(INDEX('Historical Data'!$AH$2:$AH$9,MATCH($A326,'Historical Data'!$BE$2:$BE$9,0)),"")</f>
        <v/>
      </c>
      <c r="W326" s="111" t="str">
        <f aca="false">IFERROR(INDEX('Historical Data'!$BC$2:$BC$9,MATCH($A326,'Historical Data'!$BE$2:$BE$9,0)),"")</f>
        <v/>
      </c>
      <c r="X326" s="110" t="str">
        <f aca="false">IF(B326="","",IF(W326=1,"NR + industry + position",IF(W326=2,"NR + ISO + position",IF(W326=3,"NR + industry",IF(W326=4,"NR + ISO",IF(W326=5,"NR + position",IF(W326=6,"NR only","book baseline"))))))&amp;"  ["&amp;IF(T326=1,"seasoned","unseasoned")&amp;IF(U326=1,", defaulted","")&amp;IF(V326=1,", open","")&amp;"]")</f>
        <v/>
      </c>
    </row>
    <row r="327" customFormat="false" ht="15" hidden="false" customHeight="false" outlineLevel="0" collapsed="false">
      <c r="A327" s="110" t="n">
        <v>323</v>
      </c>
      <c r="B327" s="111" t="str">
        <f aca="false">IFERROR(INDEX('Historical Data'!$A$2:$A$9,MATCH($A327,'Historical Data'!$BE$2:$BE$9,0)),"")</f>
        <v/>
      </c>
      <c r="C327" s="111" t="str">
        <f aca="false">IFERROR(INDEX('Historical Data'!$B$2:$B$9,MATCH($A327,'Historical Data'!$BE$2:$BE$9,0)),"")</f>
        <v/>
      </c>
      <c r="D327" s="111" t="str">
        <f aca="false">IFERROR(INDEX('Historical Data'!$D$2:$D$9,MATCH($A327,'Historical Data'!$BE$2:$BE$9,0)),"")</f>
        <v/>
      </c>
      <c r="E327" s="112" t="str">
        <f aca="false">IFERROR(INDEX('Historical Data'!$E$2:$E$9,MATCH($A327,'Historical Data'!$BE$2:$BE$9,0)),"")</f>
        <v/>
      </c>
      <c r="F327" s="111" t="str">
        <f aca="false">IFERROR(INDEX('Historical Data'!$G$2:$G$9,MATCH($A327,'Historical Data'!$BE$2:$BE$9,0)),"")</f>
        <v/>
      </c>
      <c r="G327" s="111" t="str">
        <f aca="false">IFERROR(INDEX('Historical Data'!$Y$2:$Y$9,MATCH($A327,'Historical Data'!$BE$2:$BE$9,0)),"")</f>
        <v/>
      </c>
      <c r="H327" s="111" t="str">
        <f aca="false">IFERROR(INDEX('Historical Data'!$K$2:$K$9,MATCH($A327,'Historical Data'!$BE$2:$BE$9,0)),"")</f>
        <v/>
      </c>
      <c r="I327" s="111" t="str">
        <f aca="false">IFERROR(INDEX('Historical Data'!$J$2:$J$9,MATCH($A327,'Historical Data'!$BE$2:$BE$9,0)),"")</f>
        <v/>
      </c>
      <c r="J327" s="111" t="str">
        <f aca="false">IFERROR(INDEX('Historical Data'!$L$2:$L$9,MATCH($A327,'Historical Data'!$BE$2:$BE$9,0)),"")</f>
        <v/>
      </c>
      <c r="K327" s="113" t="str">
        <f aca="false">IFERROR(INDEX('Historical Data'!$M$2:$M$9,MATCH($A327,'Historical Data'!$BE$2:$BE$9,0)),"")</f>
        <v/>
      </c>
      <c r="L327" s="114" t="str">
        <f aca="false">IFERROR(INDEX('Historical Data'!$N$2:$N$9,MATCH($A327,'Historical Data'!$BE$2:$BE$9,0)),"")</f>
        <v/>
      </c>
      <c r="M327" s="114" t="str">
        <f aca="false">IFERROR(INDEX('Historical Data'!$Q$2:$Q$9,MATCH($A327,'Historical Data'!$BE$2:$BE$9,0)),"")</f>
        <v/>
      </c>
      <c r="N327" s="115" t="str">
        <f aca="false">IFERROR(INDEX('Historical Data'!$S$2:$S$9,MATCH($A327,'Historical Data'!$BE$2:$BE$9,0)),"")</f>
        <v/>
      </c>
      <c r="O327" s="114" t="str">
        <f aca="false">IFERROR(INDEX('Historical Data'!$AJ$2:$AJ$9,MATCH($A327,'Historical Data'!$BE$2:$BE$9,0)),"")</f>
        <v/>
      </c>
      <c r="P327" s="114" t="str">
        <f aca="false">IFERROR(INDEX('Historical Data'!$AK$2:$AK$9,MATCH($A327,'Historical Data'!$BE$2:$BE$9,0)),"")</f>
        <v/>
      </c>
      <c r="Q327" s="111" t="str">
        <f aca="false">IFERROR(INDEX('Historical Data'!$AA$2:$AA$9,MATCH($A327,'Historical Data'!$BE$2:$BE$9,0)),"")</f>
        <v/>
      </c>
      <c r="R327" s="111" t="str">
        <f aca="false">IFERROR(INDEX('Historical Data'!$AB$2:$AB$9,MATCH($A327,'Historical Data'!$BE$2:$BE$9,0)),"")</f>
        <v/>
      </c>
      <c r="S327" s="111" t="str">
        <f aca="false">IFERROR(INDEX('Historical Data'!$AN$2:$AN$9,MATCH($A327,'Historical Data'!$BE$2:$BE$9,0)),"")</f>
        <v/>
      </c>
      <c r="T327" s="111" t="str">
        <f aca="false">IFERROR(INDEX('Historical Data'!$AC$2:$AC$9,MATCH($A327,'Historical Data'!$BE$2:$BE$9,0)),"")</f>
        <v/>
      </c>
      <c r="U327" s="111" t="str">
        <f aca="false">IFERROR(INDEX('Historical Data'!$AE$2:$AE$9,MATCH($A327,'Historical Data'!$BE$2:$BE$9,0)),"")</f>
        <v/>
      </c>
      <c r="V327" s="111" t="str">
        <f aca="false">IFERROR(INDEX('Historical Data'!$AH$2:$AH$9,MATCH($A327,'Historical Data'!$BE$2:$BE$9,0)),"")</f>
        <v/>
      </c>
      <c r="W327" s="111" t="str">
        <f aca="false">IFERROR(INDEX('Historical Data'!$BC$2:$BC$9,MATCH($A327,'Historical Data'!$BE$2:$BE$9,0)),"")</f>
        <v/>
      </c>
      <c r="X327" s="110" t="str">
        <f aca="false">IF(B327="","",IF(W327=1,"NR + industry + position",IF(W327=2,"NR + ISO + position",IF(W327=3,"NR + industry",IF(W327=4,"NR + ISO",IF(W327=5,"NR + position",IF(W327=6,"NR only","book baseline"))))))&amp;"  ["&amp;IF(T327=1,"seasoned","unseasoned")&amp;IF(U327=1,", defaulted","")&amp;IF(V327=1,", open","")&amp;"]")</f>
        <v/>
      </c>
    </row>
    <row r="328" customFormat="false" ht="15" hidden="false" customHeight="false" outlineLevel="0" collapsed="false">
      <c r="A328" s="110" t="n">
        <v>324</v>
      </c>
      <c r="B328" s="111" t="str">
        <f aca="false">IFERROR(INDEX('Historical Data'!$A$2:$A$9,MATCH($A328,'Historical Data'!$BE$2:$BE$9,0)),"")</f>
        <v/>
      </c>
      <c r="C328" s="111" t="str">
        <f aca="false">IFERROR(INDEX('Historical Data'!$B$2:$B$9,MATCH($A328,'Historical Data'!$BE$2:$BE$9,0)),"")</f>
        <v/>
      </c>
      <c r="D328" s="111" t="str">
        <f aca="false">IFERROR(INDEX('Historical Data'!$D$2:$D$9,MATCH($A328,'Historical Data'!$BE$2:$BE$9,0)),"")</f>
        <v/>
      </c>
      <c r="E328" s="112" t="str">
        <f aca="false">IFERROR(INDEX('Historical Data'!$E$2:$E$9,MATCH($A328,'Historical Data'!$BE$2:$BE$9,0)),"")</f>
        <v/>
      </c>
      <c r="F328" s="111" t="str">
        <f aca="false">IFERROR(INDEX('Historical Data'!$G$2:$G$9,MATCH($A328,'Historical Data'!$BE$2:$BE$9,0)),"")</f>
        <v/>
      </c>
      <c r="G328" s="111" t="str">
        <f aca="false">IFERROR(INDEX('Historical Data'!$Y$2:$Y$9,MATCH($A328,'Historical Data'!$BE$2:$BE$9,0)),"")</f>
        <v/>
      </c>
      <c r="H328" s="111" t="str">
        <f aca="false">IFERROR(INDEX('Historical Data'!$K$2:$K$9,MATCH($A328,'Historical Data'!$BE$2:$BE$9,0)),"")</f>
        <v/>
      </c>
      <c r="I328" s="111" t="str">
        <f aca="false">IFERROR(INDEX('Historical Data'!$J$2:$J$9,MATCH($A328,'Historical Data'!$BE$2:$BE$9,0)),"")</f>
        <v/>
      </c>
      <c r="J328" s="111" t="str">
        <f aca="false">IFERROR(INDEX('Historical Data'!$L$2:$L$9,MATCH($A328,'Historical Data'!$BE$2:$BE$9,0)),"")</f>
        <v/>
      </c>
      <c r="K328" s="113" t="str">
        <f aca="false">IFERROR(INDEX('Historical Data'!$M$2:$M$9,MATCH($A328,'Historical Data'!$BE$2:$BE$9,0)),"")</f>
        <v/>
      </c>
      <c r="L328" s="114" t="str">
        <f aca="false">IFERROR(INDEX('Historical Data'!$N$2:$N$9,MATCH($A328,'Historical Data'!$BE$2:$BE$9,0)),"")</f>
        <v/>
      </c>
      <c r="M328" s="114" t="str">
        <f aca="false">IFERROR(INDEX('Historical Data'!$Q$2:$Q$9,MATCH($A328,'Historical Data'!$BE$2:$BE$9,0)),"")</f>
        <v/>
      </c>
      <c r="N328" s="115" t="str">
        <f aca="false">IFERROR(INDEX('Historical Data'!$S$2:$S$9,MATCH($A328,'Historical Data'!$BE$2:$BE$9,0)),"")</f>
        <v/>
      </c>
      <c r="O328" s="114" t="str">
        <f aca="false">IFERROR(INDEX('Historical Data'!$AJ$2:$AJ$9,MATCH($A328,'Historical Data'!$BE$2:$BE$9,0)),"")</f>
        <v/>
      </c>
      <c r="P328" s="114" t="str">
        <f aca="false">IFERROR(INDEX('Historical Data'!$AK$2:$AK$9,MATCH($A328,'Historical Data'!$BE$2:$BE$9,0)),"")</f>
        <v/>
      </c>
      <c r="Q328" s="111" t="str">
        <f aca="false">IFERROR(INDEX('Historical Data'!$AA$2:$AA$9,MATCH($A328,'Historical Data'!$BE$2:$BE$9,0)),"")</f>
        <v/>
      </c>
      <c r="R328" s="111" t="str">
        <f aca="false">IFERROR(INDEX('Historical Data'!$AB$2:$AB$9,MATCH($A328,'Historical Data'!$BE$2:$BE$9,0)),"")</f>
        <v/>
      </c>
      <c r="S328" s="111" t="str">
        <f aca="false">IFERROR(INDEX('Historical Data'!$AN$2:$AN$9,MATCH($A328,'Historical Data'!$BE$2:$BE$9,0)),"")</f>
        <v/>
      </c>
      <c r="T328" s="111" t="str">
        <f aca="false">IFERROR(INDEX('Historical Data'!$AC$2:$AC$9,MATCH($A328,'Historical Data'!$BE$2:$BE$9,0)),"")</f>
        <v/>
      </c>
      <c r="U328" s="111" t="str">
        <f aca="false">IFERROR(INDEX('Historical Data'!$AE$2:$AE$9,MATCH($A328,'Historical Data'!$BE$2:$BE$9,0)),"")</f>
        <v/>
      </c>
      <c r="V328" s="111" t="str">
        <f aca="false">IFERROR(INDEX('Historical Data'!$AH$2:$AH$9,MATCH($A328,'Historical Data'!$BE$2:$BE$9,0)),"")</f>
        <v/>
      </c>
      <c r="W328" s="111" t="str">
        <f aca="false">IFERROR(INDEX('Historical Data'!$BC$2:$BC$9,MATCH($A328,'Historical Data'!$BE$2:$BE$9,0)),"")</f>
        <v/>
      </c>
      <c r="X328" s="110" t="str">
        <f aca="false">IF(B328="","",IF(W328=1,"NR + industry + position",IF(W328=2,"NR + ISO + position",IF(W328=3,"NR + industry",IF(W328=4,"NR + ISO",IF(W328=5,"NR + position",IF(W328=6,"NR only","book baseline"))))))&amp;"  ["&amp;IF(T328=1,"seasoned","unseasoned")&amp;IF(U328=1,", defaulted","")&amp;IF(V328=1,", open","")&amp;"]")</f>
        <v/>
      </c>
    </row>
    <row r="329" customFormat="false" ht="15" hidden="false" customHeight="false" outlineLevel="0" collapsed="false">
      <c r="A329" s="110" t="n">
        <v>325</v>
      </c>
      <c r="B329" s="111" t="str">
        <f aca="false">IFERROR(INDEX('Historical Data'!$A$2:$A$9,MATCH($A329,'Historical Data'!$BE$2:$BE$9,0)),"")</f>
        <v/>
      </c>
      <c r="C329" s="111" t="str">
        <f aca="false">IFERROR(INDEX('Historical Data'!$B$2:$B$9,MATCH($A329,'Historical Data'!$BE$2:$BE$9,0)),"")</f>
        <v/>
      </c>
      <c r="D329" s="111" t="str">
        <f aca="false">IFERROR(INDEX('Historical Data'!$D$2:$D$9,MATCH($A329,'Historical Data'!$BE$2:$BE$9,0)),"")</f>
        <v/>
      </c>
      <c r="E329" s="112" t="str">
        <f aca="false">IFERROR(INDEX('Historical Data'!$E$2:$E$9,MATCH($A329,'Historical Data'!$BE$2:$BE$9,0)),"")</f>
        <v/>
      </c>
      <c r="F329" s="111" t="str">
        <f aca="false">IFERROR(INDEX('Historical Data'!$G$2:$G$9,MATCH($A329,'Historical Data'!$BE$2:$BE$9,0)),"")</f>
        <v/>
      </c>
      <c r="G329" s="111" t="str">
        <f aca="false">IFERROR(INDEX('Historical Data'!$Y$2:$Y$9,MATCH($A329,'Historical Data'!$BE$2:$BE$9,0)),"")</f>
        <v/>
      </c>
      <c r="H329" s="111" t="str">
        <f aca="false">IFERROR(INDEX('Historical Data'!$K$2:$K$9,MATCH($A329,'Historical Data'!$BE$2:$BE$9,0)),"")</f>
        <v/>
      </c>
      <c r="I329" s="111" t="str">
        <f aca="false">IFERROR(INDEX('Historical Data'!$J$2:$J$9,MATCH($A329,'Historical Data'!$BE$2:$BE$9,0)),"")</f>
        <v/>
      </c>
      <c r="J329" s="111" t="str">
        <f aca="false">IFERROR(INDEX('Historical Data'!$L$2:$L$9,MATCH($A329,'Historical Data'!$BE$2:$BE$9,0)),"")</f>
        <v/>
      </c>
      <c r="K329" s="113" t="str">
        <f aca="false">IFERROR(INDEX('Historical Data'!$M$2:$M$9,MATCH($A329,'Historical Data'!$BE$2:$BE$9,0)),"")</f>
        <v/>
      </c>
      <c r="L329" s="114" t="str">
        <f aca="false">IFERROR(INDEX('Historical Data'!$N$2:$N$9,MATCH($A329,'Historical Data'!$BE$2:$BE$9,0)),"")</f>
        <v/>
      </c>
      <c r="M329" s="114" t="str">
        <f aca="false">IFERROR(INDEX('Historical Data'!$Q$2:$Q$9,MATCH($A329,'Historical Data'!$BE$2:$BE$9,0)),"")</f>
        <v/>
      </c>
      <c r="N329" s="115" t="str">
        <f aca="false">IFERROR(INDEX('Historical Data'!$S$2:$S$9,MATCH($A329,'Historical Data'!$BE$2:$BE$9,0)),"")</f>
        <v/>
      </c>
      <c r="O329" s="114" t="str">
        <f aca="false">IFERROR(INDEX('Historical Data'!$AJ$2:$AJ$9,MATCH($A329,'Historical Data'!$BE$2:$BE$9,0)),"")</f>
        <v/>
      </c>
      <c r="P329" s="114" t="str">
        <f aca="false">IFERROR(INDEX('Historical Data'!$AK$2:$AK$9,MATCH($A329,'Historical Data'!$BE$2:$BE$9,0)),"")</f>
        <v/>
      </c>
      <c r="Q329" s="111" t="str">
        <f aca="false">IFERROR(INDEX('Historical Data'!$AA$2:$AA$9,MATCH($A329,'Historical Data'!$BE$2:$BE$9,0)),"")</f>
        <v/>
      </c>
      <c r="R329" s="111" t="str">
        <f aca="false">IFERROR(INDEX('Historical Data'!$AB$2:$AB$9,MATCH($A329,'Historical Data'!$BE$2:$BE$9,0)),"")</f>
        <v/>
      </c>
      <c r="S329" s="111" t="str">
        <f aca="false">IFERROR(INDEX('Historical Data'!$AN$2:$AN$9,MATCH($A329,'Historical Data'!$BE$2:$BE$9,0)),"")</f>
        <v/>
      </c>
      <c r="T329" s="111" t="str">
        <f aca="false">IFERROR(INDEX('Historical Data'!$AC$2:$AC$9,MATCH($A329,'Historical Data'!$BE$2:$BE$9,0)),"")</f>
        <v/>
      </c>
      <c r="U329" s="111" t="str">
        <f aca="false">IFERROR(INDEX('Historical Data'!$AE$2:$AE$9,MATCH($A329,'Historical Data'!$BE$2:$BE$9,0)),"")</f>
        <v/>
      </c>
      <c r="V329" s="111" t="str">
        <f aca="false">IFERROR(INDEX('Historical Data'!$AH$2:$AH$9,MATCH($A329,'Historical Data'!$BE$2:$BE$9,0)),"")</f>
        <v/>
      </c>
      <c r="W329" s="111" t="str">
        <f aca="false">IFERROR(INDEX('Historical Data'!$BC$2:$BC$9,MATCH($A329,'Historical Data'!$BE$2:$BE$9,0)),"")</f>
        <v/>
      </c>
      <c r="X329" s="110" t="str">
        <f aca="false">IF(B329="","",IF(W329=1,"NR + industry + position",IF(W329=2,"NR + ISO + position",IF(W329=3,"NR + industry",IF(W329=4,"NR + ISO",IF(W329=5,"NR + position",IF(W329=6,"NR only","book baseline"))))))&amp;"  ["&amp;IF(T329=1,"seasoned","unseasoned")&amp;IF(U329=1,", defaulted","")&amp;IF(V329=1,", open","")&amp;"]")</f>
        <v/>
      </c>
    </row>
    <row r="330" customFormat="false" ht="15" hidden="false" customHeight="false" outlineLevel="0" collapsed="false">
      <c r="A330" s="110" t="n">
        <v>326</v>
      </c>
      <c r="B330" s="111" t="str">
        <f aca="false">IFERROR(INDEX('Historical Data'!$A$2:$A$9,MATCH($A330,'Historical Data'!$BE$2:$BE$9,0)),"")</f>
        <v/>
      </c>
      <c r="C330" s="111" t="str">
        <f aca="false">IFERROR(INDEX('Historical Data'!$B$2:$B$9,MATCH($A330,'Historical Data'!$BE$2:$BE$9,0)),"")</f>
        <v/>
      </c>
      <c r="D330" s="111" t="str">
        <f aca="false">IFERROR(INDEX('Historical Data'!$D$2:$D$9,MATCH($A330,'Historical Data'!$BE$2:$BE$9,0)),"")</f>
        <v/>
      </c>
      <c r="E330" s="112" t="str">
        <f aca="false">IFERROR(INDEX('Historical Data'!$E$2:$E$9,MATCH($A330,'Historical Data'!$BE$2:$BE$9,0)),"")</f>
        <v/>
      </c>
      <c r="F330" s="111" t="str">
        <f aca="false">IFERROR(INDEX('Historical Data'!$G$2:$G$9,MATCH($A330,'Historical Data'!$BE$2:$BE$9,0)),"")</f>
        <v/>
      </c>
      <c r="G330" s="111" t="str">
        <f aca="false">IFERROR(INDEX('Historical Data'!$Y$2:$Y$9,MATCH($A330,'Historical Data'!$BE$2:$BE$9,0)),"")</f>
        <v/>
      </c>
      <c r="H330" s="111" t="str">
        <f aca="false">IFERROR(INDEX('Historical Data'!$K$2:$K$9,MATCH($A330,'Historical Data'!$BE$2:$BE$9,0)),"")</f>
        <v/>
      </c>
      <c r="I330" s="111" t="str">
        <f aca="false">IFERROR(INDEX('Historical Data'!$J$2:$J$9,MATCH($A330,'Historical Data'!$BE$2:$BE$9,0)),"")</f>
        <v/>
      </c>
      <c r="J330" s="111" t="str">
        <f aca="false">IFERROR(INDEX('Historical Data'!$L$2:$L$9,MATCH($A330,'Historical Data'!$BE$2:$BE$9,0)),"")</f>
        <v/>
      </c>
      <c r="K330" s="113" t="str">
        <f aca="false">IFERROR(INDEX('Historical Data'!$M$2:$M$9,MATCH($A330,'Historical Data'!$BE$2:$BE$9,0)),"")</f>
        <v/>
      </c>
      <c r="L330" s="114" t="str">
        <f aca="false">IFERROR(INDEX('Historical Data'!$N$2:$N$9,MATCH($A330,'Historical Data'!$BE$2:$BE$9,0)),"")</f>
        <v/>
      </c>
      <c r="M330" s="114" t="str">
        <f aca="false">IFERROR(INDEX('Historical Data'!$Q$2:$Q$9,MATCH($A330,'Historical Data'!$BE$2:$BE$9,0)),"")</f>
        <v/>
      </c>
      <c r="N330" s="115" t="str">
        <f aca="false">IFERROR(INDEX('Historical Data'!$S$2:$S$9,MATCH($A330,'Historical Data'!$BE$2:$BE$9,0)),"")</f>
        <v/>
      </c>
      <c r="O330" s="114" t="str">
        <f aca="false">IFERROR(INDEX('Historical Data'!$AJ$2:$AJ$9,MATCH($A330,'Historical Data'!$BE$2:$BE$9,0)),"")</f>
        <v/>
      </c>
      <c r="P330" s="114" t="str">
        <f aca="false">IFERROR(INDEX('Historical Data'!$AK$2:$AK$9,MATCH($A330,'Historical Data'!$BE$2:$BE$9,0)),"")</f>
        <v/>
      </c>
      <c r="Q330" s="111" t="str">
        <f aca="false">IFERROR(INDEX('Historical Data'!$AA$2:$AA$9,MATCH($A330,'Historical Data'!$BE$2:$BE$9,0)),"")</f>
        <v/>
      </c>
      <c r="R330" s="111" t="str">
        <f aca="false">IFERROR(INDEX('Historical Data'!$AB$2:$AB$9,MATCH($A330,'Historical Data'!$BE$2:$BE$9,0)),"")</f>
        <v/>
      </c>
      <c r="S330" s="111" t="str">
        <f aca="false">IFERROR(INDEX('Historical Data'!$AN$2:$AN$9,MATCH($A330,'Historical Data'!$BE$2:$BE$9,0)),"")</f>
        <v/>
      </c>
      <c r="T330" s="111" t="str">
        <f aca="false">IFERROR(INDEX('Historical Data'!$AC$2:$AC$9,MATCH($A330,'Historical Data'!$BE$2:$BE$9,0)),"")</f>
        <v/>
      </c>
      <c r="U330" s="111" t="str">
        <f aca="false">IFERROR(INDEX('Historical Data'!$AE$2:$AE$9,MATCH($A330,'Historical Data'!$BE$2:$BE$9,0)),"")</f>
        <v/>
      </c>
      <c r="V330" s="111" t="str">
        <f aca="false">IFERROR(INDEX('Historical Data'!$AH$2:$AH$9,MATCH($A330,'Historical Data'!$BE$2:$BE$9,0)),"")</f>
        <v/>
      </c>
      <c r="W330" s="111" t="str">
        <f aca="false">IFERROR(INDEX('Historical Data'!$BC$2:$BC$9,MATCH($A330,'Historical Data'!$BE$2:$BE$9,0)),"")</f>
        <v/>
      </c>
      <c r="X330" s="110" t="str">
        <f aca="false">IF(B330="","",IF(W330=1,"NR + industry + position",IF(W330=2,"NR + ISO + position",IF(W330=3,"NR + industry",IF(W330=4,"NR + ISO",IF(W330=5,"NR + position",IF(W330=6,"NR only","book baseline"))))))&amp;"  ["&amp;IF(T330=1,"seasoned","unseasoned")&amp;IF(U330=1,", defaulted","")&amp;IF(V330=1,", open","")&amp;"]")</f>
        <v/>
      </c>
    </row>
    <row r="331" customFormat="false" ht="15" hidden="false" customHeight="false" outlineLevel="0" collapsed="false">
      <c r="A331" s="110" t="n">
        <v>327</v>
      </c>
      <c r="B331" s="111" t="str">
        <f aca="false">IFERROR(INDEX('Historical Data'!$A$2:$A$9,MATCH($A331,'Historical Data'!$BE$2:$BE$9,0)),"")</f>
        <v/>
      </c>
      <c r="C331" s="111" t="str">
        <f aca="false">IFERROR(INDEX('Historical Data'!$B$2:$B$9,MATCH($A331,'Historical Data'!$BE$2:$BE$9,0)),"")</f>
        <v/>
      </c>
      <c r="D331" s="111" t="str">
        <f aca="false">IFERROR(INDEX('Historical Data'!$D$2:$D$9,MATCH($A331,'Historical Data'!$BE$2:$BE$9,0)),"")</f>
        <v/>
      </c>
      <c r="E331" s="112" t="str">
        <f aca="false">IFERROR(INDEX('Historical Data'!$E$2:$E$9,MATCH($A331,'Historical Data'!$BE$2:$BE$9,0)),"")</f>
        <v/>
      </c>
      <c r="F331" s="111" t="str">
        <f aca="false">IFERROR(INDEX('Historical Data'!$G$2:$G$9,MATCH($A331,'Historical Data'!$BE$2:$BE$9,0)),"")</f>
        <v/>
      </c>
      <c r="G331" s="111" t="str">
        <f aca="false">IFERROR(INDEX('Historical Data'!$Y$2:$Y$9,MATCH($A331,'Historical Data'!$BE$2:$BE$9,0)),"")</f>
        <v/>
      </c>
      <c r="H331" s="111" t="str">
        <f aca="false">IFERROR(INDEX('Historical Data'!$K$2:$K$9,MATCH($A331,'Historical Data'!$BE$2:$BE$9,0)),"")</f>
        <v/>
      </c>
      <c r="I331" s="111" t="str">
        <f aca="false">IFERROR(INDEX('Historical Data'!$J$2:$J$9,MATCH($A331,'Historical Data'!$BE$2:$BE$9,0)),"")</f>
        <v/>
      </c>
      <c r="J331" s="111" t="str">
        <f aca="false">IFERROR(INDEX('Historical Data'!$L$2:$L$9,MATCH($A331,'Historical Data'!$BE$2:$BE$9,0)),"")</f>
        <v/>
      </c>
      <c r="K331" s="113" t="str">
        <f aca="false">IFERROR(INDEX('Historical Data'!$M$2:$M$9,MATCH($A331,'Historical Data'!$BE$2:$BE$9,0)),"")</f>
        <v/>
      </c>
      <c r="L331" s="114" t="str">
        <f aca="false">IFERROR(INDEX('Historical Data'!$N$2:$N$9,MATCH($A331,'Historical Data'!$BE$2:$BE$9,0)),"")</f>
        <v/>
      </c>
      <c r="M331" s="114" t="str">
        <f aca="false">IFERROR(INDEX('Historical Data'!$Q$2:$Q$9,MATCH($A331,'Historical Data'!$BE$2:$BE$9,0)),"")</f>
        <v/>
      </c>
      <c r="N331" s="115" t="str">
        <f aca="false">IFERROR(INDEX('Historical Data'!$S$2:$S$9,MATCH($A331,'Historical Data'!$BE$2:$BE$9,0)),"")</f>
        <v/>
      </c>
      <c r="O331" s="114" t="str">
        <f aca="false">IFERROR(INDEX('Historical Data'!$AJ$2:$AJ$9,MATCH($A331,'Historical Data'!$BE$2:$BE$9,0)),"")</f>
        <v/>
      </c>
      <c r="P331" s="114" t="str">
        <f aca="false">IFERROR(INDEX('Historical Data'!$AK$2:$AK$9,MATCH($A331,'Historical Data'!$BE$2:$BE$9,0)),"")</f>
        <v/>
      </c>
      <c r="Q331" s="111" t="str">
        <f aca="false">IFERROR(INDEX('Historical Data'!$AA$2:$AA$9,MATCH($A331,'Historical Data'!$BE$2:$BE$9,0)),"")</f>
        <v/>
      </c>
      <c r="R331" s="111" t="str">
        <f aca="false">IFERROR(INDEX('Historical Data'!$AB$2:$AB$9,MATCH($A331,'Historical Data'!$BE$2:$BE$9,0)),"")</f>
        <v/>
      </c>
      <c r="S331" s="111" t="str">
        <f aca="false">IFERROR(INDEX('Historical Data'!$AN$2:$AN$9,MATCH($A331,'Historical Data'!$BE$2:$BE$9,0)),"")</f>
        <v/>
      </c>
      <c r="T331" s="111" t="str">
        <f aca="false">IFERROR(INDEX('Historical Data'!$AC$2:$AC$9,MATCH($A331,'Historical Data'!$BE$2:$BE$9,0)),"")</f>
        <v/>
      </c>
      <c r="U331" s="111" t="str">
        <f aca="false">IFERROR(INDEX('Historical Data'!$AE$2:$AE$9,MATCH($A331,'Historical Data'!$BE$2:$BE$9,0)),"")</f>
        <v/>
      </c>
      <c r="V331" s="111" t="str">
        <f aca="false">IFERROR(INDEX('Historical Data'!$AH$2:$AH$9,MATCH($A331,'Historical Data'!$BE$2:$BE$9,0)),"")</f>
        <v/>
      </c>
      <c r="W331" s="111" t="str">
        <f aca="false">IFERROR(INDEX('Historical Data'!$BC$2:$BC$9,MATCH($A331,'Historical Data'!$BE$2:$BE$9,0)),"")</f>
        <v/>
      </c>
      <c r="X331" s="110" t="str">
        <f aca="false">IF(B331="","",IF(W331=1,"NR + industry + position",IF(W331=2,"NR + ISO + position",IF(W331=3,"NR + industry",IF(W331=4,"NR + ISO",IF(W331=5,"NR + position",IF(W331=6,"NR only","book baseline"))))))&amp;"  ["&amp;IF(T331=1,"seasoned","unseasoned")&amp;IF(U331=1,", defaulted","")&amp;IF(V331=1,", open","")&amp;"]")</f>
        <v/>
      </c>
    </row>
    <row r="332" customFormat="false" ht="15" hidden="false" customHeight="false" outlineLevel="0" collapsed="false">
      <c r="A332" s="110" t="n">
        <v>328</v>
      </c>
      <c r="B332" s="111" t="str">
        <f aca="false">IFERROR(INDEX('Historical Data'!$A$2:$A$9,MATCH($A332,'Historical Data'!$BE$2:$BE$9,0)),"")</f>
        <v/>
      </c>
      <c r="C332" s="111" t="str">
        <f aca="false">IFERROR(INDEX('Historical Data'!$B$2:$B$9,MATCH($A332,'Historical Data'!$BE$2:$BE$9,0)),"")</f>
        <v/>
      </c>
      <c r="D332" s="111" t="str">
        <f aca="false">IFERROR(INDEX('Historical Data'!$D$2:$D$9,MATCH($A332,'Historical Data'!$BE$2:$BE$9,0)),"")</f>
        <v/>
      </c>
      <c r="E332" s="112" t="str">
        <f aca="false">IFERROR(INDEX('Historical Data'!$E$2:$E$9,MATCH($A332,'Historical Data'!$BE$2:$BE$9,0)),"")</f>
        <v/>
      </c>
      <c r="F332" s="111" t="str">
        <f aca="false">IFERROR(INDEX('Historical Data'!$G$2:$G$9,MATCH($A332,'Historical Data'!$BE$2:$BE$9,0)),"")</f>
        <v/>
      </c>
      <c r="G332" s="111" t="str">
        <f aca="false">IFERROR(INDEX('Historical Data'!$Y$2:$Y$9,MATCH($A332,'Historical Data'!$BE$2:$BE$9,0)),"")</f>
        <v/>
      </c>
      <c r="H332" s="111" t="str">
        <f aca="false">IFERROR(INDEX('Historical Data'!$K$2:$K$9,MATCH($A332,'Historical Data'!$BE$2:$BE$9,0)),"")</f>
        <v/>
      </c>
      <c r="I332" s="111" t="str">
        <f aca="false">IFERROR(INDEX('Historical Data'!$J$2:$J$9,MATCH($A332,'Historical Data'!$BE$2:$BE$9,0)),"")</f>
        <v/>
      </c>
      <c r="J332" s="111" t="str">
        <f aca="false">IFERROR(INDEX('Historical Data'!$L$2:$L$9,MATCH($A332,'Historical Data'!$BE$2:$BE$9,0)),"")</f>
        <v/>
      </c>
      <c r="K332" s="113" t="str">
        <f aca="false">IFERROR(INDEX('Historical Data'!$M$2:$M$9,MATCH($A332,'Historical Data'!$BE$2:$BE$9,0)),"")</f>
        <v/>
      </c>
      <c r="L332" s="114" t="str">
        <f aca="false">IFERROR(INDEX('Historical Data'!$N$2:$N$9,MATCH($A332,'Historical Data'!$BE$2:$BE$9,0)),"")</f>
        <v/>
      </c>
      <c r="M332" s="114" t="str">
        <f aca="false">IFERROR(INDEX('Historical Data'!$Q$2:$Q$9,MATCH($A332,'Historical Data'!$BE$2:$BE$9,0)),"")</f>
        <v/>
      </c>
      <c r="N332" s="115" t="str">
        <f aca="false">IFERROR(INDEX('Historical Data'!$S$2:$S$9,MATCH($A332,'Historical Data'!$BE$2:$BE$9,0)),"")</f>
        <v/>
      </c>
      <c r="O332" s="114" t="str">
        <f aca="false">IFERROR(INDEX('Historical Data'!$AJ$2:$AJ$9,MATCH($A332,'Historical Data'!$BE$2:$BE$9,0)),"")</f>
        <v/>
      </c>
      <c r="P332" s="114" t="str">
        <f aca="false">IFERROR(INDEX('Historical Data'!$AK$2:$AK$9,MATCH($A332,'Historical Data'!$BE$2:$BE$9,0)),"")</f>
        <v/>
      </c>
      <c r="Q332" s="111" t="str">
        <f aca="false">IFERROR(INDEX('Historical Data'!$AA$2:$AA$9,MATCH($A332,'Historical Data'!$BE$2:$BE$9,0)),"")</f>
        <v/>
      </c>
      <c r="R332" s="111" t="str">
        <f aca="false">IFERROR(INDEX('Historical Data'!$AB$2:$AB$9,MATCH($A332,'Historical Data'!$BE$2:$BE$9,0)),"")</f>
        <v/>
      </c>
      <c r="S332" s="111" t="str">
        <f aca="false">IFERROR(INDEX('Historical Data'!$AN$2:$AN$9,MATCH($A332,'Historical Data'!$BE$2:$BE$9,0)),"")</f>
        <v/>
      </c>
      <c r="T332" s="111" t="str">
        <f aca="false">IFERROR(INDEX('Historical Data'!$AC$2:$AC$9,MATCH($A332,'Historical Data'!$BE$2:$BE$9,0)),"")</f>
        <v/>
      </c>
      <c r="U332" s="111" t="str">
        <f aca="false">IFERROR(INDEX('Historical Data'!$AE$2:$AE$9,MATCH($A332,'Historical Data'!$BE$2:$BE$9,0)),"")</f>
        <v/>
      </c>
      <c r="V332" s="111" t="str">
        <f aca="false">IFERROR(INDEX('Historical Data'!$AH$2:$AH$9,MATCH($A332,'Historical Data'!$BE$2:$BE$9,0)),"")</f>
        <v/>
      </c>
      <c r="W332" s="111" t="str">
        <f aca="false">IFERROR(INDEX('Historical Data'!$BC$2:$BC$9,MATCH($A332,'Historical Data'!$BE$2:$BE$9,0)),"")</f>
        <v/>
      </c>
      <c r="X332" s="110" t="str">
        <f aca="false">IF(B332="","",IF(W332=1,"NR + industry + position",IF(W332=2,"NR + ISO + position",IF(W332=3,"NR + industry",IF(W332=4,"NR + ISO",IF(W332=5,"NR + position",IF(W332=6,"NR only","book baseline"))))))&amp;"  ["&amp;IF(T332=1,"seasoned","unseasoned")&amp;IF(U332=1,", defaulted","")&amp;IF(V332=1,", open","")&amp;"]")</f>
        <v/>
      </c>
    </row>
    <row r="333" customFormat="false" ht="15" hidden="false" customHeight="false" outlineLevel="0" collapsed="false">
      <c r="A333" s="110" t="n">
        <v>329</v>
      </c>
      <c r="B333" s="111" t="str">
        <f aca="false">IFERROR(INDEX('Historical Data'!$A$2:$A$9,MATCH($A333,'Historical Data'!$BE$2:$BE$9,0)),"")</f>
        <v/>
      </c>
      <c r="C333" s="111" t="str">
        <f aca="false">IFERROR(INDEX('Historical Data'!$B$2:$B$9,MATCH($A333,'Historical Data'!$BE$2:$BE$9,0)),"")</f>
        <v/>
      </c>
      <c r="D333" s="111" t="str">
        <f aca="false">IFERROR(INDEX('Historical Data'!$D$2:$D$9,MATCH($A333,'Historical Data'!$BE$2:$BE$9,0)),"")</f>
        <v/>
      </c>
      <c r="E333" s="112" t="str">
        <f aca="false">IFERROR(INDEX('Historical Data'!$E$2:$E$9,MATCH($A333,'Historical Data'!$BE$2:$BE$9,0)),"")</f>
        <v/>
      </c>
      <c r="F333" s="111" t="str">
        <f aca="false">IFERROR(INDEX('Historical Data'!$G$2:$G$9,MATCH($A333,'Historical Data'!$BE$2:$BE$9,0)),"")</f>
        <v/>
      </c>
      <c r="G333" s="111" t="str">
        <f aca="false">IFERROR(INDEX('Historical Data'!$Y$2:$Y$9,MATCH($A333,'Historical Data'!$BE$2:$BE$9,0)),"")</f>
        <v/>
      </c>
      <c r="H333" s="111" t="str">
        <f aca="false">IFERROR(INDEX('Historical Data'!$K$2:$K$9,MATCH($A333,'Historical Data'!$BE$2:$BE$9,0)),"")</f>
        <v/>
      </c>
      <c r="I333" s="111" t="str">
        <f aca="false">IFERROR(INDEX('Historical Data'!$J$2:$J$9,MATCH($A333,'Historical Data'!$BE$2:$BE$9,0)),"")</f>
        <v/>
      </c>
      <c r="J333" s="111" t="str">
        <f aca="false">IFERROR(INDEX('Historical Data'!$L$2:$L$9,MATCH($A333,'Historical Data'!$BE$2:$BE$9,0)),"")</f>
        <v/>
      </c>
      <c r="K333" s="113" t="str">
        <f aca="false">IFERROR(INDEX('Historical Data'!$M$2:$M$9,MATCH($A333,'Historical Data'!$BE$2:$BE$9,0)),"")</f>
        <v/>
      </c>
      <c r="L333" s="114" t="str">
        <f aca="false">IFERROR(INDEX('Historical Data'!$N$2:$N$9,MATCH($A333,'Historical Data'!$BE$2:$BE$9,0)),"")</f>
        <v/>
      </c>
      <c r="M333" s="114" t="str">
        <f aca="false">IFERROR(INDEX('Historical Data'!$Q$2:$Q$9,MATCH($A333,'Historical Data'!$BE$2:$BE$9,0)),"")</f>
        <v/>
      </c>
      <c r="N333" s="115" t="str">
        <f aca="false">IFERROR(INDEX('Historical Data'!$S$2:$S$9,MATCH($A333,'Historical Data'!$BE$2:$BE$9,0)),"")</f>
        <v/>
      </c>
      <c r="O333" s="114" t="str">
        <f aca="false">IFERROR(INDEX('Historical Data'!$AJ$2:$AJ$9,MATCH($A333,'Historical Data'!$BE$2:$BE$9,0)),"")</f>
        <v/>
      </c>
      <c r="P333" s="114" t="str">
        <f aca="false">IFERROR(INDEX('Historical Data'!$AK$2:$AK$9,MATCH($A333,'Historical Data'!$BE$2:$BE$9,0)),"")</f>
        <v/>
      </c>
      <c r="Q333" s="111" t="str">
        <f aca="false">IFERROR(INDEX('Historical Data'!$AA$2:$AA$9,MATCH($A333,'Historical Data'!$BE$2:$BE$9,0)),"")</f>
        <v/>
      </c>
      <c r="R333" s="111" t="str">
        <f aca="false">IFERROR(INDEX('Historical Data'!$AB$2:$AB$9,MATCH($A333,'Historical Data'!$BE$2:$BE$9,0)),"")</f>
        <v/>
      </c>
      <c r="S333" s="111" t="str">
        <f aca="false">IFERROR(INDEX('Historical Data'!$AN$2:$AN$9,MATCH($A333,'Historical Data'!$BE$2:$BE$9,0)),"")</f>
        <v/>
      </c>
      <c r="T333" s="111" t="str">
        <f aca="false">IFERROR(INDEX('Historical Data'!$AC$2:$AC$9,MATCH($A333,'Historical Data'!$BE$2:$BE$9,0)),"")</f>
        <v/>
      </c>
      <c r="U333" s="111" t="str">
        <f aca="false">IFERROR(INDEX('Historical Data'!$AE$2:$AE$9,MATCH($A333,'Historical Data'!$BE$2:$BE$9,0)),"")</f>
        <v/>
      </c>
      <c r="V333" s="111" t="str">
        <f aca="false">IFERROR(INDEX('Historical Data'!$AH$2:$AH$9,MATCH($A333,'Historical Data'!$BE$2:$BE$9,0)),"")</f>
        <v/>
      </c>
      <c r="W333" s="111" t="str">
        <f aca="false">IFERROR(INDEX('Historical Data'!$BC$2:$BC$9,MATCH($A333,'Historical Data'!$BE$2:$BE$9,0)),"")</f>
        <v/>
      </c>
      <c r="X333" s="110" t="str">
        <f aca="false">IF(B333="","",IF(W333=1,"NR + industry + position",IF(W333=2,"NR + ISO + position",IF(W333=3,"NR + industry",IF(W333=4,"NR + ISO",IF(W333=5,"NR + position",IF(W333=6,"NR only","book baseline"))))))&amp;"  ["&amp;IF(T333=1,"seasoned","unseasoned")&amp;IF(U333=1,", defaulted","")&amp;IF(V333=1,", open","")&amp;"]")</f>
        <v/>
      </c>
    </row>
    <row r="334" customFormat="false" ht="15" hidden="false" customHeight="false" outlineLevel="0" collapsed="false">
      <c r="A334" s="110" t="n">
        <v>330</v>
      </c>
      <c r="B334" s="111" t="str">
        <f aca="false">IFERROR(INDEX('Historical Data'!$A$2:$A$9,MATCH($A334,'Historical Data'!$BE$2:$BE$9,0)),"")</f>
        <v/>
      </c>
      <c r="C334" s="111" t="str">
        <f aca="false">IFERROR(INDEX('Historical Data'!$B$2:$B$9,MATCH($A334,'Historical Data'!$BE$2:$BE$9,0)),"")</f>
        <v/>
      </c>
      <c r="D334" s="111" t="str">
        <f aca="false">IFERROR(INDEX('Historical Data'!$D$2:$D$9,MATCH($A334,'Historical Data'!$BE$2:$BE$9,0)),"")</f>
        <v/>
      </c>
      <c r="E334" s="112" t="str">
        <f aca="false">IFERROR(INDEX('Historical Data'!$E$2:$E$9,MATCH($A334,'Historical Data'!$BE$2:$BE$9,0)),"")</f>
        <v/>
      </c>
      <c r="F334" s="111" t="str">
        <f aca="false">IFERROR(INDEX('Historical Data'!$G$2:$G$9,MATCH($A334,'Historical Data'!$BE$2:$BE$9,0)),"")</f>
        <v/>
      </c>
      <c r="G334" s="111" t="str">
        <f aca="false">IFERROR(INDEX('Historical Data'!$Y$2:$Y$9,MATCH($A334,'Historical Data'!$BE$2:$BE$9,0)),"")</f>
        <v/>
      </c>
      <c r="H334" s="111" t="str">
        <f aca="false">IFERROR(INDEX('Historical Data'!$K$2:$K$9,MATCH($A334,'Historical Data'!$BE$2:$BE$9,0)),"")</f>
        <v/>
      </c>
      <c r="I334" s="111" t="str">
        <f aca="false">IFERROR(INDEX('Historical Data'!$J$2:$J$9,MATCH($A334,'Historical Data'!$BE$2:$BE$9,0)),"")</f>
        <v/>
      </c>
      <c r="J334" s="111" t="str">
        <f aca="false">IFERROR(INDEX('Historical Data'!$L$2:$L$9,MATCH($A334,'Historical Data'!$BE$2:$BE$9,0)),"")</f>
        <v/>
      </c>
      <c r="K334" s="113" t="str">
        <f aca="false">IFERROR(INDEX('Historical Data'!$M$2:$M$9,MATCH($A334,'Historical Data'!$BE$2:$BE$9,0)),"")</f>
        <v/>
      </c>
      <c r="L334" s="114" t="str">
        <f aca="false">IFERROR(INDEX('Historical Data'!$N$2:$N$9,MATCH($A334,'Historical Data'!$BE$2:$BE$9,0)),"")</f>
        <v/>
      </c>
      <c r="M334" s="114" t="str">
        <f aca="false">IFERROR(INDEX('Historical Data'!$Q$2:$Q$9,MATCH($A334,'Historical Data'!$BE$2:$BE$9,0)),"")</f>
        <v/>
      </c>
      <c r="N334" s="115" t="str">
        <f aca="false">IFERROR(INDEX('Historical Data'!$S$2:$S$9,MATCH($A334,'Historical Data'!$BE$2:$BE$9,0)),"")</f>
        <v/>
      </c>
      <c r="O334" s="114" t="str">
        <f aca="false">IFERROR(INDEX('Historical Data'!$AJ$2:$AJ$9,MATCH($A334,'Historical Data'!$BE$2:$BE$9,0)),"")</f>
        <v/>
      </c>
      <c r="P334" s="114" t="str">
        <f aca="false">IFERROR(INDEX('Historical Data'!$AK$2:$AK$9,MATCH($A334,'Historical Data'!$BE$2:$BE$9,0)),"")</f>
        <v/>
      </c>
      <c r="Q334" s="111" t="str">
        <f aca="false">IFERROR(INDEX('Historical Data'!$AA$2:$AA$9,MATCH($A334,'Historical Data'!$BE$2:$BE$9,0)),"")</f>
        <v/>
      </c>
      <c r="R334" s="111" t="str">
        <f aca="false">IFERROR(INDEX('Historical Data'!$AB$2:$AB$9,MATCH($A334,'Historical Data'!$BE$2:$BE$9,0)),"")</f>
        <v/>
      </c>
      <c r="S334" s="111" t="str">
        <f aca="false">IFERROR(INDEX('Historical Data'!$AN$2:$AN$9,MATCH($A334,'Historical Data'!$BE$2:$BE$9,0)),"")</f>
        <v/>
      </c>
      <c r="T334" s="111" t="str">
        <f aca="false">IFERROR(INDEX('Historical Data'!$AC$2:$AC$9,MATCH($A334,'Historical Data'!$BE$2:$BE$9,0)),"")</f>
        <v/>
      </c>
      <c r="U334" s="111" t="str">
        <f aca="false">IFERROR(INDEX('Historical Data'!$AE$2:$AE$9,MATCH($A334,'Historical Data'!$BE$2:$BE$9,0)),"")</f>
        <v/>
      </c>
      <c r="V334" s="111" t="str">
        <f aca="false">IFERROR(INDEX('Historical Data'!$AH$2:$AH$9,MATCH($A334,'Historical Data'!$BE$2:$BE$9,0)),"")</f>
        <v/>
      </c>
      <c r="W334" s="111" t="str">
        <f aca="false">IFERROR(INDEX('Historical Data'!$BC$2:$BC$9,MATCH($A334,'Historical Data'!$BE$2:$BE$9,0)),"")</f>
        <v/>
      </c>
      <c r="X334" s="110" t="str">
        <f aca="false">IF(B334="","",IF(W334=1,"NR + industry + position",IF(W334=2,"NR + ISO + position",IF(W334=3,"NR + industry",IF(W334=4,"NR + ISO",IF(W334=5,"NR + position",IF(W334=6,"NR only","book baseline"))))))&amp;"  ["&amp;IF(T334=1,"seasoned","unseasoned")&amp;IF(U334=1,", defaulted","")&amp;IF(V334=1,", open","")&amp;"]")</f>
        <v/>
      </c>
    </row>
    <row r="335" customFormat="false" ht="15" hidden="false" customHeight="false" outlineLevel="0" collapsed="false">
      <c r="A335" s="110" t="n">
        <v>331</v>
      </c>
      <c r="B335" s="111" t="str">
        <f aca="false">IFERROR(INDEX('Historical Data'!$A$2:$A$9,MATCH($A335,'Historical Data'!$BE$2:$BE$9,0)),"")</f>
        <v/>
      </c>
      <c r="C335" s="111" t="str">
        <f aca="false">IFERROR(INDEX('Historical Data'!$B$2:$B$9,MATCH($A335,'Historical Data'!$BE$2:$BE$9,0)),"")</f>
        <v/>
      </c>
      <c r="D335" s="111" t="str">
        <f aca="false">IFERROR(INDEX('Historical Data'!$D$2:$D$9,MATCH($A335,'Historical Data'!$BE$2:$BE$9,0)),"")</f>
        <v/>
      </c>
      <c r="E335" s="112" t="str">
        <f aca="false">IFERROR(INDEX('Historical Data'!$E$2:$E$9,MATCH($A335,'Historical Data'!$BE$2:$BE$9,0)),"")</f>
        <v/>
      </c>
      <c r="F335" s="111" t="str">
        <f aca="false">IFERROR(INDEX('Historical Data'!$G$2:$G$9,MATCH($A335,'Historical Data'!$BE$2:$BE$9,0)),"")</f>
        <v/>
      </c>
      <c r="G335" s="111" t="str">
        <f aca="false">IFERROR(INDEX('Historical Data'!$Y$2:$Y$9,MATCH($A335,'Historical Data'!$BE$2:$BE$9,0)),"")</f>
        <v/>
      </c>
      <c r="H335" s="111" t="str">
        <f aca="false">IFERROR(INDEX('Historical Data'!$K$2:$K$9,MATCH($A335,'Historical Data'!$BE$2:$BE$9,0)),"")</f>
        <v/>
      </c>
      <c r="I335" s="111" t="str">
        <f aca="false">IFERROR(INDEX('Historical Data'!$J$2:$J$9,MATCH($A335,'Historical Data'!$BE$2:$BE$9,0)),"")</f>
        <v/>
      </c>
      <c r="J335" s="111" t="str">
        <f aca="false">IFERROR(INDEX('Historical Data'!$L$2:$L$9,MATCH($A335,'Historical Data'!$BE$2:$BE$9,0)),"")</f>
        <v/>
      </c>
      <c r="K335" s="113" t="str">
        <f aca="false">IFERROR(INDEX('Historical Data'!$M$2:$M$9,MATCH($A335,'Historical Data'!$BE$2:$BE$9,0)),"")</f>
        <v/>
      </c>
      <c r="L335" s="114" t="str">
        <f aca="false">IFERROR(INDEX('Historical Data'!$N$2:$N$9,MATCH($A335,'Historical Data'!$BE$2:$BE$9,0)),"")</f>
        <v/>
      </c>
      <c r="M335" s="114" t="str">
        <f aca="false">IFERROR(INDEX('Historical Data'!$Q$2:$Q$9,MATCH($A335,'Historical Data'!$BE$2:$BE$9,0)),"")</f>
        <v/>
      </c>
      <c r="N335" s="115" t="str">
        <f aca="false">IFERROR(INDEX('Historical Data'!$S$2:$S$9,MATCH($A335,'Historical Data'!$BE$2:$BE$9,0)),"")</f>
        <v/>
      </c>
      <c r="O335" s="114" t="str">
        <f aca="false">IFERROR(INDEX('Historical Data'!$AJ$2:$AJ$9,MATCH($A335,'Historical Data'!$BE$2:$BE$9,0)),"")</f>
        <v/>
      </c>
      <c r="P335" s="114" t="str">
        <f aca="false">IFERROR(INDEX('Historical Data'!$AK$2:$AK$9,MATCH($A335,'Historical Data'!$BE$2:$BE$9,0)),"")</f>
        <v/>
      </c>
      <c r="Q335" s="111" t="str">
        <f aca="false">IFERROR(INDEX('Historical Data'!$AA$2:$AA$9,MATCH($A335,'Historical Data'!$BE$2:$BE$9,0)),"")</f>
        <v/>
      </c>
      <c r="R335" s="111" t="str">
        <f aca="false">IFERROR(INDEX('Historical Data'!$AB$2:$AB$9,MATCH($A335,'Historical Data'!$BE$2:$BE$9,0)),"")</f>
        <v/>
      </c>
      <c r="S335" s="111" t="str">
        <f aca="false">IFERROR(INDEX('Historical Data'!$AN$2:$AN$9,MATCH($A335,'Historical Data'!$BE$2:$BE$9,0)),"")</f>
        <v/>
      </c>
      <c r="T335" s="111" t="str">
        <f aca="false">IFERROR(INDEX('Historical Data'!$AC$2:$AC$9,MATCH($A335,'Historical Data'!$BE$2:$BE$9,0)),"")</f>
        <v/>
      </c>
      <c r="U335" s="111" t="str">
        <f aca="false">IFERROR(INDEX('Historical Data'!$AE$2:$AE$9,MATCH($A335,'Historical Data'!$BE$2:$BE$9,0)),"")</f>
        <v/>
      </c>
      <c r="V335" s="111" t="str">
        <f aca="false">IFERROR(INDEX('Historical Data'!$AH$2:$AH$9,MATCH($A335,'Historical Data'!$BE$2:$BE$9,0)),"")</f>
        <v/>
      </c>
      <c r="W335" s="111" t="str">
        <f aca="false">IFERROR(INDEX('Historical Data'!$BC$2:$BC$9,MATCH($A335,'Historical Data'!$BE$2:$BE$9,0)),"")</f>
        <v/>
      </c>
      <c r="X335" s="110" t="str">
        <f aca="false">IF(B335="","",IF(W335=1,"NR + industry + position",IF(W335=2,"NR + ISO + position",IF(W335=3,"NR + industry",IF(W335=4,"NR + ISO",IF(W335=5,"NR + position",IF(W335=6,"NR only","book baseline"))))))&amp;"  ["&amp;IF(T335=1,"seasoned","unseasoned")&amp;IF(U335=1,", defaulted","")&amp;IF(V335=1,", open","")&amp;"]")</f>
        <v/>
      </c>
    </row>
    <row r="336" customFormat="false" ht="15" hidden="false" customHeight="false" outlineLevel="0" collapsed="false">
      <c r="A336" s="110" t="n">
        <v>332</v>
      </c>
      <c r="B336" s="111" t="str">
        <f aca="false">IFERROR(INDEX('Historical Data'!$A$2:$A$9,MATCH($A336,'Historical Data'!$BE$2:$BE$9,0)),"")</f>
        <v/>
      </c>
      <c r="C336" s="111" t="str">
        <f aca="false">IFERROR(INDEX('Historical Data'!$B$2:$B$9,MATCH($A336,'Historical Data'!$BE$2:$BE$9,0)),"")</f>
        <v/>
      </c>
      <c r="D336" s="111" t="str">
        <f aca="false">IFERROR(INDEX('Historical Data'!$D$2:$D$9,MATCH($A336,'Historical Data'!$BE$2:$BE$9,0)),"")</f>
        <v/>
      </c>
      <c r="E336" s="112" t="str">
        <f aca="false">IFERROR(INDEX('Historical Data'!$E$2:$E$9,MATCH($A336,'Historical Data'!$BE$2:$BE$9,0)),"")</f>
        <v/>
      </c>
      <c r="F336" s="111" t="str">
        <f aca="false">IFERROR(INDEX('Historical Data'!$G$2:$G$9,MATCH($A336,'Historical Data'!$BE$2:$BE$9,0)),"")</f>
        <v/>
      </c>
      <c r="G336" s="111" t="str">
        <f aca="false">IFERROR(INDEX('Historical Data'!$Y$2:$Y$9,MATCH($A336,'Historical Data'!$BE$2:$BE$9,0)),"")</f>
        <v/>
      </c>
      <c r="H336" s="111" t="str">
        <f aca="false">IFERROR(INDEX('Historical Data'!$K$2:$K$9,MATCH($A336,'Historical Data'!$BE$2:$BE$9,0)),"")</f>
        <v/>
      </c>
      <c r="I336" s="111" t="str">
        <f aca="false">IFERROR(INDEX('Historical Data'!$J$2:$J$9,MATCH($A336,'Historical Data'!$BE$2:$BE$9,0)),"")</f>
        <v/>
      </c>
      <c r="J336" s="111" t="str">
        <f aca="false">IFERROR(INDEX('Historical Data'!$L$2:$L$9,MATCH($A336,'Historical Data'!$BE$2:$BE$9,0)),"")</f>
        <v/>
      </c>
      <c r="K336" s="113" t="str">
        <f aca="false">IFERROR(INDEX('Historical Data'!$M$2:$M$9,MATCH($A336,'Historical Data'!$BE$2:$BE$9,0)),"")</f>
        <v/>
      </c>
      <c r="L336" s="114" t="str">
        <f aca="false">IFERROR(INDEX('Historical Data'!$N$2:$N$9,MATCH($A336,'Historical Data'!$BE$2:$BE$9,0)),"")</f>
        <v/>
      </c>
      <c r="M336" s="114" t="str">
        <f aca="false">IFERROR(INDEX('Historical Data'!$Q$2:$Q$9,MATCH($A336,'Historical Data'!$BE$2:$BE$9,0)),"")</f>
        <v/>
      </c>
      <c r="N336" s="115" t="str">
        <f aca="false">IFERROR(INDEX('Historical Data'!$S$2:$S$9,MATCH($A336,'Historical Data'!$BE$2:$BE$9,0)),"")</f>
        <v/>
      </c>
      <c r="O336" s="114" t="str">
        <f aca="false">IFERROR(INDEX('Historical Data'!$AJ$2:$AJ$9,MATCH($A336,'Historical Data'!$BE$2:$BE$9,0)),"")</f>
        <v/>
      </c>
      <c r="P336" s="114" t="str">
        <f aca="false">IFERROR(INDEX('Historical Data'!$AK$2:$AK$9,MATCH($A336,'Historical Data'!$BE$2:$BE$9,0)),"")</f>
        <v/>
      </c>
      <c r="Q336" s="111" t="str">
        <f aca="false">IFERROR(INDEX('Historical Data'!$AA$2:$AA$9,MATCH($A336,'Historical Data'!$BE$2:$BE$9,0)),"")</f>
        <v/>
      </c>
      <c r="R336" s="111" t="str">
        <f aca="false">IFERROR(INDEX('Historical Data'!$AB$2:$AB$9,MATCH($A336,'Historical Data'!$BE$2:$BE$9,0)),"")</f>
        <v/>
      </c>
      <c r="S336" s="111" t="str">
        <f aca="false">IFERROR(INDEX('Historical Data'!$AN$2:$AN$9,MATCH($A336,'Historical Data'!$BE$2:$BE$9,0)),"")</f>
        <v/>
      </c>
      <c r="T336" s="111" t="str">
        <f aca="false">IFERROR(INDEX('Historical Data'!$AC$2:$AC$9,MATCH($A336,'Historical Data'!$BE$2:$BE$9,0)),"")</f>
        <v/>
      </c>
      <c r="U336" s="111" t="str">
        <f aca="false">IFERROR(INDEX('Historical Data'!$AE$2:$AE$9,MATCH($A336,'Historical Data'!$BE$2:$BE$9,0)),"")</f>
        <v/>
      </c>
      <c r="V336" s="111" t="str">
        <f aca="false">IFERROR(INDEX('Historical Data'!$AH$2:$AH$9,MATCH($A336,'Historical Data'!$BE$2:$BE$9,0)),"")</f>
        <v/>
      </c>
      <c r="W336" s="111" t="str">
        <f aca="false">IFERROR(INDEX('Historical Data'!$BC$2:$BC$9,MATCH($A336,'Historical Data'!$BE$2:$BE$9,0)),"")</f>
        <v/>
      </c>
      <c r="X336" s="110" t="str">
        <f aca="false">IF(B336="","",IF(W336=1,"NR + industry + position",IF(W336=2,"NR + ISO + position",IF(W336=3,"NR + industry",IF(W336=4,"NR + ISO",IF(W336=5,"NR + position",IF(W336=6,"NR only","book baseline"))))))&amp;"  ["&amp;IF(T336=1,"seasoned","unseasoned")&amp;IF(U336=1,", defaulted","")&amp;IF(V336=1,", open","")&amp;"]")</f>
        <v/>
      </c>
    </row>
    <row r="337" customFormat="false" ht="15" hidden="false" customHeight="false" outlineLevel="0" collapsed="false">
      <c r="A337" s="110" t="n">
        <v>333</v>
      </c>
      <c r="B337" s="111" t="str">
        <f aca="false">IFERROR(INDEX('Historical Data'!$A$2:$A$9,MATCH($A337,'Historical Data'!$BE$2:$BE$9,0)),"")</f>
        <v/>
      </c>
      <c r="C337" s="111" t="str">
        <f aca="false">IFERROR(INDEX('Historical Data'!$B$2:$B$9,MATCH($A337,'Historical Data'!$BE$2:$BE$9,0)),"")</f>
        <v/>
      </c>
      <c r="D337" s="111" t="str">
        <f aca="false">IFERROR(INDEX('Historical Data'!$D$2:$D$9,MATCH($A337,'Historical Data'!$BE$2:$BE$9,0)),"")</f>
        <v/>
      </c>
      <c r="E337" s="112" t="str">
        <f aca="false">IFERROR(INDEX('Historical Data'!$E$2:$E$9,MATCH($A337,'Historical Data'!$BE$2:$BE$9,0)),"")</f>
        <v/>
      </c>
      <c r="F337" s="111" t="str">
        <f aca="false">IFERROR(INDEX('Historical Data'!$G$2:$G$9,MATCH($A337,'Historical Data'!$BE$2:$BE$9,0)),"")</f>
        <v/>
      </c>
      <c r="G337" s="111" t="str">
        <f aca="false">IFERROR(INDEX('Historical Data'!$Y$2:$Y$9,MATCH($A337,'Historical Data'!$BE$2:$BE$9,0)),"")</f>
        <v/>
      </c>
      <c r="H337" s="111" t="str">
        <f aca="false">IFERROR(INDEX('Historical Data'!$K$2:$K$9,MATCH($A337,'Historical Data'!$BE$2:$BE$9,0)),"")</f>
        <v/>
      </c>
      <c r="I337" s="111" t="str">
        <f aca="false">IFERROR(INDEX('Historical Data'!$J$2:$J$9,MATCH($A337,'Historical Data'!$BE$2:$BE$9,0)),"")</f>
        <v/>
      </c>
      <c r="J337" s="111" t="str">
        <f aca="false">IFERROR(INDEX('Historical Data'!$L$2:$L$9,MATCH($A337,'Historical Data'!$BE$2:$BE$9,0)),"")</f>
        <v/>
      </c>
      <c r="K337" s="113" t="str">
        <f aca="false">IFERROR(INDEX('Historical Data'!$M$2:$M$9,MATCH($A337,'Historical Data'!$BE$2:$BE$9,0)),"")</f>
        <v/>
      </c>
      <c r="L337" s="114" t="str">
        <f aca="false">IFERROR(INDEX('Historical Data'!$N$2:$N$9,MATCH($A337,'Historical Data'!$BE$2:$BE$9,0)),"")</f>
        <v/>
      </c>
      <c r="M337" s="114" t="str">
        <f aca="false">IFERROR(INDEX('Historical Data'!$Q$2:$Q$9,MATCH($A337,'Historical Data'!$BE$2:$BE$9,0)),"")</f>
        <v/>
      </c>
      <c r="N337" s="115" t="str">
        <f aca="false">IFERROR(INDEX('Historical Data'!$S$2:$S$9,MATCH($A337,'Historical Data'!$BE$2:$BE$9,0)),"")</f>
        <v/>
      </c>
      <c r="O337" s="114" t="str">
        <f aca="false">IFERROR(INDEX('Historical Data'!$AJ$2:$AJ$9,MATCH($A337,'Historical Data'!$BE$2:$BE$9,0)),"")</f>
        <v/>
      </c>
      <c r="P337" s="114" t="str">
        <f aca="false">IFERROR(INDEX('Historical Data'!$AK$2:$AK$9,MATCH($A337,'Historical Data'!$BE$2:$BE$9,0)),"")</f>
        <v/>
      </c>
      <c r="Q337" s="111" t="str">
        <f aca="false">IFERROR(INDEX('Historical Data'!$AA$2:$AA$9,MATCH($A337,'Historical Data'!$BE$2:$BE$9,0)),"")</f>
        <v/>
      </c>
      <c r="R337" s="111" t="str">
        <f aca="false">IFERROR(INDEX('Historical Data'!$AB$2:$AB$9,MATCH($A337,'Historical Data'!$BE$2:$BE$9,0)),"")</f>
        <v/>
      </c>
      <c r="S337" s="111" t="str">
        <f aca="false">IFERROR(INDEX('Historical Data'!$AN$2:$AN$9,MATCH($A337,'Historical Data'!$BE$2:$BE$9,0)),"")</f>
        <v/>
      </c>
      <c r="T337" s="111" t="str">
        <f aca="false">IFERROR(INDEX('Historical Data'!$AC$2:$AC$9,MATCH($A337,'Historical Data'!$BE$2:$BE$9,0)),"")</f>
        <v/>
      </c>
      <c r="U337" s="111" t="str">
        <f aca="false">IFERROR(INDEX('Historical Data'!$AE$2:$AE$9,MATCH($A337,'Historical Data'!$BE$2:$BE$9,0)),"")</f>
        <v/>
      </c>
      <c r="V337" s="111" t="str">
        <f aca="false">IFERROR(INDEX('Historical Data'!$AH$2:$AH$9,MATCH($A337,'Historical Data'!$BE$2:$BE$9,0)),"")</f>
        <v/>
      </c>
      <c r="W337" s="111" t="str">
        <f aca="false">IFERROR(INDEX('Historical Data'!$BC$2:$BC$9,MATCH($A337,'Historical Data'!$BE$2:$BE$9,0)),"")</f>
        <v/>
      </c>
      <c r="X337" s="110" t="str">
        <f aca="false">IF(B337="","",IF(W337=1,"NR + industry + position",IF(W337=2,"NR + ISO + position",IF(W337=3,"NR + industry",IF(W337=4,"NR + ISO",IF(W337=5,"NR + position",IF(W337=6,"NR only","book baseline"))))))&amp;"  ["&amp;IF(T337=1,"seasoned","unseasoned")&amp;IF(U337=1,", defaulted","")&amp;IF(V337=1,", open","")&amp;"]")</f>
        <v/>
      </c>
    </row>
    <row r="338" customFormat="false" ht="15" hidden="false" customHeight="false" outlineLevel="0" collapsed="false">
      <c r="A338" s="110" t="n">
        <v>334</v>
      </c>
      <c r="B338" s="111" t="str">
        <f aca="false">IFERROR(INDEX('Historical Data'!$A$2:$A$9,MATCH($A338,'Historical Data'!$BE$2:$BE$9,0)),"")</f>
        <v/>
      </c>
      <c r="C338" s="111" t="str">
        <f aca="false">IFERROR(INDEX('Historical Data'!$B$2:$B$9,MATCH($A338,'Historical Data'!$BE$2:$BE$9,0)),"")</f>
        <v/>
      </c>
      <c r="D338" s="111" t="str">
        <f aca="false">IFERROR(INDEX('Historical Data'!$D$2:$D$9,MATCH($A338,'Historical Data'!$BE$2:$BE$9,0)),"")</f>
        <v/>
      </c>
      <c r="E338" s="112" t="str">
        <f aca="false">IFERROR(INDEX('Historical Data'!$E$2:$E$9,MATCH($A338,'Historical Data'!$BE$2:$BE$9,0)),"")</f>
        <v/>
      </c>
      <c r="F338" s="111" t="str">
        <f aca="false">IFERROR(INDEX('Historical Data'!$G$2:$G$9,MATCH($A338,'Historical Data'!$BE$2:$BE$9,0)),"")</f>
        <v/>
      </c>
      <c r="G338" s="111" t="str">
        <f aca="false">IFERROR(INDEX('Historical Data'!$Y$2:$Y$9,MATCH($A338,'Historical Data'!$BE$2:$BE$9,0)),"")</f>
        <v/>
      </c>
      <c r="H338" s="111" t="str">
        <f aca="false">IFERROR(INDEX('Historical Data'!$K$2:$K$9,MATCH($A338,'Historical Data'!$BE$2:$BE$9,0)),"")</f>
        <v/>
      </c>
      <c r="I338" s="111" t="str">
        <f aca="false">IFERROR(INDEX('Historical Data'!$J$2:$J$9,MATCH($A338,'Historical Data'!$BE$2:$BE$9,0)),"")</f>
        <v/>
      </c>
      <c r="J338" s="111" t="str">
        <f aca="false">IFERROR(INDEX('Historical Data'!$L$2:$L$9,MATCH($A338,'Historical Data'!$BE$2:$BE$9,0)),"")</f>
        <v/>
      </c>
      <c r="K338" s="113" t="str">
        <f aca="false">IFERROR(INDEX('Historical Data'!$M$2:$M$9,MATCH($A338,'Historical Data'!$BE$2:$BE$9,0)),"")</f>
        <v/>
      </c>
      <c r="L338" s="114" t="str">
        <f aca="false">IFERROR(INDEX('Historical Data'!$N$2:$N$9,MATCH($A338,'Historical Data'!$BE$2:$BE$9,0)),"")</f>
        <v/>
      </c>
      <c r="M338" s="114" t="str">
        <f aca="false">IFERROR(INDEX('Historical Data'!$Q$2:$Q$9,MATCH($A338,'Historical Data'!$BE$2:$BE$9,0)),"")</f>
        <v/>
      </c>
      <c r="N338" s="115" t="str">
        <f aca="false">IFERROR(INDEX('Historical Data'!$S$2:$S$9,MATCH($A338,'Historical Data'!$BE$2:$BE$9,0)),"")</f>
        <v/>
      </c>
      <c r="O338" s="114" t="str">
        <f aca="false">IFERROR(INDEX('Historical Data'!$AJ$2:$AJ$9,MATCH($A338,'Historical Data'!$BE$2:$BE$9,0)),"")</f>
        <v/>
      </c>
      <c r="P338" s="114" t="str">
        <f aca="false">IFERROR(INDEX('Historical Data'!$AK$2:$AK$9,MATCH($A338,'Historical Data'!$BE$2:$BE$9,0)),"")</f>
        <v/>
      </c>
      <c r="Q338" s="111" t="str">
        <f aca="false">IFERROR(INDEX('Historical Data'!$AA$2:$AA$9,MATCH($A338,'Historical Data'!$BE$2:$BE$9,0)),"")</f>
        <v/>
      </c>
      <c r="R338" s="111" t="str">
        <f aca="false">IFERROR(INDEX('Historical Data'!$AB$2:$AB$9,MATCH($A338,'Historical Data'!$BE$2:$BE$9,0)),"")</f>
        <v/>
      </c>
      <c r="S338" s="111" t="str">
        <f aca="false">IFERROR(INDEX('Historical Data'!$AN$2:$AN$9,MATCH($A338,'Historical Data'!$BE$2:$BE$9,0)),"")</f>
        <v/>
      </c>
      <c r="T338" s="111" t="str">
        <f aca="false">IFERROR(INDEX('Historical Data'!$AC$2:$AC$9,MATCH($A338,'Historical Data'!$BE$2:$BE$9,0)),"")</f>
        <v/>
      </c>
      <c r="U338" s="111" t="str">
        <f aca="false">IFERROR(INDEX('Historical Data'!$AE$2:$AE$9,MATCH($A338,'Historical Data'!$BE$2:$BE$9,0)),"")</f>
        <v/>
      </c>
      <c r="V338" s="111" t="str">
        <f aca="false">IFERROR(INDEX('Historical Data'!$AH$2:$AH$9,MATCH($A338,'Historical Data'!$BE$2:$BE$9,0)),"")</f>
        <v/>
      </c>
      <c r="W338" s="111" t="str">
        <f aca="false">IFERROR(INDEX('Historical Data'!$BC$2:$BC$9,MATCH($A338,'Historical Data'!$BE$2:$BE$9,0)),"")</f>
        <v/>
      </c>
      <c r="X338" s="110" t="str">
        <f aca="false">IF(B338="","",IF(W338=1,"NR + industry + position",IF(W338=2,"NR + ISO + position",IF(W338=3,"NR + industry",IF(W338=4,"NR + ISO",IF(W338=5,"NR + position",IF(W338=6,"NR only","book baseline"))))))&amp;"  ["&amp;IF(T338=1,"seasoned","unseasoned")&amp;IF(U338=1,", defaulted","")&amp;IF(V338=1,", open","")&amp;"]")</f>
        <v/>
      </c>
    </row>
    <row r="339" customFormat="false" ht="15" hidden="false" customHeight="false" outlineLevel="0" collapsed="false">
      <c r="A339" s="110" t="n">
        <v>335</v>
      </c>
      <c r="B339" s="111" t="str">
        <f aca="false">IFERROR(INDEX('Historical Data'!$A$2:$A$9,MATCH($A339,'Historical Data'!$BE$2:$BE$9,0)),"")</f>
        <v/>
      </c>
      <c r="C339" s="111" t="str">
        <f aca="false">IFERROR(INDEX('Historical Data'!$B$2:$B$9,MATCH($A339,'Historical Data'!$BE$2:$BE$9,0)),"")</f>
        <v/>
      </c>
      <c r="D339" s="111" t="str">
        <f aca="false">IFERROR(INDEX('Historical Data'!$D$2:$D$9,MATCH($A339,'Historical Data'!$BE$2:$BE$9,0)),"")</f>
        <v/>
      </c>
      <c r="E339" s="112" t="str">
        <f aca="false">IFERROR(INDEX('Historical Data'!$E$2:$E$9,MATCH($A339,'Historical Data'!$BE$2:$BE$9,0)),"")</f>
        <v/>
      </c>
      <c r="F339" s="111" t="str">
        <f aca="false">IFERROR(INDEX('Historical Data'!$G$2:$G$9,MATCH($A339,'Historical Data'!$BE$2:$BE$9,0)),"")</f>
        <v/>
      </c>
      <c r="G339" s="111" t="str">
        <f aca="false">IFERROR(INDEX('Historical Data'!$Y$2:$Y$9,MATCH($A339,'Historical Data'!$BE$2:$BE$9,0)),"")</f>
        <v/>
      </c>
      <c r="H339" s="111" t="str">
        <f aca="false">IFERROR(INDEX('Historical Data'!$K$2:$K$9,MATCH($A339,'Historical Data'!$BE$2:$BE$9,0)),"")</f>
        <v/>
      </c>
      <c r="I339" s="111" t="str">
        <f aca="false">IFERROR(INDEX('Historical Data'!$J$2:$J$9,MATCH($A339,'Historical Data'!$BE$2:$BE$9,0)),"")</f>
        <v/>
      </c>
      <c r="J339" s="111" t="str">
        <f aca="false">IFERROR(INDEX('Historical Data'!$L$2:$L$9,MATCH($A339,'Historical Data'!$BE$2:$BE$9,0)),"")</f>
        <v/>
      </c>
      <c r="K339" s="113" t="str">
        <f aca="false">IFERROR(INDEX('Historical Data'!$M$2:$M$9,MATCH($A339,'Historical Data'!$BE$2:$BE$9,0)),"")</f>
        <v/>
      </c>
      <c r="L339" s="114" t="str">
        <f aca="false">IFERROR(INDEX('Historical Data'!$N$2:$N$9,MATCH($A339,'Historical Data'!$BE$2:$BE$9,0)),"")</f>
        <v/>
      </c>
      <c r="M339" s="114" t="str">
        <f aca="false">IFERROR(INDEX('Historical Data'!$Q$2:$Q$9,MATCH($A339,'Historical Data'!$BE$2:$BE$9,0)),"")</f>
        <v/>
      </c>
      <c r="N339" s="115" t="str">
        <f aca="false">IFERROR(INDEX('Historical Data'!$S$2:$S$9,MATCH($A339,'Historical Data'!$BE$2:$BE$9,0)),"")</f>
        <v/>
      </c>
      <c r="O339" s="114" t="str">
        <f aca="false">IFERROR(INDEX('Historical Data'!$AJ$2:$AJ$9,MATCH($A339,'Historical Data'!$BE$2:$BE$9,0)),"")</f>
        <v/>
      </c>
      <c r="P339" s="114" t="str">
        <f aca="false">IFERROR(INDEX('Historical Data'!$AK$2:$AK$9,MATCH($A339,'Historical Data'!$BE$2:$BE$9,0)),"")</f>
        <v/>
      </c>
      <c r="Q339" s="111" t="str">
        <f aca="false">IFERROR(INDEX('Historical Data'!$AA$2:$AA$9,MATCH($A339,'Historical Data'!$BE$2:$BE$9,0)),"")</f>
        <v/>
      </c>
      <c r="R339" s="111" t="str">
        <f aca="false">IFERROR(INDEX('Historical Data'!$AB$2:$AB$9,MATCH($A339,'Historical Data'!$BE$2:$BE$9,0)),"")</f>
        <v/>
      </c>
      <c r="S339" s="111" t="str">
        <f aca="false">IFERROR(INDEX('Historical Data'!$AN$2:$AN$9,MATCH($A339,'Historical Data'!$BE$2:$BE$9,0)),"")</f>
        <v/>
      </c>
      <c r="T339" s="111" t="str">
        <f aca="false">IFERROR(INDEX('Historical Data'!$AC$2:$AC$9,MATCH($A339,'Historical Data'!$BE$2:$BE$9,0)),"")</f>
        <v/>
      </c>
      <c r="U339" s="111" t="str">
        <f aca="false">IFERROR(INDEX('Historical Data'!$AE$2:$AE$9,MATCH($A339,'Historical Data'!$BE$2:$BE$9,0)),"")</f>
        <v/>
      </c>
      <c r="V339" s="111" t="str">
        <f aca="false">IFERROR(INDEX('Historical Data'!$AH$2:$AH$9,MATCH($A339,'Historical Data'!$BE$2:$BE$9,0)),"")</f>
        <v/>
      </c>
      <c r="W339" s="111" t="str">
        <f aca="false">IFERROR(INDEX('Historical Data'!$BC$2:$BC$9,MATCH($A339,'Historical Data'!$BE$2:$BE$9,0)),"")</f>
        <v/>
      </c>
      <c r="X339" s="110" t="str">
        <f aca="false">IF(B339="","",IF(W339=1,"NR + industry + position",IF(W339=2,"NR + ISO + position",IF(W339=3,"NR + industry",IF(W339=4,"NR + ISO",IF(W339=5,"NR + position",IF(W339=6,"NR only","book baseline"))))))&amp;"  ["&amp;IF(T339=1,"seasoned","unseasoned")&amp;IF(U339=1,", defaulted","")&amp;IF(V339=1,", open","")&amp;"]")</f>
        <v/>
      </c>
    </row>
    <row r="340" customFormat="false" ht="15" hidden="false" customHeight="false" outlineLevel="0" collapsed="false">
      <c r="A340" s="110" t="n">
        <v>336</v>
      </c>
      <c r="B340" s="111" t="str">
        <f aca="false">IFERROR(INDEX('Historical Data'!$A$2:$A$9,MATCH($A340,'Historical Data'!$BE$2:$BE$9,0)),"")</f>
        <v/>
      </c>
      <c r="C340" s="111" t="str">
        <f aca="false">IFERROR(INDEX('Historical Data'!$B$2:$B$9,MATCH($A340,'Historical Data'!$BE$2:$BE$9,0)),"")</f>
        <v/>
      </c>
      <c r="D340" s="111" t="str">
        <f aca="false">IFERROR(INDEX('Historical Data'!$D$2:$D$9,MATCH($A340,'Historical Data'!$BE$2:$BE$9,0)),"")</f>
        <v/>
      </c>
      <c r="E340" s="112" t="str">
        <f aca="false">IFERROR(INDEX('Historical Data'!$E$2:$E$9,MATCH($A340,'Historical Data'!$BE$2:$BE$9,0)),"")</f>
        <v/>
      </c>
      <c r="F340" s="111" t="str">
        <f aca="false">IFERROR(INDEX('Historical Data'!$G$2:$G$9,MATCH($A340,'Historical Data'!$BE$2:$BE$9,0)),"")</f>
        <v/>
      </c>
      <c r="G340" s="111" t="str">
        <f aca="false">IFERROR(INDEX('Historical Data'!$Y$2:$Y$9,MATCH($A340,'Historical Data'!$BE$2:$BE$9,0)),"")</f>
        <v/>
      </c>
      <c r="H340" s="111" t="str">
        <f aca="false">IFERROR(INDEX('Historical Data'!$K$2:$K$9,MATCH($A340,'Historical Data'!$BE$2:$BE$9,0)),"")</f>
        <v/>
      </c>
      <c r="I340" s="111" t="str">
        <f aca="false">IFERROR(INDEX('Historical Data'!$J$2:$J$9,MATCH($A340,'Historical Data'!$BE$2:$BE$9,0)),"")</f>
        <v/>
      </c>
      <c r="J340" s="111" t="str">
        <f aca="false">IFERROR(INDEX('Historical Data'!$L$2:$L$9,MATCH($A340,'Historical Data'!$BE$2:$BE$9,0)),"")</f>
        <v/>
      </c>
      <c r="K340" s="113" t="str">
        <f aca="false">IFERROR(INDEX('Historical Data'!$M$2:$M$9,MATCH($A340,'Historical Data'!$BE$2:$BE$9,0)),"")</f>
        <v/>
      </c>
      <c r="L340" s="114" t="str">
        <f aca="false">IFERROR(INDEX('Historical Data'!$N$2:$N$9,MATCH($A340,'Historical Data'!$BE$2:$BE$9,0)),"")</f>
        <v/>
      </c>
      <c r="M340" s="114" t="str">
        <f aca="false">IFERROR(INDEX('Historical Data'!$Q$2:$Q$9,MATCH($A340,'Historical Data'!$BE$2:$BE$9,0)),"")</f>
        <v/>
      </c>
      <c r="N340" s="115" t="str">
        <f aca="false">IFERROR(INDEX('Historical Data'!$S$2:$S$9,MATCH($A340,'Historical Data'!$BE$2:$BE$9,0)),"")</f>
        <v/>
      </c>
      <c r="O340" s="114" t="str">
        <f aca="false">IFERROR(INDEX('Historical Data'!$AJ$2:$AJ$9,MATCH($A340,'Historical Data'!$BE$2:$BE$9,0)),"")</f>
        <v/>
      </c>
      <c r="P340" s="114" t="str">
        <f aca="false">IFERROR(INDEX('Historical Data'!$AK$2:$AK$9,MATCH($A340,'Historical Data'!$BE$2:$BE$9,0)),"")</f>
        <v/>
      </c>
      <c r="Q340" s="111" t="str">
        <f aca="false">IFERROR(INDEX('Historical Data'!$AA$2:$AA$9,MATCH($A340,'Historical Data'!$BE$2:$BE$9,0)),"")</f>
        <v/>
      </c>
      <c r="R340" s="111" t="str">
        <f aca="false">IFERROR(INDEX('Historical Data'!$AB$2:$AB$9,MATCH($A340,'Historical Data'!$BE$2:$BE$9,0)),"")</f>
        <v/>
      </c>
      <c r="S340" s="111" t="str">
        <f aca="false">IFERROR(INDEX('Historical Data'!$AN$2:$AN$9,MATCH($A340,'Historical Data'!$BE$2:$BE$9,0)),"")</f>
        <v/>
      </c>
      <c r="T340" s="111" t="str">
        <f aca="false">IFERROR(INDEX('Historical Data'!$AC$2:$AC$9,MATCH($A340,'Historical Data'!$BE$2:$BE$9,0)),"")</f>
        <v/>
      </c>
      <c r="U340" s="111" t="str">
        <f aca="false">IFERROR(INDEX('Historical Data'!$AE$2:$AE$9,MATCH($A340,'Historical Data'!$BE$2:$BE$9,0)),"")</f>
        <v/>
      </c>
      <c r="V340" s="111" t="str">
        <f aca="false">IFERROR(INDEX('Historical Data'!$AH$2:$AH$9,MATCH($A340,'Historical Data'!$BE$2:$BE$9,0)),"")</f>
        <v/>
      </c>
      <c r="W340" s="111" t="str">
        <f aca="false">IFERROR(INDEX('Historical Data'!$BC$2:$BC$9,MATCH($A340,'Historical Data'!$BE$2:$BE$9,0)),"")</f>
        <v/>
      </c>
      <c r="X340" s="110" t="str">
        <f aca="false">IF(B340="","",IF(W340=1,"NR + industry + position",IF(W340=2,"NR + ISO + position",IF(W340=3,"NR + industry",IF(W340=4,"NR + ISO",IF(W340=5,"NR + position",IF(W340=6,"NR only","book baseline"))))))&amp;"  ["&amp;IF(T340=1,"seasoned","unseasoned")&amp;IF(U340=1,", defaulted","")&amp;IF(V340=1,", open","")&amp;"]")</f>
        <v/>
      </c>
    </row>
    <row r="341" customFormat="false" ht="15" hidden="false" customHeight="false" outlineLevel="0" collapsed="false">
      <c r="A341" s="110" t="n">
        <v>337</v>
      </c>
      <c r="B341" s="111" t="str">
        <f aca="false">IFERROR(INDEX('Historical Data'!$A$2:$A$9,MATCH($A341,'Historical Data'!$BE$2:$BE$9,0)),"")</f>
        <v/>
      </c>
      <c r="C341" s="111" t="str">
        <f aca="false">IFERROR(INDEX('Historical Data'!$B$2:$B$9,MATCH($A341,'Historical Data'!$BE$2:$BE$9,0)),"")</f>
        <v/>
      </c>
      <c r="D341" s="111" t="str">
        <f aca="false">IFERROR(INDEX('Historical Data'!$D$2:$D$9,MATCH($A341,'Historical Data'!$BE$2:$BE$9,0)),"")</f>
        <v/>
      </c>
      <c r="E341" s="112" t="str">
        <f aca="false">IFERROR(INDEX('Historical Data'!$E$2:$E$9,MATCH($A341,'Historical Data'!$BE$2:$BE$9,0)),"")</f>
        <v/>
      </c>
      <c r="F341" s="111" t="str">
        <f aca="false">IFERROR(INDEX('Historical Data'!$G$2:$G$9,MATCH($A341,'Historical Data'!$BE$2:$BE$9,0)),"")</f>
        <v/>
      </c>
      <c r="G341" s="111" t="str">
        <f aca="false">IFERROR(INDEX('Historical Data'!$Y$2:$Y$9,MATCH($A341,'Historical Data'!$BE$2:$BE$9,0)),"")</f>
        <v/>
      </c>
      <c r="H341" s="111" t="str">
        <f aca="false">IFERROR(INDEX('Historical Data'!$K$2:$K$9,MATCH($A341,'Historical Data'!$BE$2:$BE$9,0)),"")</f>
        <v/>
      </c>
      <c r="I341" s="111" t="str">
        <f aca="false">IFERROR(INDEX('Historical Data'!$J$2:$J$9,MATCH($A341,'Historical Data'!$BE$2:$BE$9,0)),"")</f>
        <v/>
      </c>
      <c r="J341" s="111" t="str">
        <f aca="false">IFERROR(INDEX('Historical Data'!$L$2:$L$9,MATCH($A341,'Historical Data'!$BE$2:$BE$9,0)),"")</f>
        <v/>
      </c>
      <c r="K341" s="113" t="str">
        <f aca="false">IFERROR(INDEX('Historical Data'!$M$2:$M$9,MATCH($A341,'Historical Data'!$BE$2:$BE$9,0)),"")</f>
        <v/>
      </c>
      <c r="L341" s="114" t="str">
        <f aca="false">IFERROR(INDEX('Historical Data'!$N$2:$N$9,MATCH($A341,'Historical Data'!$BE$2:$BE$9,0)),"")</f>
        <v/>
      </c>
      <c r="M341" s="114" t="str">
        <f aca="false">IFERROR(INDEX('Historical Data'!$Q$2:$Q$9,MATCH($A341,'Historical Data'!$BE$2:$BE$9,0)),"")</f>
        <v/>
      </c>
      <c r="N341" s="115" t="str">
        <f aca="false">IFERROR(INDEX('Historical Data'!$S$2:$S$9,MATCH($A341,'Historical Data'!$BE$2:$BE$9,0)),"")</f>
        <v/>
      </c>
      <c r="O341" s="114" t="str">
        <f aca="false">IFERROR(INDEX('Historical Data'!$AJ$2:$AJ$9,MATCH($A341,'Historical Data'!$BE$2:$BE$9,0)),"")</f>
        <v/>
      </c>
      <c r="P341" s="114" t="str">
        <f aca="false">IFERROR(INDEX('Historical Data'!$AK$2:$AK$9,MATCH($A341,'Historical Data'!$BE$2:$BE$9,0)),"")</f>
        <v/>
      </c>
      <c r="Q341" s="111" t="str">
        <f aca="false">IFERROR(INDEX('Historical Data'!$AA$2:$AA$9,MATCH($A341,'Historical Data'!$BE$2:$BE$9,0)),"")</f>
        <v/>
      </c>
      <c r="R341" s="111" t="str">
        <f aca="false">IFERROR(INDEX('Historical Data'!$AB$2:$AB$9,MATCH($A341,'Historical Data'!$BE$2:$BE$9,0)),"")</f>
        <v/>
      </c>
      <c r="S341" s="111" t="str">
        <f aca="false">IFERROR(INDEX('Historical Data'!$AN$2:$AN$9,MATCH($A341,'Historical Data'!$BE$2:$BE$9,0)),"")</f>
        <v/>
      </c>
      <c r="T341" s="111" t="str">
        <f aca="false">IFERROR(INDEX('Historical Data'!$AC$2:$AC$9,MATCH($A341,'Historical Data'!$BE$2:$BE$9,0)),"")</f>
        <v/>
      </c>
      <c r="U341" s="111" t="str">
        <f aca="false">IFERROR(INDEX('Historical Data'!$AE$2:$AE$9,MATCH($A341,'Historical Data'!$BE$2:$BE$9,0)),"")</f>
        <v/>
      </c>
      <c r="V341" s="111" t="str">
        <f aca="false">IFERROR(INDEX('Historical Data'!$AH$2:$AH$9,MATCH($A341,'Historical Data'!$BE$2:$BE$9,0)),"")</f>
        <v/>
      </c>
      <c r="W341" s="111" t="str">
        <f aca="false">IFERROR(INDEX('Historical Data'!$BC$2:$BC$9,MATCH($A341,'Historical Data'!$BE$2:$BE$9,0)),"")</f>
        <v/>
      </c>
      <c r="X341" s="110" t="str">
        <f aca="false">IF(B341="","",IF(W341=1,"NR + industry + position",IF(W341=2,"NR + ISO + position",IF(W341=3,"NR + industry",IF(W341=4,"NR + ISO",IF(W341=5,"NR + position",IF(W341=6,"NR only","book baseline"))))))&amp;"  ["&amp;IF(T341=1,"seasoned","unseasoned")&amp;IF(U341=1,", defaulted","")&amp;IF(V341=1,", open","")&amp;"]")</f>
        <v/>
      </c>
    </row>
    <row r="342" customFormat="false" ht="15" hidden="false" customHeight="false" outlineLevel="0" collapsed="false">
      <c r="A342" s="110" t="n">
        <v>338</v>
      </c>
      <c r="B342" s="111" t="str">
        <f aca="false">IFERROR(INDEX('Historical Data'!$A$2:$A$9,MATCH($A342,'Historical Data'!$BE$2:$BE$9,0)),"")</f>
        <v/>
      </c>
      <c r="C342" s="111" t="str">
        <f aca="false">IFERROR(INDEX('Historical Data'!$B$2:$B$9,MATCH($A342,'Historical Data'!$BE$2:$BE$9,0)),"")</f>
        <v/>
      </c>
      <c r="D342" s="111" t="str">
        <f aca="false">IFERROR(INDEX('Historical Data'!$D$2:$D$9,MATCH($A342,'Historical Data'!$BE$2:$BE$9,0)),"")</f>
        <v/>
      </c>
      <c r="E342" s="112" t="str">
        <f aca="false">IFERROR(INDEX('Historical Data'!$E$2:$E$9,MATCH($A342,'Historical Data'!$BE$2:$BE$9,0)),"")</f>
        <v/>
      </c>
      <c r="F342" s="111" t="str">
        <f aca="false">IFERROR(INDEX('Historical Data'!$G$2:$G$9,MATCH($A342,'Historical Data'!$BE$2:$BE$9,0)),"")</f>
        <v/>
      </c>
      <c r="G342" s="111" t="str">
        <f aca="false">IFERROR(INDEX('Historical Data'!$Y$2:$Y$9,MATCH($A342,'Historical Data'!$BE$2:$BE$9,0)),"")</f>
        <v/>
      </c>
      <c r="H342" s="111" t="str">
        <f aca="false">IFERROR(INDEX('Historical Data'!$K$2:$K$9,MATCH($A342,'Historical Data'!$BE$2:$BE$9,0)),"")</f>
        <v/>
      </c>
      <c r="I342" s="111" t="str">
        <f aca="false">IFERROR(INDEX('Historical Data'!$J$2:$J$9,MATCH($A342,'Historical Data'!$BE$2:$BE$9,0)),"")</f>
        <v/>
      </c>
      <c r="J342" s="111" t="str">
        <f aca="false">IFERROR(INDEX('Historical Data'!$L$2:$L$9,MATCH($A342,'Historical Data'!$BE$2:$BE$9,0)),"")</f>
        <v/>
      </c>
      <c r="K342" s="113" t="str">
        <f aca="false">IFERROR(INDEX('Historical Data'!$M$2:$M$9,MATCH($A342,'Historical Data'!$BE$2:$BE$9,0)),"")</f>
        <v/>
      </c>
      <c r="L342" s="114" t="str">
        <f aca="false">IFERROR(INDEX('Historical Data'!$N$2:$N$9,MATCH($A342,'Historical Data'!$BE$2:$BE$9,0)),"")</f>
        <v/>
      </c>
      <c r="M342" s="114" t="str">
        <f aca="false">IFERROR(INDEX('Historical Data'!$Q$2:$Q$9,MATCH($A342,'Historical Data'!$BE$2:$BE$9,0)),"")</f>
        <v/>
      </c>
      <c r="N342" s="115" t="str">
        <f aca="false">IFERROR(INDEX('Historical Data'!$S$2:$S$9,MATCH($A342,'Historical Data'!$BE$2:$BE$9,0)),"")</f>
        <v/>
      </c>
      <c r="O342" s="114" t="str">
        <f aca="false">IFERROR(INDEX('Historical Data'!$AJ$2:$AJ$9,MATCH($A342,'Historical Data'!$BE$2:$BE$9,0)),"")</f>
        <v/>
      </c>
      <c r="P342" s="114" t="str">
        <f aca="false">IFERROR(INDEX('Historical Data'!$AK$2:$AK$9,MATCH($A342,'Historical Data'!$BE$2:$BE$9,0)),"")</f>
        <v/>
      </c>
      <c r="Q342" s="111" t="str">
        <f aca="false">IFERROR(INDEX('Historical Data'!$AA$2:$AA$9,MATCH($A342,'Historical Data'!$BE$2:$BE$9,0)),"")</f>
        <v/>
      </c>
      <c r="R342" s="111" t="str">
        <f aca="false">IFERROR(INDEX('Historical Data'!$AB$2:$AB$9,MATCH($A342,'Historical Data'!$BE$2:$BE$9,0)),"")</f>
        <v/>
      </c>
      <c r="S342" s="111" t="str">
        <f aca="false">IFERROR(INDEX('Historical Data'!$AN$2:$AN$9,MATCH($A342,'Historical Data'!$BE$2:$BE$9,0)),"")</f>
        <v/>
      </c>
      <c r="T342" s="111" t="str">
        <f aca="false">IFERROR(INDEX('Historical Data'!$AC$2:$AC$9,MATCH($A342,'Historical Data'!$BE$2:$BE$9,0)),"")</f>
        <v/>
      </c>
      <c r="U342" s="111" t="str">
        <f aca="false">IFERROR(INDEX('Historical Data'!$AE$2:$AE$9,MATCH($A342,'Historical Data'!$BE$2:$BE$9,0)),"")</f>
        <v/>
      </c>
      <c r="V342" s="111" t="str">
        <f aca="false">IFERROR(INDEX('Historical Data'!$AH$2:$AH$9,MATCH($A342,'Historical Data'!$BE$2:$BE$9,0)),"")</f>
        <v/>
      </c>
      <c r="W342" s="111" t="str">
        <f aca="false">IFERROR(INDEX('Historical Data'!$BC$2:$BC$9,MATCH($A342,'Historical Data'!$BE$2:$BE$9,0)),"")</f>
        <v/>
      </c>
      <c r="X342" s="110" t="str">
        <f aca="false">IF(B342="","",IF(W342=1,"NR + industry + position",IF(W342=2,"NR + ISO + position",IF(W342=3,"NR + industry",IF(W342=4,"NR + ISO",IF(W342=5,"NR + position",IF(W342=6,"NR only","book baseline"))))))&amp;"  ["&amp;IF(T342=1,"seasoned","unseasoned")&amp;IF(U342=1,", defaulted","")&amp;IF(V342=1,", open","")&amp;"]")</f>
        <v/>
      </c>
    </row>
    <row r="343" customFormat="false" ht="15" hidden="false" customHeight="false" outlineLevel="0" collapsed="false">
      <c r="A343" s="110" t="n">
        <v>339</v>
      </c>
      <c r="B343" s="111" t="str">
        <f aca="false">IFERROR(INDEX('Historical Data'!$A$2:$A$9,MATCH($A343,'Historical Data'!$BE$2:$BE$9,0)),"")</f>
        <v/>
      </c>
      <c r="C343" s="111" t="str">
        <f aca="false">IFERROR(INDEX('Historical Data'!$B$2:$B$9,MATCH($A343,'Historical Data'!$BE$2:$BE$9,0)),"")</f>
        <v/>
      </c>
      <c r="D343" s="111" t="str">
        <f aca="false">IFERROR(INDEX('Historical Data'!$D$2:$D$9,MATCH($A343,'Historical Data'!$BE$2:$BE$9,0)),"")</f>
        <v/>
      </c>
      <c r="E343" s="112" t="str">
        <f aca="false">IFERROR(INDEX('Historical Data'!$E$2:$E$9,MATCH($A343,'Historical Data'!$BE$2:$BE$9,0)),"")</f>
        <v/>
      </c>
      <c r="F343" s="111" t="str">
        <f aca="false">IFERROR(INDEX('Historical Data'!$G$2:$G$9,MATCH($A343,'Historical Data'!$BE$2:$BE$9,0)),"")</f>
        <v/>
      </c>
      <c r="G343" s="111" t="str">
        <f aca="false">IFERROR(INDEX('Historical Data'!$Y$2:$Y$9,MATCH($A343,'Historical Data'!$BE$2:$BE$9,0)),"")</f>
        <v/>
      </c>
      <c r="H343" s="111" t="str">
        <f aca="false">IFERROR(INDEX('Historical Data'!$K$2:$K$9,MATCH($A343,'Historical Data'!$BE$2:$BE$9,0)),"")</f>
        <v/>
      </c>
      <c r="I343" s="111" t="str">
        <f aca="false">IFERROR(INDEX('Historical Data'!$J$2:$J$9,MATCH($A343,'Historical Data'!$BE$2:$BE$9,0)),"")</f>
        <v/>
      </c>
      <c r="J343" s="111" t="str">
        <f aca="false">IFERROR(INDEX('Historical Data'!$L$2:$L$9,MATCH($A343,'Historical Data'!$BE$2:$BE$9,0)),"")</f>
        <v/>
      </c>
      <c r="K343" s="113" t="str">
        <f aca="false">IFERROR(INDEX('Historical Data'!$M$2:$M$9,MATCH($A343,'Historical Data'!$BE$2:$BE$9,0)),"")</f>
        <v/>
      </c>
      <c r="L343" s="114" t="str">
        <f aca="false">IFERROR(INDEX('Historical Data'!$N$2:$N$9,MATCH($A343,'Historical Data'!$BE$2:$BE$9,0)),"")</f>
        <v/>
      </c>
      <c r="M343" s="114" t="str">
        <f aca="false">IFERROR(INDEX('Historical Data'!$Q$2:$Q$9,MATCH($A343,'Historical Data'!$BE$2:$BE$9,0)),"")</f>
        <v/>
      </c>
      <c r="N343" s="115" t="str">
        <f aca="false">IFERROR(INDEX('Historical Data'!$S$2:$S$9,MATCH($A343,'Historical Data'!$BE$2:$BE$9,0)),"")</f>
        <v/>
      </c>
      <c r="O343" s="114" t="str">
        <f aca="false">IFERROR(INDEX('Historical Data'!$AJ$2:$AJ$9,MATCH($A343,'Historical Data'!$BE$2:$BE$9,0)),"")</f>
        <v/>
      </c>
      <c r="P343" s="114" t="str">
        <f aca="false">IFERROR(INDEX('Historical Data'!$AK$2:$AK$9,MATCH($A343,'Historical Data'!$BE$2:$BE$9,0)),"")</f>
        <v/>
      </c>
      <c r="Q343" s="111" t="str">
        <f aca="false">IFERROR(INDEX('Historical Data'!$AA$2:$AA$9,MATCH($A343,'Historical Data'!$BE$2:$BE$9,0)),"")</f>
        <v/>
      </c>
      <c r="R343" s="111" t="str">
        <f aca="false">IFERROR(INDEX('Historical Data'!$AB$2:$AB$9,MATCH($A343,'Historical Data'!$BE$2:$BE$9,0)),"")</f>
        <v/>
      </c>
      <c r="S343" s="111" t="str">
        <f aca="false">IFERROR(INDEX('Historical Data'!$AN$2:$AN$9,MATCH($A343,'Historical Data'!$BE$2:$BE$9,0)),"")</f>
        <v/>
      </c>
      <c r="T343" s="111" t="str">
        <f aca="false">IFERROR(INDEX('Historical Data'!$AC$2:$AC$9,MATCH($A343,'Historical Data'!$BE$2:$BE$9,0)),"")</f>
        <v/>
      </c>
      <c r="U343" s="111" t="str">
        <f aca="false">IFERROR(INDEX('Historical Data'!$AE$2:$AE$9,MATCH($A343,'Historical Data'!$BE$2:$BE$9,0)),"")</f>
        <v/>
      </c>
      <c r="V343" s="111" t="str">
        <f aca="false">IFERROR(INDEX('Historical Data'!$AH$2:$AH$9,MATCH($A343,'Historical Data'!$BE$2:$BE$9,0)),"")</f>
        <v/>
      </c>
      <c r="W343" s="111" t="str">
        <f aca="false">IFERROR(INDEX('Historical Data'!$BC$2:$BC$9,MATCH($A343,'Historical Data'!$BE$2:$BE$9,0)),"")</f>
        <v/>
      </c>
      <c r="X343" s="110" t="str">
        <f aca="false">IF(B343="","",IF(W343=1,"NR + industry + position",IF(W343=2,"NR + ISO + position",IF(W343=3,"NR + industry",IF(W343=4,"NR + ISO",IF(W343=5,"NR + position",IF(W343=6,"NR only","book baseline"))))))&amp;"  ["&amp;IF(T343=1,"seasoned","unseasoned")&amp;IF(U343=1,", defaulted","")&amp;IF(V343=1,", open","")&amp;"]")</f>
        <v/>
      </c>
    </row>
    <row r="344" customFormat="false" ht="15" hidden="false" customHeight="false" outlineLevel="0" collapsed="false">
      <c r="A344" s="110" t="n">
        <v>340</v>
      </c>
      <c r="B344" s="111" t="str">
        <f aca="false">IFERROR(INDEX('Historical Data'!$A$2:$A$9,MATCH($A344,'Historical Data'!$BE$2:$BE$9,0)),"")</f>
        <v/>
      </c>
      <c r="C344" s="111" t="str">
        <f aca="false">IFERROR(INDEX('Historical Data'!$B$2:$B$9,MATCH($A344,'Historical Data'!$BE$2:$BE$9,0)),"")</f>
        <v/>
      </c>
      <c r="D344" s="111" t="str">
        <f aca="false">IFERROR(INDEX('Historical Data'!$D$2:$D$9,MATCH($A344,'Historical Data'!$BE$2:$BE$9,0)),"")</f>
        <v/>
      </c>
      <c r="E344" s="112" t="str">
        <f aca="false">IFERROR(INDEX('Historical Data'!$E$2:$E$9,MATCH($A344,'Historical Data'!$BE$2:$BE$9,0)),"")</f>
        <v/>
      </c>
      <c r="F344" s="111" t="str">
        <f aca="false">IFERROR(INDEX('Historical Data'!$G$2:$G$9,MATCH($A344,'Historical Data'!$BE$2:$BE$9,0)),"")</f>
        <v/>
      </c>
      <c r="G344" s="111" t="str">
        <f aca="false">IFERROR(INDEX('Historical Data'!$Y$2:$Y$9,MATCH($A344,'Historical Data'!$BE$2:$BE$9,0)),"")</f>
        <v/>
      </c>
      <c r="H344" s="111" t="str">
        <f aca="false">IFERROR(INDEX('Historical Data'!$K$2:$K$9,MATCH($A344,'Historical Data'!$BE$2:$BE$9,0)),"")</f>
        <v/>
      </c>
      <c r="I344" s="111" t="str">
        <f aca="false">IFERROR(INDEX('Historical Data'!$J$2:$J$9,MATCH($A344,'Historical Data'!$BE$2:$BE$9,0)),"")</f>
        <v/>
      </c>
      <c r="J344" s="111" t="str">
        <f aca="false">IFERROR(INDEX('Historical Data'!$L$2:$L$9,MATCH($A344,'Historical Data'!$BE$2:$BE$9,0)),"")</f>
        <v/>
      </c>
      <c r="K344" s="113" t="str">
        <f aca="false">IFERROR(INDEX('Historical Data'!$M$2:$M$9,MATCH($A344,'Historical Data'!$BE$2:$BE$9,0)),"")</f>
        <v/>
      </c>
      <c r="L344" s="114" t="str">
        <f aca="false">IFERROR(INDEX('Historical Data'!$N$2:$N$9,MATCH($A344,'Historical Data'!$BE$2:$BE$9,0)),"")</f>
        <v/>
      </c>
      <c r="M344" s="114" t="str">
        <f aca="false">IFERROR(INDEX('Historical Data'!$Q$2:$Q$9,MATCH($A344,'Historical Data'!$BE$2:$BE$9,0)),"")</f>
        <v/>
      </c>
      <c r="N344" s="115" t="str">
        <f aca="false">IFERROR(INDEX('Historical Data'!$S$2:$S$9,MATCH($A344,'Historical Data'!$BE$2:$BE$9,0)),"")</f>
        <v/>
      </c>
      <c r="O344" s="114" t="str">
        <f aca="false">IFERROR(INDEX('Historical Data'!$AJ$2:$AJ$9,MATCH($A344,'Historical Data'!$BE$2:$BE$9,0)),"")</f>
        <v/>
      </c>
      <c r="P344" s="114" t="str">
        <f aca="false">IFERROR(INDEX('Historical Data'!$AK$2:$AK$9,MATCH($A344,'Historical Data'!$BE$2:$BE$9,0)),"")</f>
        <v/>
      </c>
      <c r="Q344" s="111" t="str">
        <f aca="false">IFERROR(INDEX('Historical Data'!$AA$2:$AA$9,MATCH($A344,'Historical Data'!$BE$2:$BE$9,0)),"")</f>
        <v/>
      </c>
      <c r="R344" s="111" t="str">
        <f aca="false">IFERROR(INDEX('Historical Data'!$AB$2:$AB$9,MATCH($A344,'Historical Data'!$BE$2:$BE$9,0)),"")</f>
        <v/>
      </c>
      <c r="S344" s="111" t="str">
        <f aca="false">IFERROR(INDEX('Historical Data'!$AN$2:$AN$9,MATCH($A344,'Historical Data'!$BE$2:$BE$9,0)),"")</f>
        <v/>
      </c>
      <c r="T344" s="111" t="str">
        <f aca="false">IFERROR(INDEX('Historical Data'!$AC$2:$AC$9,MATCH($A344,'Historical Data'!$BE$2:$BE$9,0)),"")</f>
        <v/>
      </c>
      <c r="U344" s="111" t="str">
        <f aca="false">IFERROR(INDEX('Historical Data'!$AE$2:$AE$9,MATCH($A344,'Historical Data'!$BE$2:$BE$9,0)),"")</f>
        <v/>
      </c>
      <c r="V344" s="111" t="str">
        <f aca="false">IFERROR(INDEX('Historical Data'!$AH$2:$AH$9,MATCH($A344,'Historical Data'!$BE$2:$BE$9,0)),"")</f>
        <v/>
      </c>
      <c r="W344" s="111" t="str">
        <f aca="false">IFERROR(INDEX('Historical Data'!$BC$2:$BC$9,MATCH($A344,'Historical Data'!$BE$2:$BE$9,0)),"")</f>
        <v/>
      </c>
      <c r="X344" s="110" t="str">
        <f aca="false">IF(B344="","",IF(W344=1,"NR + industry + position",IF(W344=2,"NR + ISO + position",IF(W344=3,"NR + industry",IF(W344=4,"NR + ISO",IF(W344=5,"NR + position",IF(W344=6,"NR only","book baseline"))))))&amp;"  ["&amp;IF(T344=1,"seasoned","unseasoned")&amp;IF(U344=1,", defaulted","")&amp;IF(V344=1,", open","")&amp;"]")</f>
        <v/>
      </c>
    </row>
    <row r="345" customFormat="false" ht="15" hidden="false" customHeight="false" outlineLevel="0" collapsed="false">
      <c r="A345" s="110" t="n">
        <v>341</v>
      </c>
      <c r="B345" s="111" t="str">
        <f aca="false">IFERROR(INDEX('Historical Data'!$A$2:$A$9,MATCH($A345,'Historical Data'!$BE$2:$BE$9,0)),"")</f>
        <v/>
      </c>
      <c r="C345" s="111" t="str">
        <f aca="false">IFERROR(INDEX('Historical Data'!$B$2:$B$9,MATCH($A345,'Historical Data'!$BE$2:$BE$9,0)),"")</f>
        <v/>
      </c>
      <c r="D345" s="111" t="str">
        <f aca="false">IFERROR(INDEX('Historical Data'!$D$2:$D$9,MATCH($A345,'Historical Data'!$BE$2:$BE$9,0)),"")</f>
        <v/>
      </c>
      <c r="E345" s="112" t="str">
        <f aca="false">IFERROR(INDEX('Historical Data'!$E$2:$E$9,MATCH($A345,'Historical Data'!$BE$2:$BE$9,0)),"")</f>
        <v/>
      </c>
      <c r="F345" s="111" t="str">
        <f aca="false">IFERROR(INDEX('Historical Data'!$G$2:$G$9,MATCH($A345,'Historical Data'!$BE$2:$BE$9,0)),"")</f>
        <v/>
      </c>
      <c r="G345" s="111" t="str">
        <f aca="false">IFERROR(INDEX('Historical Data'!$Y$2:$Y$9,MATCH($A345,'Historical Data'!$BE$2:$BE$9,0)),"")</f>
        <v/>
      </c>
      <c r="H345" s="111" t="str">
        <f aca="false">IFERROR(INDEX('Historical Data'!$K$2:$K$9,MATCH($A345,'Historical Data'!$BE$2:$BE$9,0)),"")</f>
        <v/>
      </c>
      <c r="I345" s="111" t="str">
        <f aca="false">IFERROR(INDEX('Historical Data'!$J$2:$J$9,MATCH($A345,'Historical Data'!$BE$2:$BE$9,0)),"")</f>
        <v/>
      </c>
      <c r="J345" s="111" t="str">
        <f aca="false">IFERROR(INDEX('Historical Data'!$L$2:$L$9,MATCH($A345,'Historical Data'!$BE$2:$BE$9,0)),"")</f>
        <v/>
      </c>
      <c r="K345" s="113" t="str">
        <f aca="false">IFERROR(INDEX('Historical Data'!$M$2:$M$9,MATCH($A345,'Historical Data'!$BE$2:$BE$9,0)),"")</f>
        <v/>
      </c>
      <c r="L345" s="114" t="str">
        <f aca="false">IFERROR(INDEX('Historical Data'!$N$2:$N$9,MATCH($A345,'Historical Data'!$BE$2:$BE$9,0)),"")</f>
        <v/>
      </c>
      <c r="M345" s="114" t="str">
        <f aca="false">IFERROR(INDEX('Historical Data'!$Q$2:$Q$9,MATCH($A345,'Historical Data'!$BE$2:$BE$9,0)),"")</f>
        <v/>
      </c>
      <c r="N345" s="115" t="str">
        <f aca="false">IFERROR(INDEX('Historical Data'!$S$2:$S$9,MATCH($A345,'Historical Data'!$BE$2:$BE$9,0)),"")</f>
        <v/>
      </c>
      <c r="O345" s="114" t="str">
        <f aca="false">IFERROR(INDEX('Historical Data'!$AJ$2:$AJ$9,MATCH($A345,'Historical Data'!$BE$2:$BE$9,0)),"")</f>
        <v/>
      </c>
      <c r="P345" s="114" t="str">
        <f aca="false">IFERROR(INDEX('Historical Data'!$AK$2:$AK$9,MATCH($A345,'Historical Data'!$BE$2:$BE$9,0)),"")</f>
        <v/>
      </c>
      <c r="Q345" s="111" t="str">
        <f aca="false">IFERROR(INDEX('Historical Data'!$AA$2:$AA$9,MATCH($A345,'Historical Data'!$BE$2:$BE$9,0)),"")</f>
        <v/>
      </c>
      <c r="R345" s="111" t="str">
        <f aca="false">IFERROR(INDEX('Historical Data'!$AB$2:$AB$9,MATCH($A345,'Historical Data'!$BE$2:$BE$9,0)),"")</f>
        <v/>
      </c>
      <c r="S345" s="111" t="str">
        <f aca="false">IFERROR(INDEX('Historical Data'!$AN$2:$AN$9,MATCH($A345,'Historical Data'!$BE$2:$BE$9,0)),"")</f>
        <v/>
      </c>
      <c r="T345" s="111" t="str">
        <f aca="false">IFERROR(INDEX('Historical Data'!$AC$2:$AC$9,MATCH($A345,'Historical Data'!$BE$2:$BE$9,0)),"")</f>
        <v/>
      </c>
      <c r="U345" s="111" t="str">
        <f aca="false">IFERROR(INDEX('Historical Data'!$AE$2:$AE$9,MATCH($A345,'Historical Data'!$BE$2:$BE$9,0)),"")</f>
        <v/>
      </c>
      <c r="V345" s="111" t="str">
        <f aca="false">IFERROR(INDEX('Historical Data'!$AH$2:$AH$9,MATCH($A345,'Historical Data'!$BE$2:$BE$9,0)),"")</f>
        <v/>
      </c>
      <c r="W345" s="111" t="str">
        <f aca="false">IFERROR(INDEX('Historical Data'!$BC$2:$BC$9,MATCH($A345,'Historical Data'!$BE$2:$BE$9,0)),"")</f>
        <v/>
      </c>
      <c r="X345" s="110" t="str">
        <f aca="false">IF(B345="","",IF(W345=1,"NR + industry + position",IF(W345=2,"NR + ISO + position",IF(W345=3,"NR + industry",IF(W345=4,"NR + ISO",IF(W345=5,"NR + position",IF(W345=6,"NR only","book baseline"))))))&amp;"  ["&amp;IF(T345=1,"seasoned","unseasoned")&amp;IF(U345=1,", defaulted","")&amp;IF(V345=1,", open","")&amp;"]")</f>
        <v/>
      </c>
    </row>
    <row r="346" customFormat="false" ht="15" hidden="false" customHeight="false" outlineLevel="0" collapsed="false">
      <c r="A346" s="110" t="n">
        <v>342</v>
      </c>
      <c r="B346" s="111" t="str">
        <f aca="false">IFERROR(INDEX('Historical Data'!$A$2:$A$9,MATCH($A346,'Historical Data'!$BE$2:$BE$9,0)),"")</f>
        <v/>
      </c>
      <c r="C346" s="111" t="str">
        <f aca="false">IFERROR(INDEX('Historical Data'!$B$2:$B$9,MATCH($A346,'Historical Data'!$BE$2:$BE$9,0)),"")</f>
        <v/>
      </c>
      <c r="D346" s="111" t="str">
        <f aca="false">IFERROR(INDEX('Historical Data'!$D$2:$D$9,MATCH($A346,'Historical Data'!$BE$2:$BE$9,0)),"")</f>
        <v/>
      </c>
      <c r="E346" s="112" t="str">
        <f aca="false">IFERROR(INDEX('Historical Data'!$E$2:$E$9,MATCH($A346,'Historical Data'!$BE$2:$BE$9,0)),"")</f>
        <v/>
      </c>
      <c r="F346" s="111" t="str">
        <f aca="false">IFERROR(INDEX('Historical Data'!$G$2:$G$9,MATCH($A346,'Historical Data'!$BE$2:$BE$9,0)),"")</f>
        <v/>
      </c>
      <c r="G346" s="111" t="str">
        <f aca="false">IFERROR(INDEX('Historical Data'!$Y$2:$Y$9,MATCH($A346,'Historical Data'!$BE$2:$BE$9,0)),"")</f>
        <v/>
      </c>
      <c r="H346" s="111" t="str">
        <f aca="false">IFERROR(INDEX('Historical Data'!$K$2:$K$9,MATCH($A346,'Historical Data'!$BE$2:$BE$9,0)),"")</f>
        <v/>
      </c>
      <c r="I346" s="111" t="str">
        <f aca="false">IFERROR(INDEX('Historical Data'!$J$2:$J$9,MATCH($A346,'Historical Data'!$BE$2:$BE$9,0)),"")</f>
        <v/>
      </c>
      <c r="J346" s="111" t="str">
        <f aca="false">IFERROR(INDEX('Historical Data'!$L$2:$L$9,MATCH($A346,'Historical Data'!$BE$2:$BE$9,0)),"")</f>
        <v/>
      </c>
      <c r="K346" s="113" t="str">
        <f aca="false">IFERROR(INDEX('Historical Data'!$M$2:$M$9,MATCH($A346,'Historical Data'!$BE$2:$BE$9,0)),"")</f>
        <v/>
      </c>
      <c r="L346" s="114" t="str">
        <f aca="false">IFERROR(INDEX('Historical Data'!$N$2:$N$9,MATCH($A346,'Historical Data'!$BE$2:$BE$9,0)),"")</f>
        <v/>
      </c>
      <c r="M346" s="114" t="str">
        <f aca="false">IFERROR(INDEX('Historical Data'!$Q$2:$Q$9,MATCH($A346,'Historical Data'!$BE$2:$BE$9,0)),"")</f>
        <v/>
      </c>
      <c r="N346" s="115" t="str">
        <f aca="false">IFERROR(INDEX('Historical Data'!$S$2:$S$9,MATCH($A346,'Historical Data'!$BE$2:$BE$9,0)),"")</f>
        <v/>
      </c>
      <c r="O346" s="114" t="str">
        <f aca="false">IFERROR(INDEX('Historical Data'!$AJ$2:$AJ$9,MATCH($A346,'Historical Data'!$BE$2:$BE$9,0)),"")</f>
        <v/>
      </c>
      <c r="P346" s="114" t="str">
        <f aca="false">IFERROR(INDEX('Historical Data'!$AK$2:$AK$9,MATCH($A346,'Historical Data'!$BE$2:$BE$9,0)),"")</f>
        <v/>
      </c>
      <c r="Q346" s="111" t="str">
        <f aca="false">IFERROR(INDEX('Historical Data'!$AA$2:$AA$9,MATCH($A346,'Historical Data'!$BE$2:$BE$9,0)),"")</f>
        <v/>
      </c>
      <c r="R346" s="111" t="str">
        <f aca="false">IFERROR(INDEX('Historical Data'!$AB$2:$AB$9,MATCH($A346,'Historical Data'!$BE$2:$BE$9,0)),"")</f>
        <v/>
      </c>
      <c r="S346" s="111" t="str">
        <f aca="false">IFERROR(INDEX('Historical Data'!$AN$2:$AN$9,MATCH($A346,'Historical Data'!$BE$2:$BE$9,0)),"")</f>
        <v/>
      </c>
      <c r="T346" s="111" t="str">
        <f aca="false">IFERROR(INDEX('Historical Data'!$AC$2:$AC$9,MATCH($A346,'Historical Data'!$BE$2:$BE$9,0)),"")</f>
        <v/>
      </c>
      <c r="U346" s="111" t="str">
        <f aca="false">IFERROR(INDEX('Historical Data'!$AE$2:$AE$9,MATCH($A346,'Historical Data'!$BE$2:$BE$9,0)),"")</f>
        <v/>
      </c>
      <c r="V346" s="111" t="str">
        <f aca="false">IFERROR(INDEX('Historical Data'!$AH$2:$AH$9,MATCH($A346,'Historical Data'!$BE$2:$BE$9,0)),"")</f>
        <v/>
      </c>
      <c r="W346" s="111" t="str">
        <f aca="false">IFERROR(INDEX('Historical Data'!$BC$2:$BC$9,MATCH($A346,'Historical Data'!$BE$2:$BE$9,0)),"")</f>
        <v/>
      </c>
      <c r="X346" s="110" t="str">
        <f aca="false">IF(B346="","",IF(W346=1,"NR + industry + position",IF(W346=2,"NR + ISO + position",IF(W346=3,"NR + industry",IF(W346=4,"NR + ISO",IF(W346=5,"NR + position",IF(W346=6,"NR only","book baseline"))))))&amp;"  ["&amp;IF(T346=1,"seasoned","unseasoned")&amp;IF(U346=1,", defaulted","")&amp;IF(V346=1,", open","")&amp;"]")</f>
        <v/>
      </c>
    </row>
    <row r="347" customFormat="false" ht="15" hidden="false" customHeight="false" outlineLevel="0" collapsed="false">
      <c r="A347" s="110" t="n">
        <v>343</v>
      </c>
      <c r="B347" s="111" t="str">
        <f aca="false">IFERROR(INDEX('Historical Data'!$A$2:$A$9,MATCH($A347,'Historical Data'!$BE$2:$BE$9,0)),"")</f>
        <v/>
      </c>
      <c r="C347" s="111" t="str">
        <f aca="false">IFERROR(INDEX('Historical Data'!$B$2:$B$9,MATCH($A347,'Historical Data'!$BE$2:$BE$9,0)),"")</f>
        <v/>
      </c>
      <c r="D347" s="111" t="str">
        <f aca="false">IFERROR(INDEX('Historical Data'!$D$2:$D$9,MATCH($A347,'Historical Data'!$BE$2:$BE$9,0)),"")</f>
        <v/>
      </c>
      <c r="E347" s="112" t="str">
        <f aca="false">IFERROR(INDEX('Historical Data'!$E$2:$E$9,MATCH($A347,'Historical Data'!$BE$2:$BE$9,0)),"")</f>
        <v/>
      </c>
      <c r="F347" s="111" t="str">
        <f aca="false">IFERROR(INDEX('Historical Data'!$G$2:$G$9,MATCH($A347,'Historical Data'!$BE$2:$BE$9,0)),"")</f>
        <v/>
      </c>
      <c r="G347" s="111" t="str">
        <f aca="false">IFERROR(INDEX('Historical Data'!$Y$2:$Y$9,MATCH($A347,'Historical Data'!$BE$2:$BE$9,0)),"")</f>
        <v/>
      </c>
      <c r="H347" s="111" t="str">
        <f aca="false">IFERROR(INDEX('Historical Data'!$K$2:$K$9,MATCH($A347,'Historical Data'!$BE$2:$BE$9,0)),"")</f>
        <v/>
      </c>
      <c r="I347" s="111" t="str">
        <f aca="false">IFERROR(INDEX('Historical Data'!$J$2:$J$9,MATCH($A347,'Historical Data'!$BE$2:$BE$9,0)),"")</f>
        <v/>
      </c>
      <c r="J347" s="111" t="str">
        <f aca="false">IFERROR(INDEX('Historical Data'!$L$2:$L$9,MATCH($A347,'Historical Data'!$BE$2:$BE$9,0)),"")</f>
        <v/>
      </c>
      <c r="K347" s="113" t="str">
        <f aca="false">IFERROR(INDEX('Historical Data'!$M$2:$M$9,MATCH($A347,'Historical Data'!$BE$2:$BE$9,0)),"")</f>
        <v/>
      </c>
      <c r="L347" s="114" t="str">
        <f aca="false">IFERROR(INDEX('Historical Data'!$N$2:$N$9,MATCH($A347,'Historical Data'!$BE$2:$BE$9,0)),"")</f>
        <v/>
      </c>
      <c r="M347" s="114" t="str">
        <f aca="false">IFERROR(INDEX('Historical Data'!$Q$2:$Q$9,MATCH($A347,'Historical Data'!$BE$2:$BE$9,0)),"")</f>
        <v/>
      </c>
      <c r="N347" s="115" t="str">
        <f aca="false">IFERROR(INDEX('Historical Data'!$S$2:$S$9,MATCH($A347,'Historical Data'!$BE$2:$BE$9,0)),"")</f>
        <v/>
      </c>
      <c r="O347" s="114" t="str">
        <f aca="false">IFERROR(INDEX('Historical Data'!$AJ$2:$AJ$9,MATCH($A347,'Historical Data'!$BE$2:$BE$9,0)),"")</f>
        <v/>
      </c>
      <c r="P347" s="114" t="str">
        <f aca="false">IFERROR(INDEX('Historical Data'!$AK$2:$AK$9,MATCH($A347,'Historical Data'!$BE$2:$BE$9,0)),"")</f>
        <v/>
      </c>
      <c r="Q347" s="111" t="str">
        <f aca="false">IFERROR(INDEX('Historical Data'!$AA$2:$AA$9,MATCH($A347,'Historical Data'!$BE$2:$BE$9,0)),"")</f>
        <v/>
      </c>
      <c r="R347" s="111" t="str">
        <f aca="false">IFERROR(INDEX('Historical Data'!$AB$2:$AB$9,MATCH($A347,'Historical Data'!$BE$2:$BE$9,0)),"")</f>
        <v/>
      </c>
      <c r="S347" s="111" t="str">
        <f aca="false">IFERROR(INDEX('Historical Data'!$AN$2:$AN$9,MATCH($A347,'Historical Data'!$BE$2:$BE$9,0)),"")</f>
        <v/>
      </c>
      <c r="T347" s="111" t="str">
        <f aca="false">IFERROR(INDEX('Historical Data'!$AC$2:$AC$9,MATCH($A347,'Historical Data'!$BE$2:$BE$9,0)),"")</f>
        <v/>
      </c>
      <c r="U347" s="111" t="str">
        <f aca="false">IFERROR(INDEX('Historical Data'!$AE$2:$AE$9,MATCH($A347,'Historical Data'!$BE$2:$BE$9,0)),"")</f>
        <v/>
      </c>
      <c r="V347" s="111" t="str">
        <f aca="false">IFERROR(INDEX('Historical Data'!$AH$2:$AH$9,MATCH($A347,'Historical Data'!$BE$2:$BE$9,0)),"")</f>
        <v/>
      </c>
      <c r="W347" s="111" t="str">
        <f aca="false">IFERROR(INDEX('Historical Data'!$BC$2:$BC$9,MATCH($A347,'Historical Data'!$BE$2:$BE$9,0)),"")</f>
        <v/>
      </c>
      <c r="X347" s="110" t="str">
        <f aca="false">IF(B347="","",IF(W347=1,"NR + industry + position",IF(W347=2,"NR + ISO + position",IF(W347=3,"NR + industry",IF(W347=4,"NR + ISO",IF(W347=5,"NR + position",IF(W347=6,"NR only","book baseline"))))))&amp;"  ["&amp;IF(T347=1,"seasoned","unseasoned")&amp;IF(U347=1,", defaulted","")&amp;IF(V347=1,", open","")&amp;"]")</f>
        <v/>
      </c>
    </row>
    <row r="348" customFormat="false" ht="15" hidden="false" customHeight="false" outlineLevel="0" collapsed="false">
      <c r="A348" s="110" t="n">
        <v>344</v>
      </c>
      <c r="B348" s="111" t="str">
        <f aca="false">IFERROR(INDEX('Historical Data'!$A$2:$A$9,MATCH($A348,'Historical Data'!$BE$2:$BE$9,0)),"")</f>
        <v/>
      </c>
      <c r="C348" s="111" t="str">
        <f aca="false">IFERROR(INDEX('Historical Data'!$B$2:$B$9,MATCH($A348,'Historical Data'!$BE$2:$BE$9,0)),"")</f>
        <v/>
      </c>
      <c r="D348" s="111" t="str">
        <f aca="false">IFERROR(INDEX('Historical Data'!$D$2:$D$9,MATCH($A348,'Historical Data'!$BE$2:$BE$9,0)),"")</f>
        <v/>
      </c>
      <c r="E348" s="112" t="str">
        <f aca="false">IFERROR(INDEX('Historical Data'!$E$2:$E$9,MATCH($A348,'Historical Data'!$BE$2:$BE$9,0)),"")</f>
        <v/>
      </c>
      <c r="F348" s="111" t="str">
        <f aca="false">IFERROR(INDEX('Historical Data'!$G$2:$G$9,MATCH($A348,'Historical Data'!$BE$2:$BE$9,0)),"")</f>
        <v/>
      </c>
      <c r="G348" s="111" t="str">
        <f aca="false">IFERROR(INDEX('Historical Data'!$Y$2:$Y$9,MATCH($A348,'Historical Data'!$BE$2:$BE$9,0)),"")</f>
        <v/>
      </c>
      <c r="H348" s="111" t="str">
        <f aca="false">IFERROR(INDEX('Historical Data'!$K$2:$K$9,MATCH($A348,'Historical Data'!$BE$2:$BE$9,0)),"")</f>
        <v/>
      </c>
      <c r="I348" s="111" t="str">
        <f aca="false">IFERROR(INDEX('Historical Data'!$J$2:$J$9,MATCH($A348,'Historical Data'!$BE$2:$BE$9,0)),"")</f>
        <v/>
      </c>
      <c r="J348" s="111" t="str">
        <f aca="false">IFERROR(INDEX('Historical Data'!$L$2:$L$9,MATCH($A348,'Historical Data'!$BE$2:$BE$9,0)),"")</f>
        <v/>
      </c>
      <c r="K348" s="113" t="str">
        <f aca="false">IFERROR(INDEX('Historical Data'!$M$2:$M$9,MATCH($A348,'Historical Data'!$BE$2:$BE$9,0)),"")</f>
        <v/>
      </c>
      <c r="L348" s="114" t="str">
        <f aca="false">IFERROR(INDEX('Historical Data'!$N$2:$N$9,MATCH($A348,'Historical Data'!$BE$2:$BE$9,0)),"")</f>
        <v/>
      </c>
      <c r="M348" s="114" t="str">
        <f aca="false">IFERROR(INDEX('Historical Data'!$Q$2:$Q$9,MATCH($A348,'Historical Data'!$BE$2:$BE$9,0)),"")</f>
        <v/>
      </c>
      <c r="N348" s="115" t="str">
        <f aca="false">IFERROR(INDEX('Historical Data'!$S$2:$S$9,MATCH($A348,'Historical Data'!$BE$2:$BE$9,0)),"")</f>
        <v/>
      </c>
      <c r="O348" s="114" t="str">
        <f aca="false">IFERROR(INDEX('Historical Data'!$AJ$2:$AJ$9,MATCH($A348,'Historical Data'!$BE$2:$BE$9,0)),"")</f>
        <v/>
      </c>
      <c r="P348" s="114" t="str">
        <f aca="false">IFERROR(INDEX('Historical Data'!$AK$2:$AK$9,MATCH($A348,'Historical Data'!$BE$2:$BE$9,0)),"")</f>
        <v/>
      </c>
      <c r="Q348" s="111" t="str">
        <f aca="false">IFERROR(INDEX('Historical Data'!$AA$2:$AA$9,MATCH($A348,'Historical Data'!$BE$2:$BE$9,0)),"")</f>
        <v/>
      </c>
      <c r="R348" s="111" t="str">
        <f aca="false">IFERROR(INDEX('Historical Data'!$AB$2:$AB$9,MATCH($A348,'Historical Data'!$BE$2:$BE$9,0)),"")</f>
        <v/>
      </c>
      <c r="S348" s="111" t="str">
        <f aca="false">IFERROR(INDEX('Historical Data'!$AN$2:$AN$9,MATCH($A348,'Historical Data'!$BE$2:$BE$9,0)),"")</f>
        <v/>
      </c>
      <c r="T348" s="111" t="str">
        <f aca="false">IFERROR(INDEX('Historical Data'!$AC$2:$AC$9,MATCH($A348,'Historical Data'!$BE$2:$BE$9,0)),"")</f>
        <v/>
      </c>
      <c r="U348" s="111" t="str">
        <f aca="false">IFERROR(INDEX('Historical Data'!$AE$2:$AE$9,MATCH($A348,'Historical Data'!$BE$2:$BE$9,0)),"")</f>
        <v/>
      </c>
      <c r="V348" s="111" t="str">
        <f aca="false">IFERROR(INDEX('Historical Data'!$AH$2:$AH$9,MATCH($A348,'Historical Data'!$BE$2:$BE$9,0)),"")</f>
        <v/>
      </c>
      <c r="W348" s="111" t="str">
        <f aca="false">IFERROR(INDEX('Historical Data'!$BC$2:$BC$9,MATCH($A348,'Historical Data'!$BE$2:$BE$9,0)),"")</f>
        <v/>
      </c>
      <c r="X348" s="110" t="str">
        <f aca="false">IF(B348="","",IF(W348=1,"NR + industry + position",IF(W348=2,"NR + ISO + position",IF(W348=3,"NR + industry",IF(W348=4,"NR + ISO",IF(W348=5,"NR + position",IF(W348=6,"NR only","book baseline"))))))&amp;"  ["&amp;IF(T348=1,"seasoned","unseasoned")&amp;IF(U348=1,", defaulted","")&amp;IF(V348=1,", open","")&amp;"]")</f>
        <v/>
      </c>
    </row>
    <row r="349" customFormat="false" ht="15" hidden="false" customHeight="false" outlineLevel="0" collapsed="false">
      <c r="A349" s="110" t="n">
        <v>345</v>
      </c>
      <c r="B349" s="111" t="str">
        <f aca="false">IFERROR(INDEX('Historical Data'!$A$2:$A$9,MATCH($A349,'Historical Data'!$BE$2:$BE$9,0)),"")</f>
        <v/>
      </c>
      <c r="C349" s="111" t="str">
        <f aca="false">IFERROR(INDEX('Historical Data'!$B$2:$B$9,MATCH($A349,'Historical Data'!$BE$2:$BE$9,0)),"")</f>
        <v/>
      </c>
      <c r="D349" s="111" t="str">
        <f aca="false">IFERROR(INDEX('Historical Data'!$D$2:$D$9,MATCH($A349,'Historical Data'!$BE$2:$BE$9,0)),"")</f>
        <v/>
      </c>
      <c r="E349" s="112" t="str">
        <f aca="false">IFERROR(INDEX('Historical Data'!$E$2:$E$9,MATCH($A349,'Historical Data'!$BE$2:$BE$9,0)),"")</f>
        <v/>
      </c>
      <c r="F349" s="111" t="str">
        <f aca="false">IFERROR(INDEX('Historical Data'!$G$2:$G$9,MATCH($A349,'Historical Data'!$BE$2:$BE$9,0)),"")</f>
        <v/>
      </c>
      <c r="G349" s="111" t="str">
        <f aca="false">IFERROR(INDEX('Historical Data'!$Y$2:$Y$9,MATCH($A349,'Historical Data'!$BE$2:$BE$9,0)),"")</f>
        <v/>
      </c>
      <c r="H349" s="111" t="str">
        <f aca="false">IFERROR(INDEX('Historical Data'!$K$2:$K$9,MATCH($A349,'Historical Data'!$BE$2:$BE$9,0)),"")</f>
        <v/>
      </c>
      <c r="I349" s="111" t="str">
        <f aca="false">IFERROR(INDEX('Historical Data'!$J$2:$J$9,MATCH($A349,'Historical Data'!$BE$2:$BE$9,0)),"")</f>
        <v/>
      </c>
      <c r="J349" s="111" t="str">
        <f aca="false">IFERROR(INDEX('Historical Data'!$L$2:$L$9,MATCH($A349,'Historical Data'!$BE$2:$BE$9,0)),"")</f>
        <v/>
      </c>
      <c r="K349" s="113" t="str">
        <f aca="false">IFERROR(INDEX('Historical Data'!$M$2:$M$9,MATCH($A349,'Historical Data'!$BE$2:$BE$9,0)),"")</f>
        <v/>
      </c>
      <c r="L349" s="114" t="str">
        <f aca="false">IFERROR(INDEX('Historical Data'!$N$2:$N$9,MATCH($A349,'Historical Data'!$BE$2:$BE$9,0)),"")</f>
        <v/>
      </c>
      <c r="M349" s="114" t="str">
        <f aca="false">IFERROR(INDEX('Historical Data'!$Q$2:$Q$9,MATCH($A349,'Historical Data'!$BE$2:$BE$9,0)),"")</f>
        <v/>
      </c>
      <c r="N349" s="115" t="str">
        <f aca="false">IFERROR(INDEX('Historical Data'!$S$2:$S$9,MATCH($A349,'Historical Data'!$BE$2:$BE$9,0)),"")</f>
        <v/>
      </c>
      <c r="O349" s="114" t="str">
        <f aca="false">IFERROR(INDEX('Historical Data'!$AJ$2:$AJ$9,MATCH($A349,'Historical Data'!$BE$2:$BE$9,0)),"")</f>
        <v/>
      </c>
      <c r="P349" s="114" t="str">
        <f aca="false">IFERROR(INDEX('Historical Data'!$AK$2:$AK$9,MATCH($A349,'Historical Data'!$BE$2:$BE$9,0)),"")</f>
        <v/>
      </c>
      <c r="Q349" s="111" t="str">
        <f aca="false">IFERROR(INDEX('Historical Data'!$AA$2:$AA$9,MATCH($A349,'Historical Data'!$BE$2:$BE$9,0)),"")</f>
        <v/>
      </c>
      <c r="R349" s="111" t="str">
        <f aca="false">IFERROR(INDEX('Historical Data'!$AB$2:$AB$9,MATCH($A349,'Historical Data'!$BE$2:$BE$9,0)),"")</f>
        <v/>
      </c>
      <c r="S349" s="111" t="str">
        <f aca="false">IFERROR(INDEX('Historical Data'!$AN$2:$AN$9,MATCH($A349,'Historical Data'!$BE$2:$BE$9,0)),"")</f>
        <v/>
      </c>
      <c r="T349" s="111" t="str">
        <f aca="false">IFERROR(INDEX('Historical Data'!$AC$2:$AC$9,MATCH($A349,'Historical Data'!$BE$2:$BE$9,0)),"")</f>
        <v/>
      </c>
      <c r="U349" s="111" t="str">
        <f aca="false">IFERROR(INDEX('Historical Data'!$AE$2:$AE$9,MATCH($A349,'Historical Data'!$BE$2:$BE$9,0)),"")</f>
        <v/>
      </c>
      <c r="V349" s="111" t="str">
        <f aca="false">IFERROR(INDEX('Historical Data'!$AH$2:$AH$9,MATCH($A349,'Historical Data'!$BE$2:$BE$9,0)),"")</f>
        <v/>
      </c>
      <c r="W349" s="111" t="str">
        <f aca="false">IFERROR(INDEX('Historical Data'!$BC$2:$BC$9,MATCH($A349,'Historical Data'!$BE$2:$BE$9,0)),"")</f>
        <v/>
      </c>
      <c r="X349" s="110" t="str">
        <f aca="false">IF(B349="","",IF(W349=1,"NR + industry + position",IF(W349=2,"NR + ISO + position",IF(W349=3,"NR + industry",IF(W349=4,"NR + ISO",IF(W349=5,"NR + position",IF(W349=6,"NR only","book baseline"))))))&amp;"  ["&amp;IF(T349=1,"seasoned","unseasoned")&amp;IF(U349=1,", defaulted","")&amp;IF(V349=1,", open","")&amp;"]")</f>
        <v/>
      </c>
    </row>
    <row r="350" customFormat="false" ht="15" hidden="false" customHeight="false" outlineLevel="0" collapsed="false">
      <c r="A350" s="110" t="n">
        <v>346</v>
      </c>
      <c r="B350" s="111" t="str">
        <f aca="false">IFERROR(INDEX('Historical Data'!$A$2:$A$9,MATCH($A350,'Historical Data'!$BE$2:$BE$9,0)),"")</f>
        <v/>
      </c>
      <c r="C350" s="111" t="str">
        <f aca="false">IFERROR(INDEX('Historical Data'!$B$2:$B$9,MATCH($A350,'Historical Data'!$BE$2:$BE$9,0)),"")</f>
        <v/>
      </c>
      <c r="D350" s="111" t="str">
        <f aca="false">IFERROR(INDEX('Historical Data'!$D$2:$D$9,MATCH($A350,'Historical Data'!$BE$2:$BE$9,0)),"")</f>
        <v/>
      </c>
      <c r="E350" s="112" t="str">
        <f aca="false">IFERROR(INDEX('Historical Data'!$E$2:$E$9,MATCH($A350,'Historical Data'!$BE$2:$BE$9,0)),"")</f>
        <v/>
      </c>
      <c r="F350" s="111" t="str">
        <f aca="false">IFERROR(INDEX('Historical Data'!$G$2:$G$9,MATCH($A350,'Historical Data'!$BE$2:$BE$9,0)),"")</f>
        <v/>
      </c>
      <c r="G350" s="111" t="str">
        <f aca="false">IFERROR(INDEX('Historical Data'!$Y$2:$Y$9,MATCH($A350,'Historical Data'!$BE$2:$BE$9,0)),"")</f>
        <v/>
      </c>
      <c r="H350" s="111" t="str">
        <f aca="false">IFERROR(INDEX('Historical Data'!$K$2:$K$9,MATCH($A350,'Historical Data'!$BE$2:$BE$9,0)),"")</f>
        <v/>
      </c>
      <c r="I350" s="111" t="str">
        <f aca="false">IFERROR(INDEX('Historical Data'!$J$2:$J$9,MATCH($A350,'Historical Data'!$BE$2:$BE$9,0)),"")</f>
        <v/>
      </c>
      <c r="J350" s="111" t="str">
        <f aca="false">IFERROR(INDEX('Historical Data'!$L$2:$L$9,MATCH($A350,'Historical Data'!$BE$2:$BE$9,0)),"")</f>
        <v/>
      </c>
      <c r="K350" s="113" t="str">
        <f aca="false">IFERROR(INDEX('Historical Data'!$M$2:$M$9,MATCH($A350,'Historical Data'!$BE$2:$BE$9,0)),"")</f>
        <v/>
      </c>
      <c r="L350" s="114" t="str">
        <f aca="false">IFERROR(INDEX('Historical Data'!$N$2:$N$9,MATCH($A350,'Historical Data'!$BE$2:$BE$9,0)),"")</f>
        <v/>
      </c>
      <c r="M350" s="114" t="str">
        <f aca="false">IFERROR(INDEX('Historical Data'!$Q$2:$Q$9,MATCH($A350,'Historical Data'!$BE$2:$BE$9,0)),"")</f>
        <v/>
      </c>
      <c r="N350" s="115" t="str">
        <f aca="false">IFERROR(INDEX('Historical Data'!$S$2:$S$9,MATCH($A350,'Historical Data'!$BE$2:$BE$9,0)),"")</f>
        <v/>
      </c>
      <c r="O350" s="114" t="str">
        <f aca="false">IFERROR(INDEX('Historical Data'!$AJ$2:$AJ$9,MATCH($A350,'Historical Data'!$BE$2:$BE$9,0)),"")</f>
        <v/>
      </c>
      <c r="P350" s="114" t="str">
        <f aca="false">IFERROR(INDEX('Historical Data'!$AK$2:$AK$9,MATCH($A350,'Historical Data'!$BE$2:$BE$9,0)),"")</f>
        <v/>
      </c>
      <c r="Q350" s="111" t="str">
        <f aca="false">IFERROR(INDEX('Historical Data'!$AA$2:$AA$9,MATCH($A350,'Historical Data'!$BE$2:$BE$9,0)),"")</f>
        <v/>
      </c>
      <c r="R350" s="111" t="str">
        <f aca="false">IFERROR(INDEX('Historical Data'!$AB$2:$AB$9,MATCH($A350,'Historical Data'!$BE$2:$BE$9,0)),"")</f>
        <v/>
      </c>
      <c r="S350" s="111" t="str">
        <f aca="false">IFERROR(INDEX('Historical Data'!$AN$2:$AN$9,MATCH($A350,'Historical Data'!$BE$2:$BE$9,0)),"")</f>
        <v/>
      </c>
      <c r="T350" s="111" t="str">
        <f aca="false">IFERROR(INDEX('Historical Data'!$AC$2:$AC$9,MATCH($A350,'Historical Data'!$BE$2:$BE$9,0)),"")</f>
        <v/>
      </c>
      <c r="U350" s="111" t="str">
        <f aca="false">IFERROR(INDEX('Historical Data'!$AE$2:$AE$9,MATCH($A350,'Historical Data'!$BE$2:$BE$9,0)),"")</f>
        <v/>
      </c>
      <c r="V350" s="111" t="str">
        <f aca="false">IFERROR(INDEX('Historical Data'!$AH$2:$AH$9,MATCH($A350,'Historical Data'!$BE$2:$BE$9,0)),"")</f>
        <v/>
      </c>
      <c r="W350" s="111" t="str">
        <f aca="false">IFERROR(INDEX('Historical Data'!$BC$2:$BC$9,MATCH($A350,'Historical Data'!$BE$2:$BE$9,0)),"")</f>
        <v/>
      </c>
      <c r="X350" s="110" t="str">
        <f aca="false">IF(B350="","",IF(W350=1,"NR + industry + position",IF(W350=2,"NR + ISO + position",IF(W350=3,"NR + industry",IF(W350=4,"NR + ISO",IF(W350=5,"NR + position",IF(W350=6,"NR only","book baseline"))))))&amp;"  ["&amp;IF(T350=1,"seasoned","unseasoned")&amp;IF(U350=1,", defaulted","")&amp;IF(V350=1,", open","")&amp;"]")</f>
        <v/>
      </c>
    </row>
    <row r="351" customFormat="false" ht="15" hidden="false" customHeight="false" outlineLevel="0" collapsed="false">
      <c r="A351" s="110" t="n">
        <v>347</v>
      </c>
      <c r="B351" s="111" t="str">
        <f aca="false">IFERROR(INDEX('Historical Data'!$A$2:$A$9,MATCH($A351,'Historical Data'!$BE$2:$BE$9,0)),"")</f>
        <v/>
      </c>
      <c r="C351" s="111" t="str">
        <f aca="false">IFERROR(INDEX('Historical Data'!$B$2:$B$9,MATCH($A351,'Historical Data'!$BE$2:$BE$9,0)),"")</f>
        <v/>
      </c>
      <c r="D351" s="111" t="str">
        <f aca="false">IFERROR(INDEX('Historical Data'!$D$2:$D$9,MATCH($A351,'Historical Data'!$BE$2:$BE$9,0)),"")</f>
        <v/>
      </c>
      <c r="E351" s="112" t="str">
        <f aca="false">IFERROR(INDEX('Historical Data'!$E$2:$E$9,MATCH($A351,'Historical Data'!$BE$2:$BE$9,0)),"")</f>
        <v/>
      </c>
      <c r="F351" s="111" t="str">
        <f aca="false">IFERROR(INDEX('Historical Data'!$G$2:$G$9,MATCH($A351,'Historical Data'!$BE$2:$BE$9,0)),"")</f>
        <v/>
      </c>
      <c r="G351" s="111" t="str">
        <f aca="false">IFERROR(INDEX('Historical Data'!$Y$2:$Y$9,MATCH($A351,'Historical Data'!$BE$2:$BE$9,0)),"")</f>
        <v/>
      </c>
      <c r="H351" s="111" t="str">
        <f aca="false">IFERROR(INDEX('Historical Data'!$K$2:$K$9,MATCH($A351,'Historical Data'!$BE$2:$BE$9,0)),"")</f>
        <v/>
      </c>
      <c r="I351" s="111" t="str">
        <f aca="false">IFERROR(INDEX('Historical Data'!$J$2:$J$9,MATCH($A351,'Historical Data'!$BE$2:$BE$9,0)),"")</f>
        <v/>
      </c>
      <c r="J351" s="111" t="str">
        <f aca="false">IFERROR(INDEX('Historical Data'!$L$2:$L$9,MATCH($A351,'Historical Data'!$BE$2:$BE$9,0)),"")</f>
        <v/>
      </c>
      <c r="K351" s="113" t="str">
        <f aca="false">IFERROR(INDEX('Historical Data'!$M$2:$M$9,MATCH($A351,'Historical Data'!$BE$2:$BE$9,0)),"")</f>
        <v/>
      </c>
      <c r="L351" s="114" t="str">
        <f aca="false">IFERROR(INDEX('Historical Data'!$N$2:$N$9,MATCH($A351,'Historical Data'!$BE$2:$BE$9,0)),"")</f>
        <v/>
      </c>
      <c r="M351" s="114" t="str">
        <f aca="false">IFERROR(INDEX('Historical Data'!$Q$2:$Q$9,MATCH($A351,'Historical Data'!$BE$2:$BE$9,0)),"")</f>
        <v/>
      </c>
      <c r="N351" s="115" t="str">
        <f aca="false">IFERROR(INDEX('Historical Data'!$S$2:$S$9,MATCH($A351,'Historical Data'!$BE$2:$BE$9,0)),"")</f>
        <v/>
      </c>
      <c r="O351" s="114" t="str">
        <f aca="false">IFERROR(INDEX('Historical Data'!$AJ$2:$AJ$9,MATCH($A351,'Historical Data'!$BE$2:$BE$9,0)),"")</f>
        <v/>
      </c>
      <c r="P351" s="114" t="str">
        <f aca="false">IFERROR(INDEX('Historical Data'!$AK$2:$AK$9,MATCH($A351,'Historical Data'!$BE$2:$BE$9,0)),"")</f>
        <v/>
      </c>
      <c r="Q351" s="111" t="str">
        <f aca="false">IFERROR(INDEX('Historical Data'!$AA$2:$AA$9,MATCH($A351,'Historical Data'!$BE$2:$BE$9,0)),"")</f>
        <v/>
      </c>
      <c r="R351" s="111" t="str">
        <f aca="false">IFERROR(INDEX('Historical Data'!$AB$2:$AB$9,MATCH($A351,'Historical Data'!$BE$2:$BE$9,0)),"")</f>
        <v/>
      </c>
      <c r="S351" s="111" t="str">
        <f aca="false">IFERROR(INDEX('Historical Data'!$AN$2:$AN$9,MATCH($A351,'Historical Data'!$BE$2:$BE$9,0)),"")</f>
        <v/>
      </c>
      <c r="T351" s="111" t="str">
        <f aca="false">IFERROR(INDEX('Historical Data'!$AC$2:$AC$9,MATCH($A351,'Historical Data'!$BE$2:$BE$9,0)),"")</f>
        <v/>
      </c>
      <c r="U351" s="111" t="str">
        <f aca="false">IFERROR(INDEX('Historical Data'!$AE$2:$AE$9,MATCH($A351,'Historical Data'!$BE$2:$BE$9,0)),"")</f>
        <v/>
      </c>
      <c r="V351" s="111" t="str">
        <f aca="false">IFERROR(INDEX('Historical Data'!$AH$2:$AH$9,MATCH($A351,'Historical Data'!$BE$2:$BE$9,0)),"")</f>
        <v/>
      </c>
      <c r="W351" s="111" t="str">
        <f aca="false">IFERROR(INDEX('Historical Data'!$BC$2:$BC$9,MATCH($A351,'Historical Data'!$BE$2:$BE$9,0)),"")</f>
        <v/>
      </c>
      <c r="X351" s="110" t="str">
        <f aca="false">IF(B351="","",IF(W351=1,"NR + industry + position",IF(W351=2,"NR + ISO + position",IF(W351=3,"NR + industry",IF(W351=4,"NR + ISO",IF(W351=5,"NR + position",IF(W351=6,"NR only","book baseline"))))))&amp;"  ["&amp;IF(T351=1,"seasoned","unseasoned")&amp;IF(U351=1,", defaulted","")&amp;IF(V351=1,", open","")&amp;"]")</f>
        <v/>
      </c>
    </row>
    <row r="352" customFormat="false" ht="15" hidden="false" customHeight="false" outlineLevel="0" collapsed="false">
      <c r="A352" s="110" t="n">
        <v>348</v>
      </c>
      <c r="B352" s="111" t="str">
        <f aca="false">IFERROR(INDEX('Historical Data'!$A$2:$A$9,MATCH($A352,'Historical Data'!$BE$2:$BE$9,0)),"")</f>
        <v/>
      </c>
      <c r="C352" s="111" t="str">
        <f aca="false">IFERROR(INDEX('Historical Data'!$B$2:$B$9,MATCH($A352,'Historical Data'!$BE$2:$BE$9,0)),"")</f>
        <v/>
      </c>
      <c r="D352" s="111" t="str">
        <f aca="false">IFERROR(INDEX('Historical Data'!$D$2:$D$9,MATCH($A352,'Historical Data'!$BE$2:$BE$9,0)),"")</f>
        <v/>
      </c>
      <c r="E352" s="112" t="str">
        <f aca="false">IFERROR(INDEX('Historical Data'!$E$2:$E$9,MATCH($A352,'Historical Data'!$BE$2:$BE$9,0)),"")</f>
        <v/>
      </c>
      <c r="F352" s="111" t="str">
        <f aca="false">IFERROR(INDEX('Historical Data'!$G$2:$G$9,MATCH($A352,'Historical Data'!$BE$2:$BE$9,0)),"")</f>
        <v/>
      </c>
      <c r="G352" s="111" t="str">
        <f aca="false">IFERROR(INDEX('Historical Data'!$Y$2:$Y$9,MATCH($A352,'Historical Data'!$BE$2:$BE$9,0)),"")</f>
        <v/>
      </c>
      <c r="H352" s="111" t="str">
        <f aca="false">IFERROR(INDEX('Historical Data'!$K$2:$K$9,MATCH($A352,'Historical Data'!$BE$2:$BE$9,0)),"")</f>
        <v/>
      </c>
      <c r="I352" s="111" t="str">
        <f aca="false">IFERROR(INDEX('Historical Data'!$J$2:$J$9,MATCH($A352,'Historical Data'!$BE$2:$BE$9,0)),"")</f>
        <v/>
      </c>
      <c r="J352" s="111" t="str">
        <f aca="false">IFERROR(INDEX('Historical Data'!$L$2:$L$9,MATCH($A352,'Historical Data'!$BE$2:$BE$9,0)),"")</f>
        <v/>
      </c>
      <c r="K352" s="113" t="str">
        <f aca="false">IFERROR(INDEX('Historical Data'!$M$2:$M$9,MATCH($A352,'Historical Data'!$BE$2:$BE$9,0)),"")</f>
        <v/>
      </c>
      <c r="L352" s="114" t="str">
        <f aca="false">IFERROR(INDEX('Historical Data'!$N$2:$N$9,MATCH($A352,'Historical Data'!$BE$2:$BE$9,0)),"")</f>
        <v/>
      </c>
      <c r="M352" s="114" t="str">
        <f aca="false">IFERROR(INDEX('Historical Data'!$Q$2:$Q$9,MATCH($A352,'Historical Data'!$BE$2:$BE$9,0)),"")</f>
        <v/>
      </c>
      <c r="N352" s="115" t="str">
        <f aca="false">IFERROR(INDEX('Historical Data'!$S$2:$S$9,MATCH($A352,'Historical Data'!$BE$2:$BE$9,0)),"")</f>
        <v/>
      </c>
      <c r="O352" s="114" t="str">
        <f aca="false">IFERROR(INDEX('Historical Data'!$AJ$2:$AJ$9,MATCH($A352,'Historical Data'!$BE$2:$BE$9,0)),"")</f>
        <v/>
      </c>
      <c r="P352" s="114" t="str">
        <f aca="false">IFERROR(INDEX('Historical Data'!$AK$2:$AK$9,MATCH($A352,'Historical Data'!$BE$2:$BE$9,0)),"")</f>
        <v/>
      </c>
      <c r="Q352" s="111" t="str">
        <f aca="false">IFERROR(INDEX('Historical Data'!$AA$2:$AA$9,MATCH($A352,'Historical Data'!$BE$2:$BE$9,0)),"")</f>
        <v/>
      </c>
      <c r="R352" s="111" t="str">
        <f aca="false">IFERROR(INDEX('Historical Data'!$AB$2:$AB$9,MATCH($A352,'Historical Data'!$BE$2:$BE$9,0)),"")</f>
        <v/>
      </c>
      <c r="S352" s="111" t="str">
        <f aca="false">IFERROR(INDEX('Historical Data'!$AN$2:$AN$9,MATCH($A352,'Historical Data'!$BE$2:$BE$9,0)),"")</f>
        <v/>
      </c>
      <c r="T352" s="111" t="str">
        <f aca="false">IFERROR(INDEX('Historical Data'!$AC$2:$AC$9,MATCH($A352,'Historical Data'!$BE$2:$BE$9,0)),"")</f>
        <v/>
      </c>
      <c r="U352" s="111" t="str">
        <f aca="false">IFERROR(INDEX('Historical Data'!$AE$2:$AE$9,MATCH($A352,'Historical Data'!$BE$2:$BE$9,0)),"")</f>
        <v/>
      </c>
      <c r="V352" s="111" t="str">
        <f aca="false">IFERROR(INDEX('Historical Data'!$AH$2:$AH$9,MATCH($A352,'Historical Data'!$BE$2:$BE$9,0)),"")</f>
        <v/>
      </c>
      <c r="W352" s="111" t="str">
        <f aca="false">IFERROR(INDEX('Historical Data'!$BC$2:$BC$9,MATCH($A352,'Historical Data'!$BE$2:$BE$9,0)),"")</f>
        <v/>
      </c>
      <c r="X352" s="110" t="str">
        <f aca="false">IF(B352="","",IF(W352=1,"NR + industry + position",IF(W352=2,"NR + ISO + position",IF(W352=3,"NR + industry",IF(W352=4,"NR + ISO",IF(W352=5,"NR + position",IF(W352=6,"NR only","book baseline"))))))&amp;"  ["&amp;IF(T352=1,"seasoned","unseasoned")&amp;IF(U352=1,", defaulted","")&amp;IF(V352=1,", open","")&amp;"]")</f>
        <v/>
      </c>
    </row>
    <row r="353" customFormat="false" ht="15" hidden="false" customHeight="false" outlineLevel="0" collapsed="false">
      <c r="A353" s="110" t="n">
        <v>349</v>
      </c>
      <c r="B353" s="111" t="str">
        <f aca="false">IFERROR(INDEX('Historical Data'!$A$2:$A$9,MATCH($A353,'Historical Data'!$BE$2:$BE$9,0)),"")</f>
        <v/>
      </c>
      <c r="C353" s="111" t="str">
        <f aca="false">IFERROR(INDEX('Historical Data'!$B$2:$B$9,MATCH($A353,'Historical Data'!$BE$2:$BE$9,0)),"")</f>
        <v/>
      </c>
      <c r="D353" s="111" t="str">
        <f aca="false">IFERROR(INDEX('Historical Data'!$D$2:$D$9,MATCH($A353,'Historical Data'!$BE$2:$BE$9,0)),"")</f>
        <v/>
      </c>
      <c r="E353" s="112" t="str">
        <f aca="false">IFERROR(INDEX('Historical Data'!$E$2:$E$9,MATCH($A353,'Historical Data'!$BE$2:$BE$9,0)),"")</f>
        <v/>
      </c>
      <c r="F353" s="111" t="str">
        <f aca="false">IFERROR(INDEX('Historical Data'!$G$2:$G$9,MATCH($A353,'Historical Data'!$BE$2:$BE$9,0)),"")</f>
        <v/>
      </c>
      <c r="G353" s="111" t="str">
        <f aca="false">IFERROR(INDEX('Historical Data'!$Y$2:$Y$9,MATCH($A353,'Historical Data'!$BE$2:$BE$9,0)),"")</f>
        <v/>
      </c>
      <c r="H353" s="111" t="str">
        <f aca="false">IFERROR(INDEX('Historical Data'!$K$2:$K$9,MATCH($A353,'Historical Data'!$BE$2:$BE$9,0)),"")</f>
        <v/>
      </c>
      <c r="I353" s="111" t="str">
        <f aca="false">IFERROR(INDEX('Historical Data'!$J$2:$J$9,MATCH($A353,'Historical Data'!$BE$2:$BE$9,0)),"")</f>
        <v/>
      </c>
      <c r="J353" s="111" t="str">
        <f aca="false">IFERROR(INDEX('Historical Data'!$L$2:$L$9,MATCH($A353,'Historical Data'!$BE$2:$BE$9,0)),"")</f>
        <v/>
      </c>
      <c r="K353" s="113" t="str">
        <f aca="false">IFERROR(INDEX('Historical Data'!$M$2:$M$9,MATCH($A353,'Historical Data'!$BE$2:$BE$9,0)),"")</f>
        <v/>
      </c>
      <c r="L353" s="114" t="str">
        <f aca="false">IFERROR(INDEX('Historical Data'!$N$2:$N$9,MATCH($A353,'Historical Data'!$BE$2:$BE$9,0)),"")</f>
        <v/>
      </c>
      <c r="M353" s="114" t="str">
        <f aca="false">IFERROR(INDEX('Historical Data'!$Q$2:$Q$9,MATCH($A353,'Historical Data'!$BE$2:$BE$9,0)),"")</f>
        <v/>
      </c>
      <c r="N353" s="115" t="str">
        <f aca="false">IFERROR(INDEX('Historical Data'!$S$2:$S$9,MATCH($A353,'Historical Data'!$BE$2:$BE$9,0)),"")</f>
        <v/>
      </c>
      <c r="O353" s="114" t="str">
        <f aca="false">IFERROR(INDEX('Historical Data'!$AJ$2:$AJ$9,MATCH($A353,'Historical Data'!$BE$2:$BE$9,0)),"")</f>
        <v/>
      </c>
      <c r="P353" s="114" t="str">
        <f aca="false">IFERROR(INDEX('Historical Data'!$AK$2:$AK$9,MATCH($A353,'Historical Data'!$BE$2:$BE$9,0)),"")</f>
        <v/>
      </c>
      <c r="Q353" s="111" t="str">
        <f aca="false">IFERROR(INDEX('Historical Data'!$AA$2:$AA$9,MATCH($A353,'Historical Data'!$BE$2:$BE$9,0)),"")</f>
        <v/>
      </c>
      <c r="R353" s="111" t="str">
        <f aca="false">IFERROR(INDEX('Historical Data'!$AB$2:$AB$9,MATCH($A353,'Historical Data'!$BE$2:$BE$9,0)),"")</f>
        <v/>
      </c>
      <c r="S353" s="111" t="str">
        <f aca="false">IFERROR(INDEX('Historical Data'!$AN$2:$AN$9,MATCH($A353,'Historical Data'!$BE$2:$BE$9,0)),"")</f>
        <v/>
      </c>
      <c r="T353" s="111" t="str">
        <f aca="false">IFERROR(INDEX('Historical Data'!$AC$2:$AC$9,MATCH($A353,'Historical Data'!$BE$2:$BE$9,0)),"")</f>
        <v/>
      </c>
      <c r="U353" s="111" t="str">
        <f aca="false">IFERROR(INDEX('Historical Data'!$AE$2:$AE$9,MATCH($A353,'Historical Data'!$BE$2:$BE$9,0)),"")</f>
        <v/>
      </c>
      <c r="V353" s="111" t="str">
        <f aca="false">IFERROR(INDEX('Historical Data'!$AH$2:$AH$9,MATCH($A353,'Historical Data'!$BE$2:$BE$9,0)),"")</f>
        <v/>
      </c>
      <c r="W353" s="111" t="str">
        <f aca="false">IFERROR(INDEX('Historical Data'!$BC$2:$BC$9,MATCH($A353,'Historical Data'!$BE$2:$BE$9,0)),"")</f>
        <v/>
      </c>
      <c r="X353" s="110" t="str">
        <f aca="false">IF(B353="","",IF(W353=1,"NR + industry + position",IF(W353=2,"NR + ISO + position",IF(W353=3,"NR + industry",IF(W353=4,"NR + ISO",IF(W353=5,"NR + position",IF(W353=6,"NR only","book baseline"))))))&amp;"  ["&amp;IF(T353=1,"seasoned","unseasoned")&amp;IF(U353=1,", defaulted","")&amp;IF(V353=1,", open","")&amp;"]")</f>
        <v/>
      </c>
    </row>
    <row r="354" customFormat="false" ht="15" hidden="false" customHeight="false" outlineLevel="0" collapsed="false">
      <c r="A354" s="110" t="n">
        <v>350</v>
      </c>
      <c r="B354" s="111" t="str">
        <f aca="false">IFERROR(INDEX('Historical Data'!$A$2:$A$9,MATCH($A354,'Historical Data'!$BE$2:$BE$9,0)),"")</f>
        <v/>
      </c>
      <c r="C354" s="111" t="str">
        <f aca="false">IFERROR(INDEX('Historical Data'!$B$2:$B$9,MATCH($A354,'Historical Data'!$BE$2:$BE$9,0)),"")</f>
        <v/>
      </c>
      <c r="D354" s="111" t="str">
        <f aca="false">IFERROR(INDEX('Historical Data'!$D$2:$D$9,MATCH($A354,'Historical Data'!$BE$2:$BE$9,0)),"")</f>
        <v/>
      </c>
      <c r="E354" s="112" t="str">
        <f aca="false">IFERROR(INDEX('Historical Data'!$E$2:$E$9,MATCH($A354,'Historical Data'!$BE$2:$BE$9,0)),"")</f>
        <v/>
      </c>
      <c r="F354" s="111" t="str">
        <f aca="false">IFERROR(INDEX('Historical Data'!$G$2:$G$9,MATCH($A354,'Historical Data'!$BE$2:$BE$9,0)),"")</f>
        <v/>
      </c>
      <c r="G354" s="111" t="str">
        <f aca="false">IFERROR(INDEX('Historical Data'!$Y$2:$Y$9,MATCH($A354,'Historical Data'!$BE$2:$BE$9,0)),"")</f>
        <v/>
      </c>
      <c r="H354" s="111" t="str">
        <f aca="false">IFERROR(INDEX('Historical Data'!$K$2:$K$9,MATCH($A354,'Historical Data'!$BE$2:$BE$9,0)),"")</f>
        <v/>
      </c>
      <c r="I354" s="111" t="str">
        <f aca="false">IFERROR(INDEX('Historical Data'!$J$2:$J$9,MATCH($A354,'Historical Data'!$BE$2:$BE$9,0)),"")</f>
        <v/>
      </c>
      <c r="J354" s="111" t="str">
        <f aca="false">IFERROR(INDEX('Historical Data'!$L$2:$L$9,MATCH($A354,'Historical Data'!$BE$2:$BE$9,0)),"")</f>
        <v/>
      </c>
      <c r="K354" s="113" t="str">
        <f aca="false">IFERROR(INDEX('Historical Data'!$M$2:$M$9,MATCH($A354,'Historical Data'!$BE$2:$BE$9,0)),"")</f>
        <v/>
      </c>
      <c r="L354" s="114" t="str">
        <f aca="false">IFERROR(INDEX('Historical Data'!$N$2:$N$9,MATCH($A354,'Historical Data'!$BE$2:$BE$9,0)),"")</f>
        <v/>
      </c>
      <c r="M354" s="114" t="str">
        <f aca="false">IFERROR(INDEX('Historical Data'!$Q$2:$Q$9,MATCH($A354,'Historical Data'!$BE$2:$BE$9,0)),"")</f>
        <v/>
      </c>
      <c r="N354" s="115" t="str">
        <f aca="false">IFERROR(INDEX('Historical Data'!$S$2:$S$9,MATCH($A354,'Historical Data'!$BE$2:$BE$9,0)),"")</f>
        <v/>
      </c>
      <c r="O354" s="114" t="str">
        <f aca="false">IFERROR(INDEX('Historical Data'!$AJ$2:$AJ$9,MATCH($A354,'Historical Data'!$BE$2:$BE$9,0)),"")</f>
        <v/>
      </c>
      <c r="P354" s="114" t="str">
        <f aca="false">IFERROR(INDEX('Historical Data'!$AK$2:$AK$9,MATCH($A354,'Historical Data'!$BE$2:$BE$9,0)),"")</f>
        <v/>
      </c>
      <c r="Q354" s="111" t="str">
        <f aca="false">IFERROR(INDEX('Historical Data'!$AA$2:$AA$9,MATCH($A354,'Historical Data'!$BE$2:$BE$9,0)),"")</f>
        <v/>
      </c>
      <c r="R354" s="111" t="str">
        <f aca="false">IFERROR(INDEX('Historical Data'!$AB$2:$AB$9,MATCH($A354,'Historical Data'!$BE$2:$BE$9,0)),"")</f>
        <v/>
      </c>
      <c r="S354" s="111" t="str">
        <f aca="false">IFERROR(INDEX('Historical Data'!$AN$2:$AN$9,MATCH($A354,'Historical Data'!$BE$2:$BE$9,0)),"")</f>
        <v/>
      </c>
      <c r="T354" s="111" t="str">
        <f aca="false">IFERROR(INDEX('Historical Data'!$AC$2:$AC$9,MATCH($A354,'Historical Data'!$BE$2:$BE$9,0)),"")</f>
        <v/>
      </c>
      <c r="U354" s="111" t="str">
        <f aca="false">IFERROR(INDEX('Historical Data'!$AE$2:$AE$9,MATCH($A354,'Historical Data'!$BE$2:$BE$9,0)),"")</f>
        <v/>
      </c>
      <c r="V354" s="111" t="str">
        <f aca="false">IFERROR(INDEX('Historical Data'!$AH$2:$AH$9,MATCH($A354,'Historical Data'!$BE$2:$BE$9,0)),"")</f>
        <v/>
      </c>
      <c r="W354" s="111" t="str">
        <f aca="false">IFERROR(INDEX('Historical Data'!$BC$2:$BC$9,MATCH($A354,'Historical Data'!$BE$2:$BE$9,0)),"")</f>
        <v/>
      </c>
      <c r="X354" s="110" t="str">
        <f aca="false">IF(B354="","",IF(W354=1,"NR + industry + position",IF(W354=2,"NR + ISO + position",IF(W354=3,"NR + industry",IF(W354=4,"NR + ISO",IF(W354=5,"NR + position",IF(W354=6,"NR only","book baseline"))))))&amp;"  ["&amp;IF(T354=1,"seasoned","unseasoned")&amp;IF(U354=1,", defaulted","")&amp;IF(V354=1,", open","")&amp;"]")</f>
        <v/>
      </c>
    </row>
    <row r="355" customFormat="false" ht="15" hidden="false" customHeight="false" outlineLevel="0" collapsed="false">
      <c r="A355" s="110" t="n">
        <v>351</v>
      </c>
      <c r="B355" s="111" t="str">
        <f aca="false">IFERROR(INDEX('Historical Data'!$A$2:$A$9,MATCH($A355,'Historical Data'!$BE$2:$BE$9,0)),"")</f>
        <v/>
      </c>
      <c r="C355" s="111" t="str">
        <f aca="false">IFERROR(INDEX('Historical Data'!$B$2:$B$9,MATCH($A355,'Historical Data'!$BE$2:$BE$9,0)),"")</f>
        <v/>
      </c>
      <c r="D355" s="111" t="str">
        <f aca="false">IFERROR(INDEX('Historical Data'!$D$2:$D$9,MATCH($A355,'Historical Data'!$BE$2:$BE$9,0)),"")</f>
        <v/>
      </c>
      <c r="E355" s="112" t="str">
        <f aca="false">IFERROR(INDEX('Historical Data'!$E$2:$E$9,MATCH($A355,'Historical Data'!$BE$2:$BE$9,0)),"")</f>
        <v/>
      </c>
      <c r="F355" s="111" t="str">
        <f aca="false">IFERROR(INDEX('Historical Data'!$G$2:$G$9,MATCH($A355,'Historical Data'!$BE$2:$BE$9,0)),"")</f>
        <v/>
      </c>
      <c r="G355" s="111" t="str">
        <f aca="false">IFERROR(INDEX('Historical Data'!$Y$2:$Y$9,MATCH($A355,'Historical Data'!$BE$2:$BE$9,0)),"")</f>
        <v/>
      </c>
      <c r="H355" s="111" t="str">
        <f aca="false">IFERROR(INDEX('Historical Data'!$K$2:$K$9,MATCH($A355,'Historical Data'!$BE$2:$BE$9,0)),"")</f>
        <v/>
      </c>
      <c r="I355" s="111" t="str">
        <f aca="false">IFERROR(INDEX('Historical Data'!$J$2:$J$9,MATCH($A355,'Historical Data'!$BE$2:$BE$9,0)),"")</f>
        <v/>
      </c>
      <c r="J355" s="111" t="str">
        <f aca="false">IFERROR(INDEX('Historical Data'!$L$2:$L$9,MATCH($A355,'Historical Data'!$BE$2:$BE$9,0)),"")</f>
        <v/>
      </c>
      <c r="K355" s="113" t="str">
        <f aca="false">IFERROR(INDEX('Historical Data'!$M$2:$M$9,MATCH($A355,'Historical Data'!$BE$2:$BE$9,0)),"")</f>
        <v/>
      </c>
      <c r="L355" s="114" t="str">
        <f aca="false">IFERROR(INDEX('Historical Data'!$N$2:$N$9,MATCH($A355,'Historical Data'!$BE$2:$BE$9,0)),"")</f>
        <v/>
      </c>
      <c r="M355" s="114" t="str">
        <f aca="false">IFERROR(INDEX('Historical Data'!$Q$2:$Q$9,MATCH($A355,'Historical Data'!$BE$2:$BE$9,0)),"")</f>
        <v/>
      </c>
      <c r="N355" s="115" t="str">
        <f aca="false">IFERROR(INDEX('Historical Data'!$S$2:$S$9,MATCH($A355,'Historical Data'!$BE$2:$BE$9,0)),"")</f>
        <v/>
      </c>
      <c r="O355" s="114" t="str">
        <f aca="false">IFERROR(INDEX('Historical Data'!$AJ$2:$AJ$9,MATCH($A355,'Historical Data'!$BE$2:$BE$9,0)),"")</f>
        <v/>
      </c>
      <c r="P355" s="114" t="str">
        <f aca="false">IFERROR(INDEX('Historical Data'!$AK$2:$AK$9,MATCH($A355,'Historical Data'!$BE$2:$BE$9,0)),"")</f>
        <v/>
      </c>
      <c r="Q355" s="111" t="str">
        <f aca="false">IFERROR(INDEX('Historical Data'!$AA$2:$AA$9,MATCH($A355,'Historical Data'!$BE$2:$BE$9,0)),"")</f>
        <v/>
      </c>
      <c r="R355" s="111" t="str">
        <f aca="false">IFERROR(INDEX('Historical Data'!$AB$2:$AB$9,MATCH($A355,'Historical Data'!$BE$2:$BE$9,0)),"")</f>
        <v/>
      </c>
      <c r="S355" s="111" t="str">
        <f aca="false">IFERROR(INDEX('Historical Data'!$AN$2:$AN$9,MATCH($A355,'Historical Data'!$BE$2:$BE$9,0)),"")</f>
        <v/>
      </c>
      <c r="T355" s="111" t="str">
        <f aca="false">IFERROR(INDEX('Historical Data'!$AC$2:$AC$9,MATCH($A355,'Historical Data'!$BE$2:$BE$9,0)),"")</f>
        <v/>
      </c>
      <c r="U355" s="111" t="str">
        <f aca="false">IFERROR(INDEX('Historical Data'!$AE$2:$AE$9,MATCH($A355,'Historical Data'!$BE$2:$BE$9,0)),"")</f>
        <v/>
      </c>
      <c r="V355" s="111" t="str">
        <f aca="false">IFERROR(INDEX('Historical Data'!$AH$2:$AH$9,MATCH($A355,'Historical Data'!$BE$2:$BE$9,0)),"")</f>
        <v/>
      </c>
      <c r="W355" s="111" t="str">
        <f aca="false">IFERROR(INDEX('Historical Data'!$BC$2:$BC$9,MATCH($A355,'Historical Data'!$BE$2:$BE$9,0)),"")</f>
        <v/>
      </c>
      <c r="X355" s="110" t="str">
        <f aca="false">IF(B355="","",IF(W355=1,"NR + industry + position",IF(W355=2,"NR + ISO + position",IF(W355=3,"NR + industry",IF(W355=4,"NR + ISO",IF(W355=5,"NR + position",IF(W355=6,"NR only","book baseline"))))))&amp;"  ["&amp;IF(T355=1,"seasoned","unseasoned")&amp;IF(U355=1,", defaulted","")&amp;IF(V355=1,", open","")&amp;"]")</f>
        <v/>
      </c>
    </row>
    <row r="356" customFormat="false" ht="15" hidden="false" customHeight="false" outlineLevel="0" collapsed="false">
      <c r="A356" s="110" t="n">
        <v>352</v>
      </c>
      <c r="B356" s="111" t="str">
        <f aca="false">IFERROR(INDEX('Historical Data'!$A$2:$A$9,MATCH($A356,'Historical Data'!$BE$2:$BE$9,0)),"")</f>
        <v/>
      </c>
      <c r="C356" s="111" t="str">
        <f aca="false">IFERROR(INDEX('Historical Data'!$B$2:$B$9,MATCH($A356,'Historical Data'!$BE$2:$BE$9,0)),"")</f>
        <v/>
      </c>
      <c r="D356" s="111" t="str">
        <f aca="false">IFERROR(INDEX('Historical Data'!$D$2:$D$9,MATCH($A356,'Historical Data'!$BE$2:$BE$9,0)),"")</f>
        <v/>
      </c>
      <c r="E356" s="112" t="str">
        <f aca="false">IFERROR(INDEX('Historical Data'!$E$2:$E$9,MATCH($A356,'Historical Data'!$BE$2:$BE$9,0)),"")</f>
        <v/>
      </c>
      <c r="F356" s="111" t="str">
        <f aca="false">IFERROR(INDEX('Historical Data'!$G$2:$G$9,MATCH($A356,'Historical Data'!$BE$2:$BE$9,0)),"")</f>
        <v/>
      </c>
      <c r="G356" s="111" t="str">
        <f aca="false">IFERROR(INDEX('Historical Data'!$Y$2:$Y$9,MATCH($A356,'Historical Data'!$BE$2:$BE$9,0)),"")</f>
        <v/>
      </c>
      <c r="H356" s="111" t="str">
        <f aca="false">IFERROR(INDEX('Historical Data'!$K$2:$K$9,MATCH($A356,'Historical Data'!$BE$2:$BE$9,0)),"")</f>
        <v/>
      </c>
      <c r="I356" s="111" t="str">
        <f aca="false">IFERROR(INDEX('Historical Data'!$J$2:$J$9,MATCH($A356,'Historical Data'!$BE$2:$BE$9,0)),"")</f>
        <v/>
      </c>
      <c r="J356" s="111" t="str">
        <f aca="false">IFERROR(INDEX('Historical Data'!$L$2:$L$9,MATCH($A356,'Historical Data'!$BE$2:$BE$9,0)),"")</f>
        <v/>
      </c>
      <c r="K356" s="113" t="str">
        <f aca="false">IFERROR(INDEX('Historical Data'!$M$2:$M$9,MATCH($A356,'Historical Data'!$BE$2:$BE$9,0)),"")</f>
        <v/>
      </c>
      <c r="L356" s="114" t="str">
        <f aca="false">IFERROR(INDEX('Historical Data'!$N$2:$N$9,MATCH($A356,'Historical Data'!$BE$2:$BE$9,0)),"")</f>
        <v/>
      </c>
      <c r="M356" s="114" t="str">
        <f aca="false">IFERROR(INDEX('Historical Data'!$Q$2:$Q$9,MATCH($A356,'Historical Data'!$BE$2:$BE$9,0)),"")</f>
        <v/>
      </c>
      <c r="N356" s="115" t="str">
        <f aca="false">IFERROR(INDEX('Historical Data'!$S$2:$S$9,MATCH($A356,'Historical Data'!$BE$2:$BE$9,0)),"")</f>
        <v/>
      </c>
      <c r="O356" s="114" t="str">
        <f aca="false">IFERROR(INDEX('Historical Data'!$AJ$2:$AJ$9,MATCH($A356,'Historical Data'!$BE$2:$BE$9,0)),"")</f>
        <v/>
      </c>
      <c r="P356" s="114" t="str">
        <f aca="false">IFERROR(INDEX('Historical Data'!$AK$2:$AK$9,MATCH($A356,'Historical Data'!$BE$2:$BE$9,0)),"")</f>
        <v/>
      </c>
      <c r="Q356" s="111" t="str">
        <f aca="false">IFERROR(INDEX('Historical Data'!$AA$2:$AA$9,MATCH($A356,'Historical Data'!$BE$2:$BE$9,0)),"")</f>
        <v/>
      </c>
      <c r="R356" s="111" t="str">
        <f aca="false">IFERROR(INDEX('Historical Data'!$AB$2:$AB$9,MATCH($A356,'Historical Data'!$BE$2:$BE$9,0)),"")</f>
        <v/>
      </c>
      <c r="S356" s="111" t="str">
        <f aca="false">IFERROR(INDEX('Historical Data'!$AN$2:$AN$9,MATCH($A356,'Historical Data'!$BE$2:$BE$9,0)),"")</f>
        <v/>
      </c>
      <c r="T356" s="111" t="str">
        <f aca="false">IFERROR(INDEX('Historical Data'!$AC$2:$AC$9,MATCH($A356,'Historical Data'!$BE$2:$BE$9,0)),"")</f>
        <v/>
      </c>
      <c r="U356" s="111" t="str">
        <f aca="false">IFERROR(INDEX('Historical Data'!$AE$2:$AE$9,MATCH($A356,'Historical Data'!$BE$2:$BE$9,0)),"")</f>
        <v/>
      </c>
      <c r="V356" s="111" t="str">
        <f aca="false">IFERROR(INDEX('Historical Data'!$AH$2:$AH$9,MATCH($A356,'Historical Data'!$BE$2:$BE$9,0)),"")</f>
        <v/>
      </c>
      <c r="W356" s="111" t="str">
        <f aca="false">IFERROR(INDEX('Historical Data'!$BC$2:$BC$9,MATCH($A356,'Historical Data'!$BE$2:$BE$9,0)),"")</f>
        <v/>
      </c>
      <c r="X356" s="110" t="str">
        <f aca="false">IF(B356="","",IF(W356=1,"NR + industry + position",IF(W356=2,"NR + ISO + position",IF(W356=3,"NR + industry",IF(W356=4,"NR + ISO",IF(W356=5,"NR + position",IF(W356=6,"NR only","book baseline"))))))&amp;"  ["&amp;IF(T356=1,"seasoned","unseasoned")&amp;IF(U356=1,", defaulted","")&amp;IF(V356=1,", open","")&amp;"]")</f>
        <v/>
      </c>
    </row>
    <row r="357" customFormat="false" ht="15" hidden="false" customHeight="false" outlineLevel="0" collapsed="false">
      <c r="A357" s="110" t="n">
        <v>353</v>
      </c>
      <c r="B357" s="111" t="str">
        <f aca="false">IFERROR(INDEX('Historical Data'!$A$2:$A$9,MATCH($A357,'Historical Data'!$BE$2:$BE$9,0)),"")</f>
        <v/>
      </c>
      <c r="C357" s="111" t="str">
        <f aca="false">IFERROR(INDEX('Historical Data'!$B$2:$B$9,MATCH($A357,'Historical Data'!$BE$2:$BE$9,0)),"")</f>
        <v/>
      </c>
      <c r="D357" s="111" t="str">
        <f aca="false">IFERROR(INDEX('Historical Data'!$D$2:$D$9,MATCH($A357,'Historical Data'!$BE$2:$BE$9,0)),"")</f>
        <v/>
      </c>
      <c r="E357" s="112" t="str">
        <f aca="false">IFERROR(INDEX('Historical Data'!$E$2:$E$9,MATCH($A357,'Historical Data'!$BE$2:$BE$9,0)),"")</f>
        <v/>
      </c>
      <c r="F357" s="111" t="str">
        <f aca="false">IFERROR(INDEX('Historical Data'!$G$2:$G$9,MATCH($A357,'Historical Data'!$BE$2:$BE$9,0)),"")</f>
        <v/>
      </c>
      <c r="G357" s="111" t="str">
        <f aca="false">IFERROR(INDEX('Historical Data'!$Y$2:$Y$9,MATCH($A357,'Historical Data'!$BE$2:$BE$9,0)),"")</f>
        <v/>
      </c>
      <c r="H357" s="111" t="str">
        <f aca="false">IFERROR(INDEX('Historical Data'!$K$2:$K$9,MATCH($A357,'Historical Data'!$BE$2:$BE$9,0)),"")</f>
        <v/>
      </c>
      <c r="I357" s="111" t="str">
        <f aca="false">IFERROR(INDEX('Historical Data'!$J$2:$J$9,MATCH($A357,'Historical Data'!$BE$2:$BE$9,0)),"")</f>
        <v/>
      </c>
      <c r="J357" s="111" t="str">
        <f aca="false">IFERROR(INDEX('Historical Data'!$L$2:$L$9,MATCH($A357,'Historical Data'!$BE$2:$BE$9,0)),"")</f>
        <v/>
      </c>
      <c r="K357" s="113" t="str">
        <f aca="false">IFERROR(INDEX('Historical Data'!$M$2:$M$9,MATCH($A357,'Historical Data'!$BE$2:$BE$9,0)),"")</f>
        <v/>
      </c>
      <c r="L357" s="114" t="str">
        <f aca="false">IFERROR(INDEX('Historical Data'!$N$2:$N$9,MATCH($A357,'Historical Data'!$BE$2:$BE$9,0)),"")</f>
        <v/>
      </c>
      <c r="M357" s="114" t="str">
        <f aca="false">IFERROR(INDEX('Historical Data'!$Q$2:$Q$9,MATCH($A357,'Historical Data'!$BE$2:$BE$9,0)),"")</f>
        <v/>
      </c>
      <c r="N357" s="115" t="str">
        <f aca="false">IFERROR(INDEX('Historical Data'!$S$2:$S$9,MATCH($A357,'Historical Data'!$BE$2:$BE$9,0)),"")</f>
        <v/>
      </c>
      <c r="O357" s="114" t="str">
        <f aca="false">IFERROR(INDEX('Historical Data'!$AJ$2:$AJ$9,MATCH($A357,'Historical Data'!$BE$2:$BE$9,0)),"")</f>
        <v/>
      </c>
      <c r="P357" s="114" t="str">
        <f aca="false">IFERROR(INDEX('Historical Data'!$AK$2:$AK$9,MATCH($A357,'Historical Data'!$BE$2:$BE$9,0)),"")</f>
        <v/>
      </c>
      <c r="Q357" s="111" t="str">
        <f aca="false">IFERROR(INDEX('Historical Data'!$AA$2:$AA$9,MATCH($A357,'Historical Data'!$BE$2:$BE$9,0)),"")</f>
        <v/>
      </c>
      <c r="R357" s="111" t="str">
        <f aca="false">IFERROR(INDEX('Historical Data'!$AB$2:$AB$9,MATCH($A357,'Historical Data'!$BE$2:$BE$9,0)),"")</f>
        <v/>
      </c>
      <c r="S357" s="111" t="str">
        <f aca="false">IFERROR(INDEX('Historical Data'!$AN$2:$AN$9,MATCH($A357,'Historical Data'!$BE$2:$BE$9,0)),"")</f>
        <v/>
      </c>
      <c r="T357" s="111" t="str">
        <f aca="false">IFERROR(INDEX('Historical Data'!$AC$2:$AC$9,MATCH($A357,'Historical Data'!$BE$2:$BE$9,0)),"")</f>
        <v/>
      </c>
      <c r="U357" s="111" t="str">
        <f aca="false">IFERROR(INDEX('Historical Data'!$AE$2:$AE$9,MATCH($A357,'Historical Data'!$BE$2:$BE$9,0)),"")</f>
        <v/>
      </c>
      <c r="V357" s="111" t="str">
        <f aca="false">IFERROR(INDEX('Historical Data'!$AH$2:$AH$9,MATCH($A357,'Historical Data'!$BE$2:$BE$9,0)),"")</f>
        <v/>
      </c>
      <c r="W357" s="111" t="str">
        <f aca="false">IFERROR(INDEX('Historical Data'!$BC$2:$BC$9,MATCH($A357,'Historical Data'!$BE$2:$BE$9,0)),"")</f>
        <v/>
      </c>
      <c r="X357" s="110" t="str">
        <f aca="false">IF(B357="","",IF(W357=1,"NR + industry + position",IF(W357=2,"NR + ISO + position",IF(W357=3,"NR + industry",IF(W357=4,"NR + ISO",IF(W357=5,"NR + position",IF(W357=6,"NR only","book baseline"))))))&amp;"  ["&amp;IF(T357=1,"seasoned","unseasoned")&amp;IF(U357=1,", defaulted","")&amp;IF(V357=1,", open","")&amp;"]")</f>
        <v/>
      </c>
    </row>
    <row r="358" customFormat="false" ht="15" hidden="false" customHeight="false" outlineLevel="0" collapsed="false">
      <c r="A358" s="110" t="n">
        <v>354</v>
      </c>
      <c r="B358" s="111" t="str">
        <f aca="false">IFERROR(INDEX('Historical Data'!$A$2:$A$9,MATCH($A358,'Historical Data'!$BE$2:$BE$9,0)),"")</f>
        <v/>
      </c>
      <c r="C358" s="111" t="str">
        <f aca="false">IFERROR(INDEX('Historical Data'!$B$2:$B$9,MATCH($A358,'Historical Data'!$BE$2:$BE$9,0)),"")</f>
        <v/>
      </c>
      <c r="D358" s="111" t="str">
        <f aca="false">IFERROR(INDEX('Historical Data'!$D$2:$D$9,MATCH($A358,'Historical Data'!$BE$2:$BE$9,0)),"")</f>
        <v/>
      </c>
      <c r="E358" s="112" t="str">
        <f aca="false">IFERROR(INDEX('Historical Data'!$E$2:$E$9,MATCH($A358,'Historical Data'!$BE$2:$BE$9,0)),"")</f>
        <v/>
      </c>
      <c r="F358" s="111" t="str">
        <f aca="false">IFERROR(INDEX('Historical Data'!$G$2:$G$9,MATCH($A358,'Historical Data'!$BE$2:$BE$9,0)),"")</f>
        <v/>
      </c>
      <c r="G358" s="111" t="str">
        <f aca="false">IFERROR(INDEX('Historical Data'!$Y$2:$Y$9,MATCH($A358,'Historical Data'!$BE$2:$BE$9,0)),"")</f>
        <v/>
      </c>
      <c r="H358" s="111" t="str">
        <f aca="false">IFERROR(INDEX('Historical Data'!$K$2:$K$9,MATCH($A358,'Historical Data'!$BE$2:$BE$9,0)),"")</f>
        <v/>
      </c>
      <c r="I358" s="111" t="str">
        <f aca="false">IFERROR(INDEX('Historical Data'!$J$2:$J$9,MATCH($A358,'Historical Data'!$BE$2:$BE$9,0)),"")</f>
        <v/>
      </c>
      <c r="J358" s="111" t="str">
        <f aca="false">IFERROR(INDEX('Historical Data'!$L$2:$L$9,MATCH($A358,'Historical Data'!$BE$2:$BE$9,0)),"")</f>
        <v/>
      </c>
      <c r="K358" s="113" t="str">
        <f aca="false">IFERROR(INDEX('Historical Data'!$M$2:$M$9,MATCH($A358,'Historical Data'!$BE$2:$BE$9,0)),"")</f>
        <v/>
      </c>
      <c r="L358" s="114" t="str">
        <f aca="false">IFERROR(INDEX('Historical Data'!$N$2:$N$9,MATCH($A358,'Historical Data'!$BE$2:$BE$9,0)),"")</f>
        <v/>
      </c>
      <c r="M358" s="114" t="str">
        <f aca="false">IFERROR(INDEX('Historical Data'!$Q$2:$Q$9,MATCH($A358,'Historical Data'!$BE$2:$BE$9,0)),"")</f>
        <v/>
      </c>
      <c r="N358" s="115" t="str">
        <f aca="false">IFERROR(INDEX('Historical Data'!$S$2:$S$9,MATCH($A358,'Historical Data'!$BE$2:$BE$9,0)),"")</f>
        <v/>
      </c>
      <c r="O358" s="114" t="str">
        <f aca="false">IFERROR(INDEX('Historical Data'!$AJ$2:$AJ$9,MATCH($A358,'Historical Data'!$BE$2:$BE$9,0)),"")</f>
        <v/>
      </c>
      <c r="P358" s="114" t="str">
        <f aca="false">IFERROR(INDEX('Historical Data'!$AK$2:$AK$9,MATCH($A358,'Historical Data'!$BE$2:$BE$9,0)),"")</f>
        <v/>
      </c>
      <c r="Q358" s="111" t="str">
        <f aca="false">IFERROR(INDEX('Historical Data'!$AA$2:$AA$9,MATCH($A358,'Historical Data'!$BE$2:$BE$9,0)),"")</f>
        <v/>
      </c>
      <c r="R358" s="111" t="str">
        <f aca="false">IFERROR(INDEX('Historical Data'!$AB$2:$AB$9,MATCH($A358,'Historical Data'!$BE$2:$BE$9,0)),"")</f>
        <v/>
      </c>
      <c r="S358" s="111" t="str">
        <f aca="false">IFERROR(INDEX('Historical Data'!$AN$2:$AN$9,MATCH($A358,'Historical Data'!$BE$2:$BE$9,0)),"")</f>
        <v/>
      </c>
      <c r="T358" s="111" t="str">
        <f aca="false">IFERROR(INDEX('Historical Data'!$AC$2:$AC$9,MATCH($A358,'Historical Data'!$BE$2:$BE$9,0)),"")</f>
        <v/>
      </c>
      <c r="U358" s="111" t="str">
        <f aca="false">IFERROR(INDEX('Historical Data'!$AE$2:$AE$9,MATCH($A358,'Historical Data'!$BE$2:$BE$9,0)),"")</f>
        <v/>
      </c>
      <c r="V358" s="111" t="str">
        <f aca="false">IFERROR(INDEX('Historical Data'!$AH$2:$AH$9,MATCH($A358,'Historical Data'!$BE$2:$BE$9,0)),"")</f>
        <v/>
      </c>
      <c r="W358" s="111" t="str">
        <f aca="false">IFERROR(INDEX('Historical Data'!$BC$2:$BC$9,MATCH($A358,'Historical Data'!$BE$2:$BE$9,0)),"")</f>
        <v/>
      </c>
      <c r="X358" s="110" t="str">
        <f aca="false">IF(B358="","",IF(W358=1,"NR + industry + position",IF(W358=2,"NR + ISO + position",IF(W358=3,"NR + industry",IF(W358=4,"NR + ISO",IF(W358=5,"NR + position",IF(W358=6,"NR only","book baseline"))))))&amp;"  ["&amp;IF(T358=1,"seasoned","unseasoned")&amp;IF(U358=1,", defaulted","")&amp;IF(V358=1,", open","")&amp;"]")</f>
        <v/>
      </c>
    </row>
    <row r="359" customFormat="false" ht="15" hidden="false" customHeight="false" outlineLevel="0" collapsed="false">
      <c r="A359" s="110" t="n">
        <v>355</v>
      </c>
      <c r="B359" s="111" t="str">
        <f aca="false">IFERROR(INDEX('Historical Data'!$A$2:$A$9,MATCH($A359,'Historical Data'!$BE$2:$BE$9,0)),"")</f>
        <v/>
      </c>
      <c r="C359" s="111" t="str">
        <f aca="false">IFERROR(INDEX('Historical Data'!$B$2:$B$9,MATCH($A359,'Historical Data'!$BE$2:$BE$9,0)),"")</f>
        <v/>
      </c>
      <c r="D359" s="111" t="str">
        <f aca="false">IFERROR(INDEX('Historical Data'!$D$2:$D$9,MATCH($A359,'Historical Data'!$BE$2:$BE$9,0)),"")</f>
        <v/>
      </c>
      <c r="E359" s="112" t="str">
        <f aca="false">IFERROR(INDEX('Historical Data'!$E$2:$E$9,MATCH($A359,'Historical Data'!$BE$2:$BE$9,0)),"")</f>
        <v/>
      </c>
      <c r="F359" s="111" t="str">
        <f aca="false">IFERROR(INDEX('Historical Data'!$G$2:$G$9,MATCH($A359,'Historical Data'!$BE$2:$BE$9,0)),"")</f>
        <v/>
      </c>
      <c r="G359" s="111" t="str">
        <f aca="false">IFERROR(INDEX('Historical Data'!$Y$2:$Y$9,MATCH($A359,'Historical Data'!$BE$2:$BE$9,0)),"")</f>
        <v/>
      </c>
      <c r="H359" s="111" t="str">
        <f aca="false">IFERROR(INDEX('Historical Data'!$K$2:$K$9,MATCH($A359,'Historical Data'!$BE$2:$BE$9,0)),"")</f>
        <v/>
      </c>
      <c r="I359" s="111" t="str">
        <f aca="false">IFERROR(INDEX('Historical Data'!$J$2:$J$9,MATCH($A359,'Historical Data'!$BE$2:$BE$9,0)),"")</f>
        <v/>
      </c>
      <c r="J359" s="111" t="str">
        <f aca="false">IFERROR(INDEX('Historical Data'!$L$2:$L$9,MATCH($A359,'Historical Data'!$BE$2:$BE$9,0)),"")</f>
        <v/>
      </c>
      <c r="K359" s="113" t="str">
        <f aca="false">IFERROR(INDEX('Historical Data'!$M$2:$M$9,MATCH($A359,'Historical Data'!$BE$2:$BE$9,0)),"")</f>
        <v/>
      </c>
      <c r="L359" s="114" t="str">
        <f aca="false">IFERROR(INDEX('Historical Data'!$N$2:$N$9,MATCH($A359,'Historical Data'!$BE$2:$BE$9,0)),"")</f>
        <v/>
      </c>
      <c r="M359" s="114" t="str">
        <f aca="false">IFERROR(INDEX('Historical Data'!$Q$2:$Q$9,MATCH($A359,'Historical Data'!$BE$2:$BE$9,0)),"")</f>
        <v/>
      </c>
      <c r="N359" s="115" t="str">
        <f aca="false">IFERROR(INDEX('Historical Data'!$S$2:$S$9,MATCH($A359,'Historical Data'!$BE$2:$BE$9,0)),"")</f>
        <v/>
      </c>
      <c r="O359" s="114" t="str">
        <f aca="false">IFERROR(INDEX('Historical Data'!$AJ$2:$AJ$9,MATCH($A359,'Historical Data'!$BE$2:$BE$9,0)),"")</f>
        <v/>
      </c>
      <c r="P359" s="114" t="str">
        <f aca="false">IFERROR(INDEX('Historical Data'!$AK$2:$AK$9,MATCH($A359,'Historical Data'!$BE$2:$BE$9,0)),"")</f>
        <v/>
      </c>
      <c r="Q359" s="111" t="str">
        <f aca="false">IFERROR(INDEX('Historical Data'!$AA$2:$AA$9,MATCH($A359,'Historical Data'!$BE$2:$BE$9,0)),"")</f>
        <v/>
      </c>
      <c r="R359" s="111" t="str">
        <f aca="false">IFERROR(INDEX('Historical Data'!$AB$2:$AB$9,MATCH($A359,'Historical Data'!$BE$2:$BE$9,0)),"")</f>
        <v/>
      </c>
      <c r="S359" s="111" t="str">
        <f aca="false">IFERROR(INDEX('Historical Data'!$AN$2:$AN$9,MATCH($A359,'Historical Data'!$BE$2:$BE$9,0)),"")</f>
        <v/>
      </c>
      <c r="T359" s="111" t="str">
        <f aca="false">IFERROR(INDEX('Historical Data'!$AC$2:$AC$9,MATCH($A359,'Historical Data'!$BE$2:$BE$9,0)),"")</f>
        <v/>
      </c>
      <c r="U359" s="111" t="str">
        <f aca="false">IFERROR(INDEX('Historical Data'!$AE$2:$AE$9,MATCH($A359,'Historical Data'!$BE$2:$BE$9,0)),"")</f>
        <v/>
      </c>
      <c r="V359" s="111" t="str">
        <f aca="false">IFERROR(INDEX('Historical Data'!$AH$2:$AH$9,MATCH($A359,'Historical Data'!$BE$2:$BE$9,0)),"")</f>
        <v/>
      </c>
      <c r="W359" s="111" t="str">
        <f aca="false">IFERROR(INDEX('Historical Data'!$BC$2:$BC$9,MATCH($A359,'Historical Data'!$BE$2:$BE$9,0)),"")</f>
        <v/>
      </c>
      <c r="X359" s="110" t="str">
        <f aca="false">IF(B359="","",IF(W359=1,"NR + industry + position",IF(W359=2,"NR + ISO + position",IF(W359=3,"NR + industry",IF(W359=4,"NR + ISO",IF(W359=5,"NR + position",IF(W359=6,"NR only","book baseline"))))))&amp;"  ["&amp;IF(T359=1,"seasoned","unseasoned")&amp;IF(U359=1,", defaulted","")&amp;IF(V359=1,", open","")&amp;"]")</f>
        <v/>
      </c>
    </row>
    <row r="360" customFormat="false" ht="15" hidden="false" customHeight="false" outlineLevel="0" collapsed="false">
      <c r="A360" s="110" t="n">
        <v>356</v>
      </c>
      <c r="B360" s="111" t="str">
        <f aca="false">IFERROR(INDEX('Historical Data'!$A$2:$A$9,MATCH($A360,'Historical Data'!$BE$2:$BE$9,0)),"")</f>
        <v/>
      </c>
      <c r="C360" s="111" t="str">
        <f aca="false">IFERROR(INDEX('Historical Data'!$B$2:$B$9,MATCH($A360,'Historical Data'!$BE$2:$BE$9,0)),"")</f>
        <v/>
      </c>
      <c r="D360" s="111" t="str">
        <f aca="false">IFERROR(INDEX('Historical Data'!$D$2:$D$9,MATCH($A360,'Historical Data'!$BE$2:$BE$9,0)),"")</f>
        <v/>
      </c>
      <c r="E360" s="112" t="str">
        <f aca="false">IFERROR(INDEX('Historical Data'!$E$2:$E$9,MATCH($A360,'Historical Data'!$BE$2:$BE$9,0)),"")</f>
        <v/>
      </c>
      <c r="F360" s="111" t="str">
        <f aca="false">IFERROR(INDEX('Historical Data'!$G$2:$G$9,MATCH($A360,'Historical Data'!$BE$2:$BE$9,0)),"")</f>
        <v/>
      </c>
      <c r="G360" s="111" t="str">
        <f aca="false">IFERROR(INDEX('Historical Data'!$Y$2:$Y$9,MATCH($A360,'Historical Data'!$BE$2:$BE$9,0)),"")</f>
        <v/>
      </c>
      <c r="H360" s="111" t="str">
        <f aca="false">IFERROR(INDEX('Historical Data'!$K$2:$K$9,MATCH($A360,'Historical Data'!$BE$2:$BE$9,0)),"")</f>
        <v/>
      </c>
      <c r="I360" s="111" t="str">
        <f aca="false">IFERROR(INDEX('Historical Data'!$J$2:$J$9,MATCH($A360,'Historical Data'!$BE$2:$BE$9,0)),"")</f>
        <v/>
      </c>
      <c r="J360" s="111" t="str">
        <f aca="false">IFERROR(INDEX('Historical Data'!$L$2:$L$9,MATCH($A360,'Historical Data'!$BE$2:$BE$9,0)),"")</f>
        <v/>
      </c>
      <c r="K360" s="113" t="str">
        <f aca="false">IFERROR(INDEX('Historical Data'!$M$2:$M$9,MATCH($A360,'Historical Data'!$BE$2:$BE$9,0)),"")</f>
        <v/>
      </c>
      <c r="L360" s="114" t="str">
        <f aca="false">IFERROR(INDEX('Historical Data'!$N$2:$N$9,MATCH($A360,'Historical Data'!$BE$2:$BE$9,0)),"")</f>
        <v/>
      </c>
      <c r="M360" s="114" t="str">
        <f aca="false">IFERROR(INDEX('Historical Data'!$Q$2:$Q$9,MATCH($A360,'Historical Data'!$BE$2:$BE$9,0)),"")</f>
        <v/>
      </c>
      <c r="N360" s="115" t="str">
        <f aca="false">IFERROR(INDEX('Historical Data'!$S$2:$S$9,MATCH($A360,'Historical Data'!$BE$2:$BE$9,0)),"")</f>
        <v/>
      </c>
      <c r="O360" s="114" t="str">
        <f aca="false">IFERROR(INDEX('Historical Data'!$AJ$2:$AJ$9,MATCH($A360,'Historical Data'!$BE$2:$BE$9,0)),"")</f>
        <v/>
      </c>
      <c r="P360" s="114" t="str">
        <f aca="false">IFERROR(INDEX('Historical Data'!$AK$2:$AK$9,MATCH($A360,'Historical Data'!$BE$2:$BE$9,0)),"")</f>
        <v/>
      </c>
      <c r="Q360" s="111" t="str">
        <f aca="false">IFERROR(INDEX('Historical Data'!$AA$2:$AA$9,MATCH($A360,'Historical Data'!$BE$2:$BE$9,0)),"")</f>
        <v/>
      </c>
      <c r="R360" s="111" t="str">
        <f aca="false">IFERROR(INDEX('Historical Data'!$AB$2:$AB$9,MATCH($A360,'Historical Data'!$BE$2:$BE$9,0)),"")</f>
        <v/>
      </c>
      <c r="S360" s="111" t="str">
        <f aca="false">IFERROR(INDEX('Historical Data'!$AN$2:$AN$9,MATCH($A360,'Historical Data'!$BE$2:$BE$9,0)),"")</f>
        <v/>
      </c>
      <c r="T360" s="111" t="str">
        <f aca="false">IFERROR(INDEX('Historical Data'!$AC$2:$AC$9,MATCH($A360,'Historical Data'!$BE$2:$BE$9,0)),"")</f>
        <v/>
      </c>
      <c r="U360" s="111" t="str">
        <f aca="false">IFERROR(INDEX('Historical Data'!$AE$2:$AE$9,MATCH($A360,'Historical Data'!$BE$2:$BE$9,0)),"")</f>
        <v/>
      </c>
      <c r="V360" s="111" t="str">
        <f aca="false">IFERROR(INDEX('Historical Data'!$AH$2:$AH$9,MATCH($A360,'Historical Data'!$BE$2:$BE$9,0)),"")</f>
        <v/>
      </c>
      <c r="W360" s="111" t="str">
        <f aca="false">IFERROR(INDEX('Historical Data'!$BC$2:$BC$9,MATCH($A360,'Historical Data'!$BE$2:$BE$9,0)),"")</f>
        <v/>
      </c>
      <c r="X360" s="110" t="str">
        <f aca="false">IF(B360="","",IF(W360=1,"NR + industry + position",IF(W360=2,"NR + ISO + position",IF(W360=3,"NR + industry",IF(W360=4,"NR + ISO",IF(W360=5,"NR + position",IF(W360=6,"NR only","book baseline"))))))&amp;"  ["&amp;IF(T360=1,"seasoned","unseasoned")&amp;IF(U360=1,", defaulted","")&amp;IF(V360=1,", open","")&amp;"]")</f>
        <v/>
      </c>
    </row>
    <row r="361" customFormat="false" ht="15" hidden="false" customHeight="false" outlineLevel="0" collapsed="false">
      <c r="A361" s="110" t="n">
        <v>357</v>
      </c>
      <c r="B361" s="111" t="str">
        <f aca="false">IFERROR(INDEX('Historical Data'!$A$2:$A$9,MATCH($A361,'Historical Data'!$BE$2:$BE$9,0)),"")</f>
        <v/>
      </c>
      <c r="C361" s="111" t="str">
        <f aca="false">IFERROR(INDEX('Historical Data'!$B$2:$B$9,MATCH($A361,'Historical Data'!$BE$2:$BE$9,0)),"")</f>
        <v/>
      </c>
      <c r="D361" s="111" t="str">
        <f aca="false">IFERROR(INDEX('Historical Data'!$D$2:$D$9,MATCH($A361,'Historical Data'!$BE$2:$BE$9,0)),"")</f>
        <v/>
      </c>
      <c r="E361" s="112" t="str">
        <f aca="false">IFERROR(INDEX('Historical Data'!$E$2:$E$9,MATCH($A361,'Historical Data'!$BE$2:$BE$9,0)),"")</f>
        <v/>
      </c>
      <c r="F361" s="111" t="str">
        <f aca="false">IFERROR(INDEX('Historical Data'!$G$2:$G$9,MATCH($A361,'Historical Data'!$BE$2:$BE$9,0)),"")</f>
        <v/>
      </c>
      <c r="G361" s="111" t="str">
        <f aca="false">IFERROR(INDEX('Historical Data'!$Y$2:$Y$9,MATCH($A361,'Historical Data'!$BE$2:$BE$9,0)),"")</f>
        <v/>
      </c>
      <c r="H361" s="111" t="str">
        <f aca="false">IFERROR(INDEX('Historical Data'!$K$2:$K$9,MATCH($A361,'Historical Data'!$BE$2:$BE$9,0)),"")</f>
        <v/>
      </c>
      <c r="I361" s="111" t="str">
        <f aca="false">IFERROR(INDEX('Historical Data'!$J$2:$J$9,MATCH($A361,'Historical Data'!$BE$2:$BE$9,0)),"")</f>
        <v/>
      </c>
      <c r="J361" s="111" t="str">
        <f aca="false">IFERROR(INDEX('Historical Data'!$L$2:$L$9,MATCH($A361,'Historical Data'!$BE$2:$BE$9,0)),"")</f>
        <v/>
      </c>
      <c r="K361" s="113" t="str">
        <f aca="false">IFERROR(INDEX('Historical Data'!$M$2:$M$9,MATCH($A361,'Historical Data'!$BE$2:$BE$9,0)),"")</f>
        <v/>
      </c>
      <c r="L361" s="114" t="str">
        <f aca="false">IFERROR(INDEX('Historical Data'!$N$2:$N$9,MATCH($A361,'Historical Data'!$BE$2:$BE$9,0)),"")</f>
        <v/>
      </c>
      <c r="M361" s="114" t="str">
        <f aca="false">IFERROR(INDEX('Historical Data'!$Q$2:$Q$9,MATCH($A361,'Historical Data'!$BE$2:$BE$9,0)),"")</f>
        <v/>
      </c>
      <c r="N361" s="115" t="str">
        <f aca="false">IFERROR(INDEX('Historical Data'!$S$2:$S$9,MATCH($A361,'Historical Data'!$BE$2:$BE$9,0)),"")</f>
        <v/>
      </c>
      <c r="O361" s="114" t="str">
        <f aca="false">IFERROR(INDEX('Historical Data'!$AJ$2:$AJ$9,MATCH($A361,'Historical Data'!$BE$2:$BE$9,0)),"")</f>
        <v/>
      </c>
      <c r="P361" s="114" t="str">
        <f aca="false">IFERROR(INDEX('Historical Data'!$AK$2:$AK$9,MATCH($A361,'Historical Data'!$BE$2:$BE$9,0)),"")</f>
        <v/>
      </c>
      <c r="Q361" s="111" t="str">
        <f aca="false">IFERROR(INDEX('Historical Data'!$AA$2:$AA$9,MATCH($A361,'Historical Data'!$BE$2:$BE$9,0)),"")</f>
        <v/>
      </c>
      <c r="R361" s="111" t="str">
        <f aca="false">IFERROR(INDEX('Historical Data'!$AB$2:$AB$9,MATCH($A361,'Historical Data'!$BE$2:$BE$9,0)),"")</f>
        <v/>
      </c>
      <c r="S361" s="111" t="str">
        <f aca="false">IFERROR(INDEX('Historical Data'!$AN$2:$AN$9,MATCH($A361,'Historical Data'!$BE$2:$BE$9,0)),"")</f>
        <v/>
      </c>
      <c r="T361" s="111" t="str">
        <f aca="false">IFERROR(INDEX('Historical Data'!$AC$2:$AC$9,MATCH($A361,'Historical Data'!$BE$2:$BE$9,0)),"")</f>
        <v/>
      </c>
      <c r="U361" s="111" t="str">
        <f aca="false">IFERROR(INDEX('Historical Data'!$AE$2:$AE$9,MATCH($A361,'Historical Data'!$BE$2:$BE$9,0)),"")</f>
        <v/>
      </c>
      <c r="V361" s="111" t="str">
        <f aca="false">IFERROR(INDEX('Historical Data'!$AH$2:$AH$9,MATCH($A361,'Historical Data'!$BE$2:$BE$9,0)),"")</f>
        <v/>
      </c>
      <c r="W361" s="111" t="str">
        <f aca="false">IFERROR(INDEX('Historical Data'!$BC$2:$BC$9,MATCH($A361,'Historical Data'!$BE$2:$BE$9,0)),"")</f>
        <v/>
      </c>
      <c r="X361" s="110" t="str">
        <f aca="false">IF(B361="","",IF(W361=1,"NR + industry + position",IF(W361=2,"NR + ISO + position",IF(W361=3,"NR + industry",IF(W361=4,"NR + ISO",IF(W361=5,"NR + position",IF(W361=6,"NR only","book baseline"))))))&amp;"  ["&amp;IF(T361=1,"seasoned","unseasoned")&amp;IF(U361=1,", defaulted","")&amp;IF(V361=1,", open","")&amp;"]")</f>
        <v/>
      </c>
    </row>
    <row r="362" customFormat="false" ht="15" hidden="false" customHeight="false" outlineLevel="0" collapsed="false">
      <c r="A362" s="110" t="n">
        <v>358</v>
      </c>
      <c r="B362" s="111" t="str">
        <f aca="false">IFERROR(INDEX('Historical Data'!$A$2:$A$9,MATCH($A362,'Historical Data'!$BE$2:$BE$9,0)),"")</f>
        <v/>
      </c>
      <c r="C362" s="111" t="str">
        <f aca="false">IFERROR(INDEX('Historical Data'!$B$2:$B$9,MATCH($A362,'Historical Data'!$BE$2:$BE$9,0)),"")</f>
        <v/>
      </c>
      <c r="D362" s="111" t="str">
        <f aca="false">IFERROR(INDEX('Historical Data'!$D$2:$D$9,MATCH($A362,'Historical Data'!$BE$2:$BE$9,0)),"")</f>
        <v/>
      </c>
      <c r="E362" s="112" t="str">
        <f aca="false">IFERROR(INDEX('Historical Data'!$E$2:$E$9,MATCH($A362,'Historical Data'!$BE$2:$BE$9,0)),"")</f>
        <v/>
      </c>
      <c r="F362" s="111" t="str">
        <f aca="false">IFERROR(INDEX('Historical Data'!$G$2:$G$9,MATCH($A362,'Historical Data'!$BE$2:$BE$9,0)),"")</f>
        <v/>
      </c>
      <c r="G362" s="111" t="str">
        <f aca="false">IFERROR(INDEX('Historical Data'!$Y$2:$Y$9,MATCH($A362,'Historical Data'!$BE$2:$BE$9,0)),"")</f>
        <v/>
      </c>
      <c r="H362" s="111" t="str">
        <f aca="false">IFERROR(INDEX('Historical Data'!$K$2:$K$9,MATCH($A362,'Historical Data'!$BE$2:$BE$9,0)),"")</f>
        <v/>
      </c>
      <c r="I362" s="111" t="str">
        <f aca="false">IFERROR(INDEX('Historical Data'!$J$2:$J$9,MATCH($A362,'Historical Data'!$BE$2:$BE$9,0)),"")</f>
        <v/>
      </c>
      <c r="J362" s="111" t="str">
        <f aca="false">IFERROR(INDEX('Historical Data'!$L$2:$L$9,MATCH($A362,'Historical Data'!$BE$2:$BE$9,0)),"")</f>
        <v/>
      </c>
      <c r="K362" s="113" t="str">
        <f aca="false">IFERROR(INDEX('Historical Data'!$M$2:$M$9,MATCH($A362,'Historical Data'!$BE$2:$BE$9,0)),"")</f>
        <v/>
      </c>
      <c r="L362" s="114" t="str">
        <f aca="false">IFERROR(INDEX('Historical Data'!$N$2:$N$9,MATCH($A362,'Historical Data'!$BE$2:$BE$9,0)),"")</f>
        <v/>
      </c>
      <c r="M362" s="114" t="str">
        <f aca="false">IFERROR(INDEX('Historical Data'!$Q$2:$Q$9,MATCH($A362,'Historical Data'!$BE$2:$BE$9,0)),"")</f>
        <v/>
      </c>
      <c r="N362" s="115" t="str">
        <f aca="false">IFERROR(INDEX('Historical Data'!$S$2:$S$9,MATCH($A362,'Historical Data'!$BE$2:$BE$9,0)),"")</f>
        <v/>
      </c>
      <c r="O362" s="114" t="str">
        <f aca="false">IFERROR(INDEX('Historical Data'!$AJ$2:$AJ$9,MATCH($A362,'Historical Data'!$BE$2:$BE$9,0)),"")</f>
        <v/>
      </c>
      <c r="P362" s="114" t="str">
        <f aca="false">IFERROR(INDEX('Historical Data'!$AK$2:$AK$9,MATCH($A362,'Historical Data'!$BE$2:$BE$9,0)),"")</f>
        <v/>
      </c>
      <c r="Q362" s="111" t="str">
        <f aca="false">IFERROR(INDEX('Historical Data'!$AA$2:$AA$9,MATCH($A362,'Historical Data'!$BE$2:$BE$9,0)),"")</f>
        <v/>
      </c>
      <c r="R362" s="111" t="str">
        <f aca="false">IFERROR(INDEX('Historical Data'!$AB$2:$AB$9,MATCH($A362,'Historical Data'!$BE$2:$BE$9,0)),"")</f>
        <v/>
      </c>
      <c r="S362" s="111" t="str">
        <f aca="false">IFERROR(INDEX('Historical Data'!$AN$2:$AN$9,MATCH($A362,'Historical Data'!$BE$2:$BE$9,0)),"")</f>
        <v/>
      </c>
      <c r="T362" s="111" t="str">
        <f aca="false">IFERROR(INDEX('Historical Data'!$AC$2:$AC$9,MATCH($A362,'Historical Data'!$BE$2:$BE$9,0)),"")</f>
        <v/>
      </c>
      <c r="U362" s="111" t="str">
        <f aca="false">IFERROR(INDEX('Historical Data'!$AE$2:$AE$9,MATCH($A362,'Historical Data'!$BE$2:$BE$9,0)),"")</f>
        <v/>
      </c>
      <c r="V362" s="111" t="str">
        <f aca="false">IFERROR(INDEX('Historical Data'!$AH$2:$AH$9,MATCH($A362,'Historical Data'!$BE$2:$BE$9,0)),"")</f>
        <v/>
      </c>
      <c r="W362" s="111" t="str">
        <f aca="false">IFERROR(INDEX('Historical Data'!$BC$2:$BC$9,MATCH($A362,'Historical Data'!$BE$2:$BE$9,0)),"")</f>
        <v/>
      </c>
      <c r="X362" s="110" t="str">
        <f aca="false">IF(B362="","",IF(W362=1,"NR + industry + position",IF(W362=2,"NR + ISO + position",IF(W362=3,"NR + industry",IF(W362=4,"NR + ISO",IF(W362=5,"NR + position",IF(W362=6,"NR only","book baseline"))))))&amp;"  ["&amp;IF(T362=1,"seasoned","unseasoned")&amp;IF(U362=1,", defaulted","")&amp;IF(V362=1,", open","")&amp;"]")</f>
        <v/>
      </c>
    </row>
    <row r="363" customFormat="false" ht="15" hidden="false" customHeight="false" outlineLevel="0" collapsed="false">
      <c r="A363" s="110" t="n">
        <v>359</v>
      </c>
      <c r="B363" s="111" t="str">
        <f aca="false">IFERROR(INDEX('Historical Data'!$A$2:$A$9,MATCH($A363,'Historical Data'!$BE$2:$BE$9,0)),"")</f>
        <v/>
      </c>
      <c r="C363" s="111" t="str">
        <f aca="false">IFERROR(INDEX('Historical Data'!$B$2:$B$9,MATCH($A363,'Historical Data'!$BE$2:$BE$9,0)),"")</f>
        <v/>
      </c>
      <c r="D363" s="111" t="str">
        <f aca="false">IFERROR(INDEX('Historical Data'!$D$2:$D$9,MATCH($A363,'Historical Data'!$BE$2:$BE$9,0)),"")</f>
        <v/>
      </c>
      <c r="E363" s="112" t="str">
        <f aca="false">IFERROR(INDEX('Historical Data'!$E$2:$E$9,MATCH($A363,'Historical Data'!$BE$2:$BE$9,0)),"")</f>
        <v/>
      </c>
      <c r="F363" s="111" t="str">
        <f aca="false">IFERROR(INDEX('Historical Data'!$G$2:$G$9,MATCH($A363,'Historical Data'!$BE$2:$BE$9,0)),"")</f>
        <v/>
      </c>
      <c r="G363" s="111" t="str">
        <f aca="false">IFERROR(INDEX('Historical Data'!$Y$2:$Y$9,MATCH($A363,'Historical Data'!$BE$2:$BE$9,0)),"")</f>
        <v/>
      </c>
      <c r="H363" s="111" t="str">
        <f aca="false">IFERROR(INDEX('Historical Data'!$K$2:$K$9,MATCH($A363,'Historical Data'!$BE$2:$BE$9,0)),"")</f>
        <v/>
      </c>
      <c r="I363" s="111" t="str">
        <f aca="false">IFERROR(INDEX('Historical Data'!$J$2:$J$9,MATCH($A363,'Historical Data'!$BE$2:$BE$9,0)),"")</f>
        <v/>
      </c>
      <c r="J363" s="111" t="str">
        <f aca="false">IFERROR(INDEX('Historical Data'!$L$2:$L$9,MATCH($A363,'Historical Data'!$BE$2:$BE$9,0)),"")</f>
        <v/>
      </c>
      <c r="K363" s="113" t="str">
        <f aca="false">IFERROR(INDEX('Historical Data'!$M$2:$M$9,MATCH($A363,'Historical Data'!$BE$2:$BE$9,0)),"")</f>
        <v/>
      </c>
      <c r="L363" s="114" t="str">
        <f aca="false">IFERROR(INDEX('Historical Data'!$N$2:$N$9,MATCH($A363,'Historical Data'!$BE$2:$BE$9,0)),"")</f>
        <v/>
      </c>
      <c r="M363" s="114" t="str">
        <f aca="false">IFERROR(INDEX('Historical Data'!$Q$2:$Q$9,MATCH($A363,'Historical Data'!$BE$2:$BE$9,0)),"")</f>
        <v/>
      </c>
      <c r="N363" s="115" t="str">
        <f aca="false">IFERROR(INDEX('Historical Data'!$S$2:$S$9,MATCH($A363,'Historical Data'!$BE$2:$BE$9,0)),"")</f>
        <v/>
      </c>
      <c r="O363" s="114" t="str">
        <f aca="false">IFERROR(INDEX('Historical Data'!$AJ$2:$AJ$9,MATCH($A363,'Historical Data'!$BE$2:$BE$9,0)),"")</f>
        <v/>
      </c>
      <c r="P363" s="114" t="str">
        <f aca="false">IFERROR(INDEX('Historical Data'!$AK$2:$AK$9,MATCH($A363,'Historical Data'!$BE$2:$BE$9,0)),"")</f>
        <v/>
      </c>
      <c r="Q363" s="111" t="str">
        <f aca="false">IFERROR(INDEX('Historical Data'!$AA$2:$AA$9,MATCH($A363,'Historical Data'!$BE$2:$BE$9,0)),"")</f>
        <v/>
      </c>
      <c r="R363" s="111" t="str">
        <f aca="false">IFERROR(INDEX('Historical Data'!$AB$2:$AB$9,MATCH($A363,'Historical Data'!$BE$2:$BE$9,0)),"")</f>
        <v/>
      </c>
      <c r="S363" s="111" t="str">
        <f aca="false">IFERROR(INDEX('Historical Data'!$AN$2:$AN$9,MATCH($A363,'Historical Data'!$BE$2:$BE$9,0)),"")</f>
        <v/>
      </c>
      <c r="T363" s="111" t="str">
        <f aca="false">IFERROR(INDEX('Historical Data'!$AC$2:$AC$9,MATCH($A363,'Historical Data'!$BE$2:$BE$9,0)),"")</f>
        <v/>
      </c>
      <c r="U363" s="111" t="str">
        <f aca="false">IFERROR(INDEX('Historical Data'!$AE$2:$AE$9,MATCH($A363,'Historical Data'!$BE$2:$BE$9,0)),"")</f>
        <v/>
      </c>
      <c r="V363" s="111" t="str">
        <f aca="false">IFERROR(INDEX('Historical Data'!$AH$2:$AH$9,MATCH($A363,'Historical Data'!$BE$2:$BE$9,0)),"")</f>
        <v/>
      </c>
      <c r="W363" s="111" t="str">
        <f aca="false">IFERROR(INDEX('Historical Data'!$BC$2:$BC$9,MATCH($A363,'Historical Data'!$BE$2:$BE$9,0)),"")</f>
        <v/>
      </c>
      <c r="X363" s="110" t="str">
        <f aca="false">IF(B363="","",IF(W363=1,"NR + industry + position",IF(W363=2,"NR + ISO + position",IF(W363=3,"NR + industry",IF(W363=4,"NR + ISO",IF(W363=5,"NR + position",IF(W363=6,"NR only","book baseline"))))))&amp;"  ["&amp;IF(T363=1,"seasoned","unseasoned")&amp;IF(U363=1,", defaulted","")&amp;IF(V363=1,", open","")&amp;"]")</f>
        <v/>
      </c>
    </row>
    <row r="364" customFormat="false" ht="15" hidden="false" customHeight="false" outlineLevel="0" collapsed="false">
      <c r="A364" s="110" t="n">
        <v>360</v>
      </c>
      <c r="B364" s="111" t="str">
        <f aca="false">IFERROR(INDEX('Historical Data'!$A$2:$A$9,MATCH($A364,'Historical Data'!$BE$2:$BE$9,0)),"")</f>
        <v/>
      </c>
      <c r="C364" s="111" t="str">
        <f aca="false">IFERROR(INDEX('Historical Data'!$B$2:$B$9,MATCH($A364,'Historical Data'!$BE$2:$BE$9,0)),"")</f>
        <v/>
      </c>
      <c r="D364" s="111" t="str">
        <f aca="false">IFERROR(INDEX('Historical Data'!$D$2:$D$9,MATCH($A364,'Historical Data'!$BE$2:$BE$9,0)),"")</f>
        <v/>
      </c>
      <c r="E364" s="112" t="str">
        <f aca="false">IFERROR(INDEX('Historical Data'!$E$2:$E$9,MATCH($A364,'Historical Data'!$BE$2:$BE$9,0)),"")</f>
        <v/>
      </c>
      <c r="F364" s="111" t="str">
        <f aca="false">IFERROR(INDEX('Historical Data'!$G$2:$G$9,MATCH($A364,'Historical Data'!$BE$2:$BE$9,0)),"")</f>
        <v/>
      </c>
      <c r="G364" s="111" t="str">
        <f aca="false">IFERROR(INDEX('Historical Data'!$Y$2:$Y$9,MATCH($A364,'Historical Data'!$BE$2:$BE$9,0)),"")</f>
        <v/>
      </c>
      <c r="H364" s="111" t="str">
        <f aca="false">IFERROR(INDEX('Historical Data'!$K$2:$K$9,MATCH($A364,'Historical Data'!$BE$2:$BE$9,0)),"")</f>
        <v/>
      </c>
      <c r="I364" s="111" t="str">
        <f aca="false">IFERROR(INDEX('Historical Data'!$J$2:$J$9,MATCH($A364,'Historical Data'!$BE$2:$BE$9,0)),"")</f>
        <v/>
      </c>
      <c r="J364" s="111" t="str">
        <f aca="false">IFERROR(INDEX('Historical Data'!$L$2:$L$9,MATCH($A364,'Historical Data'!$BE$2:$BE$9,0)),"")</f>
        <v/>
      </c>
      <c r="K364" s="113" t="str">
        <f aca="false">IFERROR(INDEX('Historical Data'!$M$2:$M$9,MATCH($A364,'Historical Data'!$BE$2:$BE$9,0)),"")</f>
        <v/>
      </c>
      <c r="L364" s="114" t="str">
        <f aca="false">IFERROR(INDEX('Historical Data'!$N$2:$N$9,MATCH($A364,'Historical Data'!$BE$2:$BE$9,0)),"")</f>
        <v/>
      </c>
      <c r="M364" s="114" t="str">
        <f aca="false">IFERROR(INDEX('Historical Data'!$Q$2:$Q$9,MATCH($A364,'Historical Data'!$BE$2:$BE$9,0)),"")</f>
        <v/>
      </c>
      <c r="N364" s="115" t="str">
        <f aca="false">IFERROR(INDEX('Historical Data'!$S$2:$S$9,MATCH($A364,'Historical Data'!$BE$2:$BE$9,0)),"")</f>
        <v/>
      </c>
      <c r="O364" s="114" t="str">
        <f aca="false">IFERROR(INDEX('Historical Data'!$AJ$2:$AJ$9,MATCH($A364,'Historical Data'!$BE$2:$BE$9,0)),"")</f>
        <v/>
      </c>
      <c r="P364" s="114" t="str">
        <f aca="false">IFERROR(INDEX('Historical Data'!$AK$2:$AK$9,MATCH($A364,'Historical Data'!$BE$2:$BE$9,0)),"")</f>
        <v/>
      </c>
      <c r="Q364" s="111" t="str">
        <f aca="false">IFERROR(INDEX('Historical Data'!$AA$2:$AA$9,MATCH($A364,'Historical Data'!$BE$2:$BE$9,0)),"")</f>
        <v/>
      </c>
      <c r="R364" s="111" t="str">
        <f aca="false">IFERROR(INDEX('Historical Data'!$AB$2:$AB$9,MATCH($A364,'Historical Data'!$BE$2:$BE$9,0)),"")</f>
        <v/>
      </c>
      <c r="S364" s="111" t="str">
        <f aca="false">IFERROR(INDEX('Historical Data'!$AN$2:$AN$9,MATCH($A364,'Historical Data'!$BE$2:$BE$9,0)),"")</f>
        <v/>
      </c>
      <c r="T364" s="111" t="str">
        <f aca="false">IFERROR(INDEX('Historical Data'!$AC$2:$AC$9,MATCH($A364,'Historical Data'!$BE$2:$BE$9,0)),"")</f>
        <v/>
      </c>
      <c r="U364" s="111" t="str">
        <f aca="false">IFERROR(INDEX('Historical Data'!$AE$2:$AE$9,MATCH($A364,'Historical Data'!$BE$2:$BE$9,0)),"")</f>
        <v/>
      </c>
      <c r="V364" s="111" t="str">
        <f aca="false">IFERROR(INDEX('Historical Data'!$AH$2:$AH$9,MATCH($A364,'Historical Data'!$BE$2:$BE$9,0)),"")</f>
        <v/>
      </c>
      <c r="W364" s="111" t="str">
        <f aca="false">IFERROR(INDEX('Historical Data'!$BC$2:$BC$9,MATCH($A364,'Historical Data'!$BE$2:$BE$9,0)),"")</f>
        <v/>
      </c>
      <c r="X364" s="110" t="str">
        <f aca="false">IF(B364="","",IF(W364=1,"NR + industry + position",IF(W364=2,"NR + ISO + position",IF(W364=3,"NR + industry",IF(W364=4,"NR + ISO",IF(W364=5,"NR + position",IF(W364=6,"NR only","book baseline"))))))&amp;"  ["&amp;IF(T364=1,"seasoned","unseasoned")&amp;IF(U364=1,", defaulted","")&amp;IF(V364=1,", open","")&amp;"]")</f>
        <v/>
      </c>
    </row>
    <row r="365" customFormat="false" ht="15" hidden="false" customHeight="false" outlineLevel="0" collapsed="false">
      <c r="A365" s="110" t="n">
        <v>361</v>
      </c>
      <c r="B365" s="111" t="str">
        <f aca="false">IFERROR(INDEX('Historical Data'!$A$2:$A$9,MATCH($A365,'Historical Data'!$BE$2:$BE$9,0)),"")</f>
        <v/>
      </c>
      <c r="C365" s="111" t="str">
        <f aca="false">IFERROR(INDEX('Historical Data'!$B$2:$B$9,MATCH($A365,'Historical Data'!$BE$2:$BE$9,0)),"")</f>
        <v/>
      </c>
      <c r="D365" s="111" t="str">
        <f aca="false">IFERROR(INDEX('Historical Data'!$D$2:$D$9,MATCH($A365,'Historical Data'!$BE$2:$BE$9,0)),"")</f>
        <v/>
      </c>
      <c r="E365" s="112" t="str">
        <f aca="false">IFERROR(INDEX('Historical Data'!$E$2:$E$9,MATCH($A365,'Historical Data'!$BE$2:$BE$9,0)),"")</f>
        <v/>
      </c>
      <c r="F365" s="111" t="str">
        <f aca="false">IFERROR(INDEX('Historical Data'!$G$2:$G$9,MATCH($A365,'Historical Data'!$BE$2:$BE$9,0)),"")</f>
        <v/>
      </c>
      <c r="G365" s="111" t="str">
        <f aca="false">IFERROR(INDEX('Historical Data'!$Y$2:$Y$9,MATCH($A365,'Historical Data'!$BE$2:$BE$9,0)),"")</f>
        <v/>
      </c>
      <c r="H365" s="111" t="str">
        <f aca="false">IFERROR(INDEX('Historical Data'!$K$2:$K$9,MATCH($A365,'Historical Data'!$BE$2:$BE$9,0)),"")</f>
        <v/>
      </c>
      <c r="I365" s="111" t="str">
        <f aca="false">IFERROR(INDEX('Historical Data'!$J$2:$J$9,MATCH($A365,'Historical Data'!$BE$2:$BE$9,0)),"")</f>
        <v/>
      </c>
      <c r="J365" s="111" t="str">
        <f aca="false">IFERROR(INDEX('Historical Data'!$L$2:$L$9,MATCH($A365,'Historical Data'!$BE$2:$BE$9,0)),"")</f>
        <v/>
      </c>
      <c r="K365" s="113" t="str">
        <f aca="false">IFERROR(INDEX('Historical Data'!$M$2:$M$9,MATCH($A365,'Historical Data'!$BE$2:$BE$9,0)),"")</f>
        <v/>
      </c>
      <c r="L365" s="114" t="str">
        <f aca="false">IFERROR(INDEX('Historical Data'!$N$2:$N$9,MATCH($A365,'Historical Data'!$BE$2:$BE$9,0)),"")</f>
        <v/>
      </c>
      <c r="M365" s="114" t="str">
        <f aca="false">IFERROR(INDEX('Historical Data'!$Q$2:$Q$9,MATCH($A365,'Historical Data'!$BE$2:$BE$9,0)),"")</f>
        <v/>
      </c>
      <c r="N365" s="115" t="str">
        <f aca="false">IFERROR(INDEX('Historical Data'!$S$2:$S$9,MATCH($A365,'Historical Data'!$BE$2:$BE$9,0)),"")</f>
        <v/>
      </c>
      <c r="O365" s="114" t="str">
        <f aca="false">IFERROR(INDEX('Historical Data'!$AJ$2:$AJ$9,MATCH($A365,'Historical Data'!$BE$2:$BE$9,0)),"")</f>
        <v/>
      </c>
      <c r="P365" s="114" t="str">
        <f aca="false">IFERROR(INDEX('Historical Data'!$AK$2:$AK$9,MATCH($A365,'Historical Data'!$BE$2:$BE$9,0)),"")</f>
        <v/>
      </c>
      <c r="Q365" s="111" t="str">
        <f aca="false">IFERROR(INDEX('Historical Data'!$AA$2:$AA$9,MATCH($A365,'Historical Data'!$BE$2:$BE$9,0)),"")</f>
        <v/>
      </c>
      <c r="R365" s="111" t="str">
        <f aca="false">IFERROR(INDEX('Historical Data'!$AB$2:$AB$9,MATCH($A365,'Historical Data'!$BE$2:$BE$9,0)),"")</f>
        <v/>
      </c>
      <c r="S365" s="111" t="str">
        <f aca="false">IFERROR(INDEX('Historical Data'!$AN$2:$AN$9,MATCH($A365,'Historical Data'!$BE$2:$BE$9,0)),"")</f>
        <v/>
      </c>
      <c r="T365" s="111" t="str">
        <f aca="false">IFERROR(INDEX('Historical Data'!$AC$2:$AC$9,MATCH($A365,'Historical Data'!$BE$2:$BE$9,0)),"")</f>
        <v/>
      </c>
      <c r="U365" s="111" t="str">
        <f aca="false">IFERROR(INDEX('Historical Data'!$AE$2:$AE$9,MATCH($A365,'Historical Data'!$BE$2:$BE$9,0)),"")</f>
        <v/>
      </c>
      <c r="V365" s="111" t="str">
        <f aca="false">IFERROR(INDEX('Historical Data'!$AH$2:$AH$9,MATCH($A365,'Historical Data'!$BE$2:$BE$9,0)),"")</f>
        <v/>
      </c>
      <c r="W365" s="111" t="str">
        <f aca="false">IFERROR(INDEX('Historical Data'!$BC$2:$BC$9,MATCH($A365,'Historical Data'!$BE$2:$BE$9,0)),"")</f>
        <v/>
      </c>
      <c r="X365" s="110" t="str">
        <f aca="false">IF(B365="","",IF(W365=1,"NR + industry + position",IF(W365=2,"NR + ISO + position",IF(W365=3,"NR + industry",IF(W365=4,"NR + ISO",IF(W365=5,"NR + position",IF(W365=6,"NR only","book baseline"))))))&amp;"  ["&amp;IF(T365=1,"seasoned","unseasoned")&amp;IF(U365=1,", defaulted","")&amp;IF(V365=1,", open","")&amp;"]")</f>
        <v/>
      </c>
    </row>
    <row r="366" customFormat="false" ht="15" hidden="false" customHeight="false" outlineLevel="0" collapsed="false">
      <c r="A366" s="110" t="n">
        <v>362</v>
      </c>
      <c r="B366" s="111" t="str">
        <f aca="false">IFERROR(INDEX('Historical Data'!$A$2:$A$9,MATCH($A366,'Historical Data'!$BE$2:$BE$9,0)),"")</f>
        <v/>
      </c>
      <c r="C366" s="111" t="str">
        <f aca="false">IFERROR(INDEX('Historical Data'!$B$2:$B$9,MATCH($A366,'Historical Data'!$BE$2:$BE$9,0)),"")</f>
        <v/>
      </c>
      <c r="D366" s="111" t="str">
        <f aca="false">IFERROR(INDEX('Historical Data'!$D$2:$D$9,MATCH($A366,'Historical Data'!$BE$2:$BE$9,0)),"")</f>
        <v/>
      </c>
      <c r="E366" s="112" t="str">
        <f aca="false">IFERROR(INDEX('Historical Data'!$E$2:$E$9,MATCH($A366,'Historical Data'!$BE$2:$BE$9,0)),"")</f>
        <v/>
      </c>
      <c r="F366" s="111" t="str">
        <f aca="false">IFERROR(INDEX('Historical Data'!$G$2:$G$9,MATCH($A366,'Historical Data'!$BE$2:$BE$9,0)),"")</f>
        <v/>
      </c>
      <c r="G366" s="111" t="str">
        <f aca="false">IFERROR(INDEX('Historical Data'!$Y$2:$Y$9,MATCH($A366,'Historical Data'!$BE$2:$BE$9,0)),"")</f>
        <v/>
      </c>
      <c r="H366" s="111" t="str">
        <f aca="false">IFERROR(INDEX('Historical Data'!$K$2:$K$9,MATCH($A366,'Historical Data'!$BE$2:$BE$9,0)),"")</f>
        <v/>
      </c>
      <c r="I366" s="111" t="str">
        <f aca="false">IFERROR(INDEX('Historical Data'!$J$2:$J$9,MATCH($A366,'Historical Data'!$BE$2:$BE$9,0)),"")</f>
        <v/>
      </c>
      <c r="J366" s="111" t="str">
        <f aca="false">IFERROR(INDEX('Historical Data'!$L$2:$L$9,MATCH($A366,'Historical Data'!$BE$2:$BE$9,0)),"")</f>
        <v/>
      </c>
      <c r="K366" s="113" t="str">
        <f aca="false">IFERROR(INDEX('Historical Data'!$M$2:$M$9,MATCH($A366,'Historical Data'!$BE$2:$BE$9,0)),"")</f>
        <v/>
      </c>
      <c r="L366" s="114" t="str">
        <f aca="false">IFERROR(INDEX('Historical Data'!$N$2:$N$9,MATCH($A366,'Historical Data'!$BE$2:$BE$9,0)),"")</f>
        <v/>
      </c>
      <c r="M366" s="114" t="str">
        <f aca="false">IFERROR(INDEX('Historical Data'!$Q$2:$Q$9,MATCH($A366,'Historical Data'!$BE$2:$BE$9,0)),"")</f>
        <v/>
      </c>
      <c r="N366" s="115" t="str">
        <f aca="false">IFERROR(INDEX('Historical Data'!$S$2:$S$9,MATCH($A366,'Historical Data'!$BE$2:$BE$9,0)),"")</f>
        <v/>
      </c>
      <c r="O366" s="114" t="str">
        <f aca="false">IFERROR(INDEX('Historical Data'!$AJ$2:$AJ$9,MATCH($A366,'Historical Data'!$BE$2:$BE$9,0)),"")</f>
        <v/>
      </c>
      <c r="P366" s="114" t="str">
        <f aca="false">IFERROR(INDEX('Historical Data'!$AK$2:$AK$9,MATCH($A366,'Historical Data'!$BE$2:$BE$9,0)),"")</f>
        <v/>
      </c>
      <c r="Q366" s="111" t="str">
        <f aca="false">IFERROR(INDEX('Historical Data'!$AA$2:$AA$9,MATCH($A366,'Historical Data'!$BE$2:$BE$9,0)),"")</f>
        <v/>
      </c>
      <c r="R366" s="111" t="str">
        <f aca="false">IFERROR(INDEX('Historical Data'!$AB$2:$AB$9,MATCH($A366,'Historical Data'!$BE$2:$BE$9,0)),"")</f>
        <v/>
      </c>
      <c r="S366" s="111" t="str">
        <f aca="false">IFERROR(INDEX('Historical Data'!$AN$2:$AN$9,MATCH($A366,'Historical Data'!$BE$2:$BE$9,0)),"")</f>
        <v/>
      </c>
      <c r="T366" s="111" t="str">
        <f aca="false">IFERROR(INDEX('Historical Data'!$AC$2:$AC$9,MATCH($A366,'Historical Data'!$BE$2:$BE$9,0)),"")</f>
        <v/>
      </c>
      <c r="U366" s="111" t="str">
        <f aca="false">IFERROR(INDEX('Historical Data'!$AE$2:$AE$9,MATCH($A366,'Historical Data'!$BE$2:$BE$9,0)),"")</f>
        <v/>
      </c>
      <c r="V366" s="111" t="str">
        <f aca="false">IFERROR(INDEX('Historical Data'!$AH$2:$AH$9,MATCH($A366,'Historical Data'!$BE$2:$BE$9,0)),"")</f>
        <v/>
      </c>
      <c r="W366" s="111" t="str">
        <f aca="false">IFERROR(INDEX('Historical Data'!$BC$2:$BC$9,MATCH($A366,'Historical Data'!$BE$2:$BE$9,0)),"")</f>
        <v/>
      </c>
      <c r="X366" s="110" t="str">
        <f aca="false">IF(B366="","",IF(W366=1,"NR + industry + position",IF(W366=2,"NR + ISO + position",IF(W366=3,"NR + industry",IF(W366=4,"NR + ISO",IF(W366=5,"NR + position",IF(W366=6,"NR only","book baseline"))))))&amp;"  ["&amp;IF(T366=1,"seasoned","unseasoned")&amp;IF(U366=1,", defaulted","")&amp;IF(V366=1,", open","")&amp;"]")</f>
        <v/>
      </c>
    </row>
    <row r="367" customFormat="false" ht="15" hidden="false" customHeight="false" outlineLevel="0" collapsed="false">
      <c r="A367" s="110" t="n">
        <v>363</v>
      </c>
      <c r="B367" s="111" t="str">
        <f aca="false">IFERROR(INDEX('Historical Data'!$A$2:$A$9,MATCH($A367,'Historical Data'!$BE$2:$BE$9,0)),"")</f>
        <v/>
      </c>
      <c r="C367" s="111" t="str">
        <f aca="false">IFERROR(INDEX('Historical Data'!$B$2:$B$9,MATCH($A367,'Historical Data'!$BE$2:$BE$9,0)),"")</f>
        <v/>
      </c>
      <c r="D367" s="111" t="str">
        <f aca="false">IFERROR(INDEX('Historical Data'!$D$2:$D$9,MATCH($A367,'Historical Data'!$BE$2:$BE$9,0)),"")</f>
        <v/>
      </c>
      <c r="E367" s="112" t="str">
        <f aca="false">IFERROR(INDEX('Historical Data'!$E$2:$E$9,MATCH($A367,'Historical Data'!$BE$2:$BE$9,0)),"")</f>
        <v/>
      </c>
      <c r="F367" s="111" t="str">
        <f aca="false">IFERROR(INDEX('Historical Data'!$G$2:$G$9,MATCH($A367,'Historical Data'!$BE$2:$BE$9,0)),"")</f>
        <v/>
      </c>
      <c r="G367" s="111" t="str">
        <f aca="false">IFERROR(INDEX('Historical Data'!$Y$2:$Y$9,MATCH($A367,'Historical Data'!$BE$2:$BE$9,0)),"")</f>
        <v/>
      </c>
      <c r="H367" s="111" t="str">
        <f aca="false">IFERROR(INDEX('Historical Data'!$K$2:$K$9,MATCH($A367,'Historical Data'!$BE$2:$BE$9,0)),"")</f>
        <v/>
      </c>
      <c r="I367" s="111" t="str">
        <f aca="false">IFERROR(INDEX('Historical Data'!$J$2:$J$9,MATCH($A367,'Historical Data'!$BE$2:$BE$9,0)),"")</f>
        <v/>
      </c>
      <c r="J367" s="111" t="str">
        <f aca="false">IFERROR(INDEX('Historical Data'!$L$2:$L$9,MATCH($A367,'Historical Data'!$BE$2:$BE$9,0)),"")</f>
        <v/>
      </c>
      <c r="K367" s="113" t="str">
        <f aca="false">IFERROR(INDEX('Historical Data'!$M$2:$M$9,MATCH($A367,'Historical Data'!$BE$2:$BE$9,0)),"")</f>
        <v/>
      </c>
      <c r="L367" s="114" t="str">
        <f aca="false">IFERROR(INDEX('Historical Data'!$N$2:$N$9,MATCH($A367,'Historical Data'!$BE$2:$BE$9,0)),"")</f>
        <v/>
      </c>
      <c r="M367" s="114" t="str">
        <f aca="false">IFERROR(INDEX('Historical Data'!$Q$2:$Q$9,MATCH($A367,'Historical Data'!$BE$2:$BE$9,0)),"")</f>
        <v/>
      </c>
      <c r="N367" s="115" t="str">
        <f aca="false">IFERROR(INDEX('Historical Data'!$S$2:$S$9,MATCH($A367,'Historical Data'!$BE$2:$BE$9,0)),"")</f>
        <v/>
      </c>
      <c r="O367" s="114" t="str">
        <f aca="false">IFERROR(INDEX('Historical Data'!$AJ$2:$AJ$9,MATCH($A367,'Historical Data'!$BE$2:$BE$9,0)),"")</f>
        <v/>
      </c>
      <c r="P367" s="114" t="str">
        <f aca="false">IFERROR(INDEX('Historical Data'!$AK$2:$AK$9,MATCH($A367,'Historical Data'!$BE$2:$BE$9,0)),"")</f>
        <v/>
      </c>
      <c r="Q367" s="111" t="str">
        <f aca="false">IFERROR(INDEX('Historical Data'!$AA$2:$AA$9,MATCH($A367,'Historical Data'!$BE$2:$BE$9,0)),"")</f>
        <v/>
      </c>
      <c r="R367" s="111" t="str">
        <f aca="false">IFERROR(INDEX('Historical Data'!$AB$2:$AB$9,MATCH($A367,'Historical Data'!$BE$2:$BE$9,0)),"")</f>
        <v/>
      </c>
      <c r="S367" s="111" t="str">
        <f aca="false">IFERROR(INDEX('Historical Data'!$AN$2:$AN$9,MATCH($A367,'Historical Data'!$BE$2:$BE$9,0)),"")</f>
        <v/>
      </c>
      <c r="T367" s="111" t="str">
        <f aca="false">IFERROR(INDEX('Historical Data'!$AC$2:$AC$9,MATCH($A367,'Historical Data'!$BE$2:$BE$9,0)),"")</f>
        <v/>
      </c>
      <c r="U367" s="111" t="str">
        <f aca="false">IFERROR(INDEX('Historical Data'!$AE$2:$AE$9,MATCH($A367,'Historical Data'!$BE$2:$BE$9,0)),"")</f>
        <v/>
      </c>
      <c r="V367" s="111" t="str">
        <f aca="false">IFERROR(INDEX('Historical Data'!$AH$2:$AH$9,MATCH($A367,'Historical Data'!$BE$2:$BE$9,0)),"")</f>
        <v/>
      </c>
      <c r="W367" s="111" t="str">
        <f aca="false">IFERROR(INDEX('Historical Data'!$BC$2:$BC$9,MATCH($A367,'Historical Data'!$BE$2:$BE$9,0)),"")</f>
        <v/>
      </c>
      <c r="X367" s="110" t="str">
        <f aca="false">IF(B367="","",IF(W367=1,"NR + industry + position",IF(W367=2,"NR + ISO + position",IF(W367=3,"NR + industry",IF(W367=4,"NR + ISO",IF(W367=5,"NR + position",IF(W367=6,"NR only","book baseline"))))))&amp;"  ["&amp;IF(T367=1,"seasoned","unseasoned")&amp;IF(U367=1,", defaulted","")&amp;IF(V367=1,", open","")&amp;"]")</f>
        <v/>
      </c>
    </row>
    <row r="368" customFormat="false" ht="15" hidden="false" customHeight="false" outlineLevel="0" collapsed="false">
      <c r="A368" s="110" t="n">
        <v>364</v>
      </c>
      <c r="B368" s="111" t="str">
        <f aca="false">IFERROR(INDEX('Historical Data'!$A$2:$A$9,MATCH($A368,'Historical Data'!$BE$2:$BE$9,0)),"")</f>
        <v/>
      </c>
      <c r="C368" s="111" t="str">
        <f aca="false">IFERROR(INDEX('Historical Data'!$B$2:$B$9,MATCH($A368,'Historical Data'!$BE$2:$BE$9,0)),"")</f>
        <v/>
      </c>
      <c r="D368" s="111" t="str">
        <f aca="false">IFERROR(INDEX('Historical Data'!$D$2:$D$9,MATCH($A368,'Historical Data'!$BE$2:$BE$9,0)),"")</f>
        <v/>
      </c>
      <c r="E368" s="112" t="str">
        <f aca="false">IFERROR(INDEX('Historical Data'!$E$2:$E$9,MATCH($A368,'Historical Data'!$BE$2:$BE$9,0)),"")</f>
        <v/>
      </c>
      <c r="F368" s="111" t="str">
        <f aca="false">IFERROR(INDEX('Historical Data'!$G$2:$G$9,MATCH($A368,'Historical Data'!$BE$2:$BE$9,0)),"")</f>
        <v/>
      </c>
      <c r="G368" s="111" t="str">
        <f aca="false">IFERROR(INDEX('Historical Data'!$Y$2:$Y$9,MATCH($A368,'Historical Data'!$BE$2:$BE$9,0)),"")</f>
        <v/>
      </c>
      <c r="H368" s="111" t="str">
        <f aca="false">IFERROR(INDEX('Historical Data'!$K$2:$K$9,MATCH($A368,'Historical Data'!$BE$2:$BE$9,0)),"")</f>
        <v/>
      </c>
      <c r="I368" s="111" t="str">
        <f aca="false">IFERROR(INDEX('Historical Data'!$J$2:$J$9,MATCH($A368,'Historical Data'!$BE$2:$BE$9,0)),"")</f>
        <v/>
      </c>
      <c r="J368" s="111" t="str">
        <f aca="false">IFERROR(INDEX('Historical Data'!$L$2:$L$9,MATCH($A368,'Historical Data'!$BE$2:$BE$9,0)),"")</f>
        <v/>
      </c>
      <c r="K368" s="113" t="str">
        <f aca="false">IFERROR(INDEX('Historical Data'!$M$2:$M$9,MATCH($A368,'Historical Data'!$BE$2:$BE$9,0)),"")</f>
        <v/>
      </c>
      <c r="L368" s="114" t="str">
        <f aca="false">IFERROR(INDEX('Historical Data'!$N$2:$N$9,MATCH($A368,'Historical Data'!$BE$2:$BE$9,0)),"")</f>
        <v/>
      </c>
      <c r="M368" s="114" t="str">
        <f aca="false">IFERROR(INDEX('Historical Data'!$Q$2:$Q$9,MATCH($A368,'Historical Data'!$BE$2:$BE$9,0)),"")</f>
        <v/>
      </c>
      <c r="N368" s="115" t="str">
        <f aca="false">IFERROR(INDEX('Historical Data'!$S$2:$S$9,MATCH($A368,'Historical Data'!$BE$2:$BE$9,0)),"")</f>
        <v/>
      </c>
      <c r="O368" s="114" t="str">
        <f aca="false">IFERROR(INDEX('Historical Data'!$AJ$2:$AJ$9,MATCH($A368,'Historical Data'!$BE$2:$BE$9,0)),"")</f>
        <v/>
      </c>
      <c r="P368" s="114" t="str">
        <f aca="false">IFERROR(INDEX('Historical Data'!$AK$2:$AK$9,MATCH($A368,'Historical Data'!$BE$2:$BE$9,0)),"")</f>
        <v/>
      </c>
      <c r="Q368" s="111" t="str">
        <f aca="false">IFERROR(INDEX('Historical Data'!$AA$2:$AA$9,MATCH($A368,'Historical Data'!$BE$2:$BE$9,0)),"")</f>
        <v/>
      </c>
      <c r="R368" s="111" t="str">
        <f aca="false">IFERROR(INDEX('Historical Data'!$AB$2:$AB$9,MATCH($A368,'Historical Data'!$BE$2:$BE$9,0)),"")</f>
        <v/>
      </c>
      <c r="S368" s="111" t="str">
        <f aca="false">IFERROR(INDEX('Historical Data'!$AN$2:$AN$9,MATCH($A368,'Historical Data'!$BE$2:$BE$9,0)),"")</f>
        <v/>
      </c>
      <c r="T368" s="111" t="str">
        <f aca="false">IFERROR(INDEX('Historical Data'!$AC$2:$AC$9,MATCH($A368,'Historical Data'!$BE$2:$BE$9,0)),"")</f>
        <v/>
      </c>
      <c r="U368" s="111" t="str">
        <f aca="false">IFERROR(INDEX('Historical Data'!$AE$2:$AE$9,MATCH($A368,'Historical Data'!$BE$2:$BE$9,0)),"")</f>
        <v/>
      </c>
      <c r="V368" s="111" t="str">
        <f aca="false">IFERROR(INDEX('Historical Data'!$AH$2:$AH$9,MATCH($A368,'Historical Data'!$BE$2:$BE$9,0)),"")</f>
        <v/>
      </c>
      <c r="W368" s="111" t="str">
        <f aca="false">IFERROR(INDEX('Historical Data'!$BC$2:$BC$9,MATCH($A368,'Historical Data'!$BE$2:$BE$9,0)),"")</f>
        <v/>
      </c>
      <c r="X368" s="110" t="str">
        <f aca="false">IF(B368="","",IF(W368=1,"NR + industry + position",IF(W368=2,"NR + ISO + position",IF(W368=3,"NR + industry",IF(W368=4,"NR + ISO",IF(W368=5,"NR + position",IF(W368=6,"NR only","book baseline"))))))&amp;"  ["&amp;IF(T368=1,"seasoned","unseasoned")&amp;IF(U368=1,", defaulted","")&amp;IF(V368=1,", open","")&amp;"]")</f>
        <v/>
      </c>
    </row>
    <row r="369" customFormat="false" ht="15" hidden="false" customHeight="false" outlineLevel="0" collapsed="false">
      <c r="A369" s="110" t="n">
        <v>365</v>
      </c>
      <c r="B369" s="111" t="str">
        <f aca="false">IFERROR(INDEX('Historical Data'!$A$2:$A$9,MATCH($A369,'Historical Data'!$BE$2:$BE$9,0)),"")</f>
        <v/>
      </c>
      <c r="C369" s="111" t="str">
        <f aca="false">IFERROR(INDEX('Historical Data'!$B$2:$B$9,MATCH($A369,'Historical Data'!$BE$2:$BE$9,0)),"")</f>
        <v/>
      </c>
      <c r="D369" s="111" t="str">
        <f aca="false">IFERROR(INDEX('Historical Data'!$D$2:$D$9,MATCH($A369,'Historical Data'!$BE$2:$BE$9,0)),"")</f>
        <v/>
      </c>
      <c r="E369" s="112" t="str">
        <f aca="false">IFERROR(INDEX('Historical Data'!$E$2:$E$9,MATCH($A369,'Historical Data'!$BE$2:$BE$9,0)),"")</f>
        <v/>
      </c>
      <c r="F369" s="111" t="str">
        <f aca="false">IFERROR(INDEX('Historical Data'!$G$2:$G$9,MATCH($A369,'Historical Data'!$BE$2:$BE$9,0)),"")</f>
        <v/>
      </c>
      <c r="G369" s="111" t="str">
        <f aca="false">IFERROR(INDEX('Historical Data'!$Y$2:$Y$9,MATCH($A369,'Historical Data'!$BE$2:$BE$9,0)),"")</f>
        <v/>
      </c>
      <c r="H369" s="111" t="str">
        <f aca="false">IFERROR(INDEX('Historical Data'!$K$2:$K$9,MATCH($A369,'Historical Data'!$BE$2:$BE$9,0)),"")</f>
        <v/>
      </c>
      <c r="I369" s="111" t="str">
        <f aca="false">IFERROR(INDEX('Historical Data'!$J$2:$J$9,MATCH($A369,'Historical Data'!$BE$2:$BE$9,0)),"")</f>
        <v/>
      </c>
      <c r="J369" s="111" t="str">
        <f aca="false">IFERROR(INDEX('Historical Data'!$L$2:$L$9,MATCH($A369,'Historical Data'!$BE$2:$BE$9,0)),"")</f>
        <v/>
      </c>
      <c r="K369" s="113" t="str">
        <f aca="false">IFERROR(INDEX('Historical Data'!$M$2:$M$9,MATCH($A369,'Historical Data'!$BE$2:$BE$9,0)),"")</f>
        <v/>
      </c>
      <c r="L369" s="114" t="str">
        <f aca="false">IFERROR(INDEX('Historical Data'!$N$2:$N$9,MATCH($A369,'Historical Data'!$BE$2:$BE$9,0)),"")</f>
        <v/>
      </c>
      <c r="M369" s="114" t="str">
        <f aca="false">IFERROR(INDEX('Historical Data'!$Q$2:$Q$9,MATCH($A369,'Historical Data'!$BE$2:$BE$9,0)),"")</f>
        <v/>
      </c>
      <c r="N369" s="115" t="str">
        <f aca="false">IFERROR(INDEX('Historical Data'!$S$2:$S$9,MATCH($A369,'Historical Data'!$BE$2:$BE$9,0)),"")</f>
        <v/>
      </c>
      <c r="O369" s="114" t="str">
        <f aca="false">IFERROR(INDEX('Historical Data'!$AJ$2:$AJ$9,MATCH($A369,'Historical Data'!$BE$2:$BE$9,0)),"")</f>
        <v/>
      </c>
      <c r="P369" s="114" t="str">
        <f aca="false">IFERROR(INDEX('Historical Data'!$AK$2:$AK$9,MATCH($A369,'Historical Data'!$BE$2:$BE$9,0)),"")</f>
        <v/>
      </c>
      <c r="Q369" s="111" t="str">
        <f aca="false">IFERROR(INDEX('Historical Data'!$AA$2:$AA$9,MATCH($A369,'Historical Data'!$BE$2:$BE$9,0)),"")</f>
        <v/>
      </c>
      <c r="R369" s="111" t="str">
        <f aca="false">IFERROR(INDEX('Historical Data'!$AB$2:$AB$9,MATCH($A369,'Historical Data'!$BE$2:$BE$9,0)),"")</f>
        <v/>
      </c>
      <c r="S369" s="111" t="str">
        <f aca="false">IFERROR(INDEX('Historical Data'!$AN$2:$AN$9,MATCH($A369,'Historical Data'!$BE$2:$BE$9,0)),"")</f>
        <v/>
      </c>
      <c r="T369" s="111" t="str">
        <f aca="false">IFERROR(INDEX('Historical Data'!$AC$2:$AC$9,MATCH($A369,'Historical Data'!$BE$2:$BE$9,0)),"")</f>
        <v/>
      </c>
      <c r="U369" s="111" t="str">
        <f aca="false">IFERROR(INDEX('Historical Data'!$AE$2:$AE$9,MATCH($A369,'Historical Data'!$BE$2:$BE$9,0)),"")</f>
        <v/>
      </c>
      <c r="V369" s="111" t="str">
        <f aca="false">IFERROR(INDEX('Historical Data'!$AH$2:$AH$9,MATCH($A369,'Historical Data'!$BE$2:$BE$9,0)),"")</f>
        <v/>
      </c>
      <c r="W369" s="111" t="str">
        <f aca="false">IFERROR(INDEX('Historical Data'!$BC$2:$BC$9,MATCH($A369,'Historical Data'!$BE$2:$BE$9,0)),"")</f>
        <v/>
      </c>
      <c r="X369" s="110" t="str">
        <f aca="false">IF(B369="","",IF(W369=1,"NR + industry + position",IF(W369=2,"NR + ISO + position",IF(W369=3,"NR + industry",IF(W369=4,"NR + ISO",IF(W369=5,"NR + position",IF(W369=6,"NR only","book baseline"))))))&amp;"  ["&amp;IF(T369=1,"seasoned","unseasoned")&amp;IF(U369=1,", defaulted","")&amp;IF(V369=1,", open","")&amp;"]")</f>
        <v/>
      </c>
    </row>
    <row r="370" customFormat="false" ht="15" hidden="false" customHeight="false" outlineLevel="0" collapsed="false">
      <c r="A370" s="110" t="n">
        <v>366</v>
      </c>
      <c r="B370" s="111" t="str">
        <f aca="false">IFERROR(INDEX('Historical Data'!$A$2:$A$9,MATCH($A370,'Historical Data'!$BE$2:$BE$9,0)),"")</f>
        <v/>
      </c>
      <c r="C370" s="111" t="str">
        <f aca="false">IFERROR(INDEX('Historical Data'!$B$2:$B$9,MATCH($A370,'Historical Data'!$BE$2:$BE$9,0)),"")</f>
        <v/>
      </c>
      <c r="D370" s="111" t="str">
        <f aca="false">IFERROR(INDEX('Historical Data'!$D$2:$D$9,MATCH($A370,'Historical Data'!$BE$2:$BE$9,0)),"")</f>
        <v/>
      </c>
      <c r="E370" s="112" t="str">
        <f aca="false">IFERROR(INDEX('Historical Data'!$E$2:$E$9,MATCH($A370,'Historical Data'!$BE$2:$BE$9,0)),"")</f>
        <v/>
      </c>
      <c r="F370" s="111" t="str">
        <f aca="false">IFERROR(INDEX('Historical Data'!$G$2:$G$9,MATCH($A370,'Historical Data'!$BE$2:$BE$9,0)),"")</f>
        <v/>
      </c>
      <c r="G370" s="111" t="str">
        <f aca="false">IFERROR(INDEX('Historical Data'!$Y$2:$Y$9,MATCH($A370,'Historical Data'!$BE$2:$BE$9,0)),"")</f>
        <v/>
      </c>
      <c r="H370" s="111" t="str">
        <f aca="false">IFERROR(INDEX('Historical Data'!$K$2:$K$9,MATCH($A370,'Historical Data'!$BE$2:$BE$9,0)),"")</f>
        <v/>
      </c>
      <c r="I370" s="111" t="str">
        <f aca="false">IFERROR(INDEX('Historical Data'!$J$2:$J$9,MATCH($A370,'Historical Data'!$BE$2:$BE$9,0)),"")</f>
        <v/>
      </c>
      <c r="J370" s="111" t="str">
        <f aca="false">IFERROR(INDEX('Historical Data'!$L$2:$L$9,MATCH($A370,'Historical Data'!$BE$2:$BE$9,0)),"")</f>
        <v/>
      </c>
      <c r="K370" s="113" t="str">
        <f aca="false">IFERROR(INDEX('Historical Data'!$M$2:$M$9,MATCH($A370,'Historical Data'!$BE$2:$BE$9,0)),"")</f>
        <v/>
      </c>
      <c r="L370" s="114" t="str">
        <f aca="false">IFERROR(INDEX('Historical Data'!$N$2:$N$9,MATCH($A370,'Historical Data'!$BE$2:$BE$9,0)),"")</f>
        <v/>
      </c>
      <c r="M370" s="114" t="str">
        <f aca="false">IFERROR(INDEX('Historical Data'!$Q$2:$Q$9,MATCH($A370,'Historical Data'!$BE$2:$BE$9,0)),"")</f>
        <v/>
      </c>
      <c r="N370" s="115" t="str">
        <f aca="false">IFERROR(INDEX('Historical Data'!$S$2:$S$9,MATCH($A370,'Historical Data'!$BE$2:$BE$9,0)),"")</f>
        <v/>
      </c>
      <c r="O370" s="114" t="str">
        <f aca="false">IFERROR(INDEX('Historical Data'!$AJ$2:$AJ$9,MATCH($A370,'Historical Data'!$BE$2:$BE$9,0)),"")</f>
        <v/>
      </c>
      <c r="P370" s="114" t="str">
        <f aca="false">IFERROR(INDEX('Historical Data'!$AK$2:$AK$9,MATCH($A370,'Historical Data'!$BE$2:$BE$9,0)),"")</f>
        <v/>
      </c>
      <c r="Q370" s="111" t="str">
        <f aca="false">IFERROR(INDEX('Historical Data'!$AA$2:$AA$9,MATCH($A370,'Historical Data'!$BE$2:$BE$9,0)),"")</f>
        <v/>
      </c>
      <c r="R370" s="111" t="str">
        <f aca="false">IFERROR(INDEX('Historical Data'!$AB$2:$AB$9,MATCH($A370,'Historical Data'!$BE$2:$BE$9,0)),"")</f>
        <v/>
      </c>
      <c r="S370" s="111" t="str">
        <f aca="false">IFERROR(INDEX('Historical Data'!$AN$2:$AN$9,MATCH($A370,'Historical Data'!$BE$2:$BE$9,0)),"")</f>
        <v/>
      </c>
      <c r="T370" s="111" t="str">
        <f aca="false">IFERROR(INDEX('Historical Data'!$AC$2:$AC$9,MATCH($A370,'Historical Data'!$BE$2:$BE$9,0)),"")</f>
        <v/>
      </c>
      <c r="U370" s="111" t="str">
        <f aca="false">IFERROR(INDEX('Historical Data'!$AE$2:$AE$9,MATCH($A370,'Historical Data'!$BE$2:$BE$9,0)),"")</f>
        <v/>
      </c>
      <c r="V370" s="111" t="str">
        <f aca="false">IFERROR(INDEX('Historical Data'!$AH$2:$AH$9,MATCH($A370,'Historical Data'!$BE$2:$BE$9,0)),"")</f>
        <v/>
      </c>
      <c r="W370" s="111" t="str">
        <f aca="false">IFERROR(INDEX('Historical Data'!$BC$2:$BC$9,MATCH($A370,'Historical Data'!$BE$2:$BE$9,0)),"")</f>
        <v/>
      </c>
      <c r="X370" s="110" t="str">
        <f aca="false">IF(B370="","",IF(W370=1,"NR + industry + position",IF(W370=2,"NR + ISO + position",IF(W370=3,"NR + industry",IF(W370=4,"NR + ISO",IF(W370=5,"NR + position",IF(W370=6,"NR only","book baseline"))))))&amp;"  ["&amp;IF(T370=1,"seasoned","unseasoned")&amp;IF(U370=1,", defaulted","")&amp;IF(V370=1,", open","")&amp;"]")</f>
        <v/>
      </c>
    </row>
    <row r="371" customFormat="false" ht="15" hidden="false" customHeight="false" outlineLevel="0" collapsed="false">
      <c r="A371" s="110" t="n">
        <v>367</v>
      </c>
      <c r="B371" s="111" t="str">
        <f aca="false">IFERROR(INDEX('Historical Data'!$A$2:$A$9,MATCH($A371,'Historical Data'!$BE$2:$BE$9,0)),"")</f>
        <v/>
      </c>
      <c r="C371" s="111" t="str">
        <f aca="false">IFERROR(INDEX('Historical Data'!$B$2:$B$9,MATCH($A371,'Historical Data'!$BE$2:$BE$9,0)),"")</f>
        <v/>
      </c>
      <c r="D371" s="111" t="str">
        <f aca="false">IFERROR(INDEX('Historical Data'!$D$2:$D$9,MATCH($A371,'Historical Data'!$BE$2:$BE$9,0)),"")</f>
        <v/>
      </c>
      <c r="E371" s="112" t="str">
        <f aca="false">IFERROR(INDEX('Historical Data'!$E$2:$E$9,MATCH($A371,'Historical Data'!$BE$2:$BE$9,0)),"")</f>
        <v/>
      </c>
      <c r="F371" s="111" t="str">
        <f aca="false">IFERROR(INDEX('Historical Data'!$G$2:$G$9,MATCH($A371,'Historical Data'!$BE$2:$BE$9,0)),"")</f>
        <v/>
      </c>
      <c r="G371" s="111" t="str">
        <f aca="false">IFERROR(INDEX('Historical Data'!$Y$2:$Y$9,MATCH($A371,'Historical Data'!$BE$2:$BE$9,0)),"")</f>
        <v/>
      </c>
      <c r="H371" s="111" t="str">
        <f aca="false">IFERROR(INDEX('Historical Data'!$K$2:$K$9,MATCH($A371,'Historical Data'!$BE$2:$BE$9,0)),"")</f>
        <v/>
      </c>
      <c r="I371" s="111" t="str">
        <f aca="false">IFERROR(INDEX('Historical Data'!$J$2:$J$9,MATCH($A371,'Historical Data'!$BE$2:$BE$9,0)),"")</f>
        <v/>
      </c>
      <c r="J371" s="111" t="str">
        <f aca="false">IFERROR(INDEX('Historical Data'!$L$2:$L$9,MATCH($A371,'Historical Data'!$BE$2:$BE$9,0)),"")</f>
        <v/>
      </c>
      <c r="K371" s="113" t="str">
        <f aca="false">IFERROR(INDEX('Historical Data'!$M$2:$M$9,MATCH($A371,'Historical Data'!$BE$2:$BE$9,0)),"")</f>
        <v/>
      </c>
      <c r="L371" s="114" t="str">
        <f aca="false">IFERROR(INDEX('Historical Data'!$N$2:$N$9,MATCH($A371,'Historical Data'!$BE$2:$BE$9,0)),"")</f>
        <v/>
      </c>
      <c r="M371" s="114" t="str">
        <f aca="false">IFERROR(INDEX('Historical Data'!$Q$2:$Q$9,MATCH($A371,'Historical Data'!$BE$2:$BE$9,0)),"")</f>
        <v/>
      </c>
      <c r="N371" s="115" t="str">
        <f aca="false">IFERROR(INDEX('Historical Data'!$S$2:$S$9,MATCH($A371,'Historical Data'!$BE$2:$BE$9,0)),"")</f>
        <v/>
      </c>
      <c r="O371" s="114" t="str">
        <f aca="false">IFERROR(INDEX('Historical Data'!$AJ$2:$AJ$9,MATCH($A371,'Historical Data'!$BE$2:$BE$9,0)),"")</f>
        <v/>
      </c>
      <c r="P371" s="114" t="str">
        <f aca="false">IFERROR(INDEX('Historical Data'!$AK$2:$AK$9,MATCH($A371,'Historical Data'!$BE$2:$BE$9,0)),"")</f>
        <v/>
      </c>
      <c r="Q371" s="111" t="str">
        <f aca="false">IFERROR(INDEX('Historical Data'!$AA$2:$AA$9,MATCH($A371,'Historical Data'!$BE$2:$BE$9,0)),"")</f>
        <v/>
      </c>
      <c r="R371" s="111" t="str">
        <f aca="false">IFERROR(INDEX('Historical Data'!$AB$2:$AB$9,MATCH($A371,'Historical Data'!$BE$2:$BE$9,0)),"")</f>
        <v/>
      </c>
      <c r="S371" s="111" t="str">
        <f aca="false">IFERROR(INDEX('Historical Data'!$AN$2:$AN$9,MATCH($A371,'Historical Data'!$BE$2:$BE$9,0)),"")</f>
        <v/>
      </c>
      <c r="T371" s="111" t="str">
        <f aca="false">IFERROR(INDEX('Historical Data'!$AC$2:$AC$9,MATCH($A371,'Historical Data'!$BE$2:$BE$9,0)),"")</f>
        <v/>
      </c>
      <c r="U371" s="111" t="str">
        <f aca="false">IFERROR(INDEX('Historical Data'!$AE$2:$AE$9,MATCH($A371,'Historical Data'!$BE$2:$BE$9,0)),"")</f>
        <v/>
      </c>
      <c r="V371" s="111" t="str">
        <f aca="false">IFERROR(INDEX('Historical Data'!$AH$2:$AH$9,MATCH($A371,'Historical Data'!$BE$2:$BE$9,0)),"")</f>
        <v/>
      </c>
      <c r="W371" s="111" t="str">
        <f aca="false">IFERROR(INDEX('Historical Data'!$BC$2:$BC$9,MATCH($A371,'Historical Data'!$BE$2:$BE$9,0)),"")</f>
        <v/>
      </c>
      <c r="X371" s="110" t="str">
        <f aca="false">IF(B371="","",IF(W371=1,"NR + industry + position",IF(W371=2,"NR + ISO + position",IF(W371=3,"NR + industry",IF(W371=4,"NR + ISO",IF(W371=5,"NR + position",IF(W371=6,"NR only","book baseline"))))))&amp;"  ["&amp;IF(T371=1,"seasoned","unseasoned")&amp;IF(U371=1,", defaulted","")&amp;IF(V371=1,", open","")&amp;"]")</f>
        <v/>
      </c>
    </row>
    <row r="372" customFormat="false" ht="15" hidden="false" customHeight="false" outlineLevel="0" collapsed="false">
      <c r="A372" s="110" t="n">
        <v>368</v>
      </c>
      <c r="B372" s="111" t="str">
        <f aca="false">IFERROR(INDEX('Historical Data'!$A$2:$A$9,MATCH($A372,'Historical Data'!$BE$2:$BE$9,0)),"")</f>
        <v/>
      </c>
      <c r="C372" s="111" t="str">
        <f aca="false">IFERROR(INDEX('Historical Data'!$B$2:$B$9,MATCH($A372,'Historical Data'!$BE$2:$BE$9,0)),"")</f>
        <v/>
      </c>
      <c r="D372" s="111" t="str">
        <f aca="false">IFERROR(INDEX('Historical Data'!$D$2:$D$9,MATCH($A372,'Historical Data'!$BE$2:$BE$9,0)),"")</f>
        <v/>
      </c>
      <c r="E372" s="112" t="str">
        <f aca="false">IFERROR(INDEX('Historical Data'!$E$2:$E$9,MATCH($A372,'Historical Data'!$BE$2:$BE$9,0)),"")</f>
        <v/>
      </c>
      <c r="F372" s="111" t="str">
        <f aca="false">IFERROR(INDEX('Historical Data'!$G$2:$G$9,MATCH($A372,'Historical Data'!$BE$2:$BE$9,0)),"")</f>
        <v/>
      </c>
      <c r="G372" s="111" t="str">
        <f aca="false">IFERROR(INDEX('Historical Data'!$Y$2:$Y$9,MATCH($A372,'Historical Data'!$BE$2:$BE$9,0)),"")</f>
        <v/>
      </c>
      <c r="H372" s="111" t="str">
        <f aca="false">IFERROR(INDEX('Historical Data'!$K$2:$K$9,MATCH($A372,'Historical Data'!$BE$2:$BE$9,0)),"")</f>
        <v/>
      </c>
      <c r="I372" s="111" t="str">
        <f aca="false">IFERROR(INDEX('Historical Data'!$J$2:$J$9,MATCH($A372,'Historical Data'!$BE$2:$BE$9,0)),"")</f>
        <v/>
      </c>
      <c r="J372" s="111" t="str">
        <f aca="false">IFERROR(INDEX('Historical Data'!$L$2:$L$9,MATCH($A372,'Historical Data'!$BE$2:$BE$9,0)),"")</f>
        <v/>
      </c>
      <c r="K372" s="113" t="str">
        <f aca="false">IFERROR(INDEX('Historical Data'!$M$2:$M$9,MATCH($A372,'Historical Data'!$BE$2:$BE$9,0)),"")</f>
        <v/>
      </c>
      <c r="L372" s="114" t="str">
        <f aca="false">IFERROR(INDEX('Historical Data'!$N$2:$N$9,MATCH($A372,'Historical Data'!$BE$2:$BE$9,0)),"")</f>
        <v/>
      </c>
      <c r="M372" s="114" t="str">
        <f aca="false">IFERROR(INDEX('Historical Data'!$Q$2:$Q$9,MATCH($A372,'Historical Data'!$BE$2:$BE$9,0)),"")</f>
        <v/>
      </c>
      <c r="N372" s="115" t="str">
        <f aca="false">IFERROR(INDEX('Historical Data'!$S$2:$S$9,MATCH($A372,'Historical Data'!$BE$2:$BE$9,0)),"")</f>
        <v/>
      </c>
      <c r="O372" s="114" t="str">
        <f aca="false">IFERROR(INDEX('Historical Data'!$AJ$2:$AJ$9,MATCH($A372,'Historical Data'!$BE$2:$BE$9,0)),"")</f>
        <v/>
      </c>
      <c r="P372" s="114" t="str">
        <f aca="false">IFERROR(INDEX('Historical Data'!$AK$2:$AK$9,MATCH($A372,'Historical Data'!$BE$2:$BE$9,0)),"")</f>
        <v/>
      </c>
      <c r="Q372" s="111" t="str">
        <f aca="false">IFERROR(INDEX('Historical Data'!$AA$2:$AA$9,MATCH($A372,'Historical Data'!$BE$2:$BE$9,0)),"")</f>
        <v/>
      </c>
      <c r="R372" s="111" t="str">
        <f aca="false">IFERROR(INDEX('Historical Data'!$AB$2:$AB$9,MATCH($A372,'Historical Data'!$BE$2:$BE$9,0)),"")</f>
        <v/>
      </c>
      <c r="S372" s="111" t="str">
        <f aca="false">IFERROR(INDEX('Historical Data'!$AN$2:$AN$9,MATCH($A372,'Historical Data'!$BE$2:$BE$9,0)),"")</f>
        <v/>
      </c>
      <c r="T372" s="111" t="str">
        <f aca="false">IFERROR(INDEX('Historical Data'!$AC$2:$AC$9,MATCH($A372,'Historical Data'!$BE$2:$BE$9,0)),"")</f>
        <v/>
      </c>
      <c r="U372" s="111" t="str">
        <f aca="false">IFERROR(INDEX('Historical Data'!$AE$2:$AE$9,MATCH($A372,'Historical Data'!$BE$2:$BE$9,0)),"")</f>
        <v/>
      </c>
      <c r="V372" s="111" t="str">
        <f aca="false">IFERROR(INDEX('Historical Data'!$AH$2:$AH$9,MATCH($A372,'Historical Data'!$BE$2:$BE$9,0)),"")</f>
        <v/>
      </c>
      <c r="W372" s="111" t="str">
        <f aca="false">IFERROR(INDEX('Historical Data'!$BC$2:$BC$9,MATCH($A372,'Historical Data'!$BE$2:$BE$9,0)),"")</f>
        <v/>
      </c>
      <c r="X372" s="110" t="str">
        <f aca="false">IF(B372="","",IF(W372=1,"NR + industry + position",IF(W372=2,"NR + ISO + position",IF(W372=3,"NR + industry",IF(W372=4,"NR + ISO",IF(W372=5,"NR + position",IF(W372=6,"NR only","book baseline"))))))&amp;"  ["&amp;IF(T372=1,"seasoned","unseasoned")&amp;IF(U372=1,", defaulted","")&amp;IF(V372=1,", open","")&amp;"]")</f>
        <v/>
      </c>
    </row>
    <row r="373" customFormat="false" ht="15" hidden="false" customHeight="false" outlineLevel="0" collapsed="false">
      <c r="A373" s="110" t="n">
        <v>369</v>
      </c>
      <c r="B373" s="111" t="str">
        <f aca="false">IFERROR(INDEX('Historical Data'!$A$2:$A$9,MATCH($A373,'Historical Data'!$BE$2:$BE$9,0)),"")</f>
        <v/>
      </c>
      <c r="C373" s="111" t="str">
        <f aca="false">IFERROR(INDEX('Historical Data'!$B$2:$B$9,MATCH($A373,'Historical Data'!$BE$2:$BE$9,0)),"")</f>
        <v/>
      </c>
      <c r="D373" s="111" t="str">
        <f aca="false">IFERROR(INDEX('Historical Data'!$D$2:$D$9,MATCH($A373,'Historical Data'!$BE$2:$BE$9,0)),"")</f>
        <v/>
      </c>
      <c r="E373" s="112" t="str">
        <f aca="false">IFERROR(INDEX('Historical Data'!$E$2:$E$9,MATCH($A373,'Historical Data'!$BE$2:$BE$9,0)),"")</f>
        <v/>
      </c>
      <c r="F373" s="111" t="str">
        <f aca="false">IFERROR(INDEX('Historical Data'!$G$2:$G$9,MATCH($A373,'Historical Data'!$BE$2:$BE$9,0)),"")</f>
        <v/>
      </c>
      <c r="G373" s="111" t="str">
        <f aca="false">IFERROR(INDEX('Historical Data'!$Y$2:$Y$9,MATCH($A373,'Historical Data'!$BE$2:$BE$9,0)),"")</f>
        <v/>
      </c>
      <c r="H373" s="111" t="str">
        <f aca="false">IFERROR(INDEX('Historical Data'!$K$2:$K$9,MATCH($A373,'Historical Data'!$BE$2:$BE$9,0)),"")</f>
        <v/>
      </c>
      <c r="I373" s="111" t="str">
        <f aca="false">IFERROR(INDEX('Historical Data'!$J$2:$J$9,MATCH($A373,'Historical Data'!$BE$2:$BE$9,0)),"")</f>
        <v/>
      </c>
      <c r="J373" s="111" t="str">
        <f aca="false">IFERROR(INDEX('Historical Data'!$L$2:$L$9,MATCH($A373,'Historical Data'!$BE$2:$BE$9,0)),"")</f>
        <v/>
      </c>
      <c r="K373" s="113" t="str">
        <f aca="false">IFERROR(INDEX('Historical Data'!$M$2:$M$9,MATCH($A373,'Historical Data'!$BE$2:$BE$9,0)),"")</f>
        <v/>
      </c>
      <c r="L373" s="114" t="str">
        <f aca="false">IFERROR(INDEX('Historical Data'!$N$2:$N$9,MATCH($A373,'Historical Data'!$BE$2:$BE$9,0)),"")</f>
        <v/>
      </c>
      <c r="M373" s="114" t="str">
        <f aca="false">IFERROR(INDEX('Historical Data'!$Q$2:$Q$9,MATCH($A373,'Historical Data'!$BE$2:$BE$9,0)),"")</f>
        <v/>
      </c>
      <c r="N373" s="115" t="str">
        <f aca="false">IFERROR(INDEX('Historical Data'!$S$2:$S$9,MATCH($A373,'Historical Data'!$BE$2:$BE$9,0)),"")</f>
        <v/>
      </c>
      <c r="O373" s="114" t="str">
        <f aca="false">IFERROR(INDEX('Historical Data'!$AJ$2:$AJ$9,MATCH($A373,'Historical Data'!$BE$2:$BE$9,0)),"")</f>
        <v/>
      </c>
      <c r="P373" s="114" t="str">
        <f aca="false">IFERROR(INDEX('Historical Data'!$AK$2:$AK$9,MATCH($A373,'Historical Data'!$BE$2:$BE$9,0)),"")</f>
        <v/>
      </c>
      <c r="Q373" s="111" t="str">
        <f aca="false">IFERROR(INDEX('Historical Data'!$AA$2:$AA$9,MATCH($A373,'Historical Data'!$BE$2:$BE$9,0)),"")</f>
        <v/>
      </c>
      <c r="R373" s="111" t="str">
        <f aca="false">IFERROR(INDEX('Historical Data'!$AB$2:$AB$9,MATCH($A373,'Historical Data'!$BE$2:$BE$9,0)),"")</f>
        <v/>
      </c>
      <c r="S373" s="111" t="str">
        <f aca="false">IFERROR(INDEX('Historical Data'!$AN$2:$AN$9,MATCH($A373,'Historical Data'!$BE$2:$BE$9,0)),"")</f>
        <v/>
      </c>
      <c r="T373" s="111" t="str">
        <f aca="false">IFERROR(INDEX('Historical Data'!$AC$2:$AC$9,MATCH($A373,'Historical Data'!$BE$2:$BE$9,0)),"")</f>
        <v/>
      </c>
      <c r="U373" s="111" t="str">
        <f aca="false">IFERROR(INDEX('Historical Data'!$AE$2:$AE$9,MATCH($A373,'Historical Data'!$BE$2:$BE$9,0)),"")</f>
        <v/>
      </c>
      <c r="V373" s="111" t="str">
        <f aca="false">IFERROR(INDEX('Historical Data'!$AH$2:$AH$9,MATCH($A373,'Historical Data'!$BE$2:$BE$9,0)),"")</f>
        <v/>
      </c>
      <c r="W373" s="111" t="str">
        <f aca="false">IFERROR(INDEX('Historical Data'!$BC$2:$BC$9,MATCH($A373,'Historical Data'!$BE$2:$BE$9,0)),"")</f>
        <v/>
      </c>
      <c r="X373" s="110" t="str">
        <f aca="false">IF(B373="","",IF(W373=1,"NR + industry + position",IF(W373=2,"NR + ISO + position",IF(W373=3,"NR + industry",IF(W373=4,"NR + ISO",IF(W373=5,"NR + position",IF(W373=6,"NR only","book baseline"))))))&amp;"  ["&amp;IF(T373=1,"seasoned","unseasoned")&amp;IF(U373=1,", defaulted","")&amp;IF(V373=1,", open","")&amp;"]")</f>
        <v/>
      </c>
    </row>
    <row r="374" customFormat="false" ht="15" hidden="false" customHeight="false" outlineLevel="0" collapsed="false">
      <c r="A374" s="110" t="n">
        <v>370</v>
      </c>
      <c r="B374" s="111" t="str">
        <f aca="false">IFERROR(INDEX('Historical Data'!$A$2:$A$9,MATCH($A374,'Historical Data'!$BE$2:$BE$9,0)),"")</f>
        <v/>
      </c>
      <c r="C374" s="111" t="str">
        <f aca="false">IFERROR(INDEX('Historical Data'!$B$2:$B$9,MATCH($A374,'Historical Data'!$BE$2:$BE$9,0)),"")</f>
        <v/>
      </c>
      <c r="D374" s="111" t="str">
        <f aca="false">IFERROR(INDEX('Historical Data'!$D$2:$D$9,MATCH($A374,'Historical Data'!$BE$2:$BE$9,0)),"")</f>
        <v/>
      </c>
      <c r="E374" s="112" t="str">
        <f aca="false">IFERROR(INDEX('Historical Data'!$E$2:$E$9,MATCH($A374,'Historical Data'!$BE$2:$BE$9,0)),"")</f>
        <v/>
      </c>
      <c r="F374" s="111" t="str">
        <f aca="false">IFERROR(INDEX('Historical Data'!$G$2:$G$9,MATCH($A374,'Historical Data'!$BE$2:$BE$9,0)),"")</f>
        <v/>
      </c>
      <c r="G374" s="111" t="str">
        <f aca="false">IFERROR(INDEX('Historical Data'!$Y$2:$Y$9,MATCH($A374,'Historical Data'!$BE$2:$BE$9,0)),"")</f>
        <v/>
      </c>
      <c r="H374" s="111" t="str">
        <f aca="false">IFERROR(INDEX('Historical Data'!$K$2:$K$9,MATCH($A374,'Historical Data'!$BE$2:$BE$9,0)),"")</f>
        <v/>
      </c>
      <c r="I374" s="111" t="str">
        <f aca="false">IFERROR(INDEX('Historical Data'!$J$2:$J$9,MATCH($A374,'Historical Data'!$BE$2:$BE$9,0)),"")</f>
        <v/>
      </c>
      <c r="J374" s="111" t="str">
        <f aca="false">IFERROR(INDEX('Historical Data'!$L$2:$L$9,MATCH($A374,'Historical Data'!$BE$2:$BE$9,0)),"")</f>
        <v/>
      </c>
      <c r="K374" s="113" t="str">
        <f aca="false">IFERROR(INDEX('Historical Data'!$M$2:$M$9,MATCH($A374,'Historical Data'!$BE$2:$BE$9,0)),"")</f>
        <v/>
      </c>
      <c r="L374" s="114" t="str">
        <f aca="false">IFERROR(INDEX('Historical Data'!$N$2:$N$9,MATCH($A374,'Historical Data'!$BE$2:$BE$9,0)),"")</f>
        <v/>
      </c>
      <c r="M374" s="114" t="str">
        <f aca="false">IFERROR(INDEX('Historical Data'!$Q$2:$Q$9,MATCH($A374,'Historical Data'!$BE$2:$BE$9,0)),"")</f>
        <v/>
      </c>
      <c r="N374" s="115" t="str">
        <f aca="false">IFERROR(INDEX('Historical Data'!$S$2:$S$9,MATCH($A374,'Historical Data'!$BE$2:$BE$9,0)),"")</f>
        <v/>
      </c>
      <c r="O374" s="114" t="str">
        <f aca="false">IFERROR(INDEX('Historical Data'!$AJ$2:$AJ$9,MATCH($A374,'Historical Data'!$BE$2:$BE$9,0)),"")</f>
        <v/>
      </c>
      <c r="P374" s="114" t="str">
        <f aca="false">IFERROR(INDEX('Historical Data'!$AK$2:$AK$9,MATCH($A374,'Historical Data'!$BE$2:$BE$9,0)),"")</f>
        <v/>
      </c>
      <c r="Q374" s="111" t="str">
        <f aca="false">IFERROR(INDEX('Historical Data'!$AA$2:$AA$9,MATCH($A374,'Historical Data'!$BE$2:$BE$9,0)),"")</f>
        <v/>
      </c>
      <c r="R374" s="111" t="str">
        <f aca="false">IFERROR(INDEX('Historical Data'!$AB$2:$AB$9,MATCH($A374,'Historical Data'!$BE$2:$BE$9,0)),"")</f>
        <v/>
      </c>
      <c r="S374" s="111" t="str">
        <f aca="false">IFERROR(INDEX('Historical Data'!$AN$2:$AN$9,MATCH($A374,'Historical Data'!$BE$2:$BE$9,0)),"")</f>
        <v/>
      </c>
      <c r="T374" s="111" t="str">
        <f aca="false">IFERROR(INDEX('Historical Data'!$AC$2:$AC$9,MATCH($A374,'Historical Data'!$BE$2:$BE$9,0)),"")</f>
        <v/>
      </c>
      <c r="U374" s="111" t="str">
        <f aca="false">IFERROR(INDEX('Historical Data'!$AE$2:$AE$9,MATCH($A374,'Historical Data'!$BE$2:$BE$9,0)),"")</f>
        <v/>
      </c>
      <c r="V374" s="111" t="str">
        <f aca="false">IFERROR(INDEX('Historical Data'!$AH$2:$AH$9,MATCH($A374,'Historical Data'!$BE$2:$BE$9,0)),"")</f>
        <v/>
      </c>
      <c r="W374" s="111" t="str">
        <f aca="false">IFERROR(INDEX('Historical Data'!$BC$2:$BC$9,MATCH($A374,'Historical Data'!$BE$2:$BE$9,0)),"")</f>
        <v/>
      </c>
      <c r="X374" s="110" t="str">
        <f aca="false">IF(B374="","",IF(W374=1,"NR + industry + position",IF(W374=2,"NR + ISO + position",IF(W374=3,"NR + industry",IF(W374=4,"NR + ISO",IF(W374=5,"NR + position",IF(W374=6,"NR only","book baseline"))))))&amp;"  ["&amp;IF(T374=1,"seasoned","unseasoned")&amp;IF(U374=1,", defaulted","")&amp;IF(V374=1,", open","")&amp;"]")</f>
        <v/>
      </c>
    </row>
    <row r="375" customFormat="false" ht="15" hidden="false" customHeight="false" outlineLevel="0" collapsed="false">
      <c r="A375" s="110" t="n">
        <v>371</v>
      </c>
      <c r="B375" s="111" t="str">
        <f aca="false">IFERROR(INDEX('Historical Data'!$A$2:$A$9,MATCH($A375,'Historical Data'!$BE$2:$BE$9,0)),"")</f>
        <v/>
      </c>
      <c r="C375" s="111" t="str">
        <f aca="false">IFERROR(INDEX('Historical Data'!$B$2:$B$9,MATCH($A375,'Historical Data'!$BE$2:$BE$9,0)),"")</f>
        <v/>
      </c>
      <c r="D375" s="111" t="str">
        <f aca="false">IFERROR(INDEX('Historical Data'!$D$2:$D$9,MATCH($A375,'Historical Data'!$BE$2:$BE$9,0)),"")</f>
        <v/>
      </c>
      <c r="E375" s="112" t="str">
        <f aca="false">IFERROR(INDEX('Historical Data'!$E$2:$E$9,MATCH($A375,'Historical Data'!$BE$2:$BE$9,0)),"")</f>
        <v/>
      </c>
      <c r="F375" s="111" t="str">
        <f aca="false">IFERROR(INDEX('Historical Data'!$G$2:$G$9,MATCH($A375,'Historical Data'!$BE$2:$BE$9,0)),"")</f>
        <v/>
      </c>
      <c r="G375" s="111" t="str">
        <f aca="false">IFERROR(INDEX('Historical Data'!$Y$2:$Y$9,MATCH($A375,'Historical Data'!$BE$2:$BE$9,0)),"")</f>
        <v/>
      </c>
      <c r="H375" s="111" t="str">
        <f aca="false">IFERROR(INDEX('Historical Data'!$K$2:$K$9,MATCH($A375,'Historical Data'!$BE$2:$BE$9,0)),"")</f>
        <v/>
      </c>
      <c r="I375" s="111" t="str">
        <f aca="false">IFERROR(INDEX('Historical Data'!$J$2:$J$9,MATCH($A375,'Historical Data'!$BE$2:$BE$9,0)),"")</f>
        <v/>
      </c>
      <c r="J375" s="111" t="str">
        <f aca="false">IFERROR(INDEX('Historical Data'!$L$2:$L$9,MATCH($A375,'Historical Data'!$BE$2:$BE$9,0)),"")</f>
        <v/>
      </c>
      <c r="K375" s="113" t="str">
        <f aca="false">IFERROR(INDEX('Historical Data'!$M$2:$M$9,MATCH($A375,'Historical Data'!$BE$2:$BE$9,0)),"")</f>
        <v/>
      </c>
      <c r="L375" s="114" t="str">
        <f aca="false">IFERROR(INDEX('Historical Data'!$N$2:$N$9,MATCH($A375,'Historical Data'!$BE$2:$BE$9,0)),"")</f>
        <v/>
      </c>
      <c r="M375" s="114" t="str">
        <f aca="false">IFERROR(INDEX('Historical Data'!$Q$2:$Q$9,MATCH($A375,'Historical Data'!$BE$2:$BE$9,0)),"")</f>
        <v/>
      </c>
      <c r="N375" s="115" t="str">
        <f aca="false">IFERROR(INDEX('Historical Data'!$S$2:$S$9,MATCH($A375,'Historical Data'!$BE$2:$BE$9,0)),"")</f>
        <v/>
      </c>
      <c r="O375" s="114" t="str">
        <f aca="false">IFERROR(INDEX('Historical Data'!$AJ$2:$AJ$9,MATCH($A375,'Historical Data'!$BE$2:$BE$9,0)),"")</f>
        <v/>
      </c>
      <c r="P375" s="114" t="str">
        <f aca="false">IFERROR(INDEX('Historical Data'!$AK$2:$AK$9,MATCH($A375,'Historical Data'!$BE$2:$BE$9,0)),"")</f>
        <v/>
      </c>
      <c r="Q375" s="111" t="str">
        <f aca="false">IFERROR(INDEX('Historical Data'!$AA$2:$AA$9,MATCH($A375,'Historical Data'!$BE$2:$BE$9,0)),"")</f>
        <v/>
      </c>
      <c r="R375" s="111" t="str">
        <f aca="false">IFERROR(INDEX('Historical Data'!$AB$2:$AB$9,MATCH($A375,'Historical Data'!$BE$2:$BE$9,0)),"")</f>
        <v/>
      </c>
      <c r="S375" s="111" t="str">
        <f aca="false">IFERROR(INDEX('Historical Data'!$AN$2:$AN$9,MATCH($A375,'Historical Data'!$BE$2:$BE$9,0)),"")</f>
        <v/>
      </c>
      <c r="T375" s="111" t="str">
        <f aca="false">IFERROR(INDEX('Historical Data'!$AC$2:$AC$9,MATCH($A375,'Historical Data'!$BE$2:$BE$9,0)),"")</f>
        <v/>
      </c>
      <c r="U375" s="111" t="str">
        <f aca="false">IFERROR(INDEX('Historical Data'!$AE$2:$AE$9,MATCH($A375,'Historical Data'!$BE$2:$BE$9,0)),"")</f>
        <v/>
      </c>
      <c r="V375" s="111" t="str">
        <f aca="false">IFERROR(INDEX('Historical Data'!$AH$2:$AH$9,MATCH($A375,'Historical Data'!$BE$2:$BE$9,0)),"")</f>
        <v/>
      </c>
      <c r="W375" s="111" t="str">
        <f aca="false">IFERROR(INDEX('Historical Data'!$BC$2:$BC$9,MATCH($A375,'Historical Data'!$BE$2:$BE$9,0)),"")</f>
        <v/>
      </c>
      <c r="X375" s="110" t="str">
        <f aca="false">IF(B375="","",IF(W375=1,"NR + industry + position",IF(W375=2,"NR + ISO + position",IF(W375=3,"NR + industry",IF(W375=4,"NR + ISO",IF(W375=5,"NR + position",IF(W375=6,"NR only","book baseline"))))))&amp;"  ["&amp;IF(T375=1,"seasoned","unseasoned")&amp;IF(U375=1,", defaulted","")&amp;IF(V375=1,", open","")&amp;"]")</f>
        <v/>
      </c>
    </row>
    <row r="376" customFormat="false" ht="15" hidden="false" customHeight="false" outlineLevel="0" collapsed="false">
      <c r="A376" s="110" t="n">
        <v>372</v>
      </c>
      <c r="B376" s="111" t="str">
        <f aca="false">IFERROR(INDEX('Historical Data'!$A$2:$A$9,MATCH($A376,'Historical Data'!$BE$2:$BE$9,0)),"")</f>
        <v/>
      </c>
      <c r="C376" s="111" t="str">
        <f aca="false">IFERROR(INDEX('Historical Data'!$B$2:$B$9,MATCH($A376,'Historical Data'!$BE$2:$BE$9,0)),"")</f>
        <v/>
      </c>
      <c r="D376" s="111" t="str">
        <f aca="false">IFERROR(INDEX('Historical Data'!$D$2:$D$9,MATCH($A376,'Historical Data'!$BE$2:$BE$9,0)),"")</f>
        <v/>
      </c>
      <c r="E376" s="112" t="str">
        <f aca="false">IFERROR(INDEX('Historical Data'!$E$2:$E$9,MATCH($A376,'Historical Data'!$BE$2:$BE$9,0)),"")</f>
        <v/>
      </c>
      <c r="F376" s="111" t="str">
        <f aca="false">IFERROR(INDEX('Historical Data'!$G$2:$G$9,MATCH($A376,'Historical Data'!$BE$2:$BE$9,0)),"")</f>
        <v/>
      </c>
      <c r="G376" s="111" t="str">
        <f aca="false">IFERROR(INDEX('Historical Data'!$Y$2:$Y$9,MATCH($A376,'Historical Data'!$BE$2:$BE$9,0)),"")</f>
        <v/>
      </c>
      <c r="H376" s="111" t="str">
        <f aca="false">IFERROR(INDEX('Historical Data'!$K$2:$K$9,MATCH($A376,'Historical Data'!$BE$2:$BE$9,0)),"")</f>
        <v/>
      </c>
      <c r="I376" s="111" t="str">
        <f aca="false">IFERROR(INDEX('Historical Data'!$J$2:$J$9,MATCH($A376,'Historical Data'!$BE$2:$BE$9,0)),"")</f>
        <v/>
      </c>
      <c r="J376" s="111" t="str">
        <f aca="false">IFERROR(INDEX('Historical Data'!$L$2:$L$9,MATCH($A376,'Historical Data'!$BE$2:$BE$9,0)),"")</f>
        <v/>
      </c>
      <c r="K376" s="113" t="str">
        <f aca="false">IFERROR(INDEX('Historical Data'!$M$2:$M$9,MATCH($A376,'Historical Data'!$BE$2:$BE$9,0)),"")</f>
        <v/>
      </c>
      <c r="L376" s="114" t="str">
        <f aca="false">IFERROR(INDEX('Historical Data'!$N$2:$N$9,MATCH($A376,'Historical Data'!$BE$2:$BE$9,0)),"")</f>
        <v/>
      </c>
      <c r="M376" s="114" t="str">
        <f aca="false">IFERROR(INDEX('Historical Data'!$Q$2:$Q$9,MATCH($A376,'Historical Data'!$BE$2:$BE$9,0)),"")</f>
        <v/>
      </c>
      <c r="N376" s="115" t="str">
        <f aca="false">IFERROR(INDEX('Historical Data'!$S$2:$S$9,MATCH($A376,'Historical Data'!$BE$2:$BE$9,0)),"")</f>
        <v/>
      </c>
      <c r="O376" s="114" t="str">
        <f aca="false">IFERROR(INDEX('Historical Data'!$AJ$2:$AJ$9,MATCH($A376,'Historical Data'!$BE$2:$BE$9,0)),"")</f>
        <v/>
      </c>
      <c r="P376" s="114" t="str">
        <f aca="false">IFERROR(INDEX('Historical Data'!$AK$2:$AK$9,MATCH($A376,'Historical Data'!$BE$2:$BE$9,0)),"")</f>
        <v/>
      </c>
      <c r="Q376" s="111" t="str">
        <f aca="false">IFERROR(INDEX('Historical Data'!$AA$2:$AA$9,MATCH($A376,'Historical Data'!$BE$2:$BE$9,0)),"")</f>
        <v/>
      </c>
      <c r="R376" s="111" t="str">
        <f aca="false">IFERROR(INDEX('Historical Data'!$AB$2:$AB$9,MATCH($A376,'Historical Data'!$BE$2:$BE$9,0)),"")</f>
        <v/>
      </c>
      <c r="S376" s="111" t="str">
        <f aca="false">IFERROR(INDEX('Historical Data'!$AN$2:$AN$9,MATCH($A376,'Historical Data'!$BE$2:$BE$9,0)),"")</f>
        <v/>
      </c>
      <c r="T376" s="111" t="str">
        <f aca="false">IFERROR(INDEX('Historical Data'!$AC$2:$AC$9,MATCH($A376,'Historical Data'!$BE$2:$BE$9,0)),"")</f>
        <v/>
      </c>
      <c r="U376" s="111" t="str">
        <f aca="false">IFERROR(INDEX('Historical Data'!$AE$2:$AE$9,MATCH($A376,'Historical Data'!$BE$2:$BE$9,0)),"")</f>
        <v/>
      </c>
      <c r="V376" s="111" t="str">
        <f aca="false">IFERROR(INDEX('Historical Data'!$AH$2:$AH$9,MATCH($A376,'Historical Data'!$BE$2:$BE$9,0)),"")</f>
        <v/>
      </c>
      <c r="W376" s="111" t="str">
        <f aca="false">IFERROR(INDEX('Historical Data'!$BC$2:$BC$9,MATCH($A376,'Historical Data'!$BE$2:$BE$9,0)),"")</f>
        <v/>
      </c>
      <c r="X376" s="110" t="str">
        <f aca="false">IF(B376="","",IF(W376=1,"NR + industry + position",IF(W376=2,"NR + ISO + position",IF(W376=3,"NR + industry",IF(W376=4,"NR + ISO",IF(W376=5,"NR + position",IF(W376=6,"NR only","book baseline"))))))&amp;"  ["&amp;IF(T376=1,"seasoned","unseasoned")&amp;IF(U376=1,", defaulted","")&amp;IF(V376=1,", open","")&amp;"]")</f>
        <v/>
      </c>
    </row>
    <row r="377" customFormat="false" ht="15" hidden="false" customHeight="false" outlineLevel="0" collapsed="false">
      <c r="A377" s="110" t="n">
        <v>373</v>
      </c>
      <c r="B377" s="111" t="str">
        <f aca="false">IFERROR(INDEX('Historical Data'!$A$2:$A$9,MATCH($A377,'Historical Data'!$BE$2:$BE$9,0)),"")</f>
        <v/>
      </c>
      <c r="C377" s="111" t="str">
        <f aca="false">IFERROR(INDEX('Historical Data'!$B$2:$B$9,MATCH($A377,'Historical Data'!$BE$2:$BE$9,0)),"")</f>
        <v/>
      </c>
      <c r="D377" s="111" t="str">
        <f aca="false">IFERROR(INDEX('Historical Data'!$D$2:$D$9,MATCH($A377,'Historical Data'!$BE$2:$BE$9,0)),"")</f>
        <v/>
      </c>
      <c r="E377" s="112" t="str">
        <f aca="false">IFERROR(INDEX('Historical Data'!$E$2:$E$9,MATCH($A377,'Historical Data'!$BE$2:$BE$9,0)),"")</f>
        <v/>
      </c>
      <c r="F377" s="111" t="str">
        <f aca="false">IFERROR(INDEX('Historical Data'!$G$2:$G$9,MATCH($A377,'Historical Data'!$BE$2:$BE$9,0)),"")</f>
        <v/>
      </c>
      <c r="G377" s="111" t="str">
        <f aca="false">IFERROR(INDEX('Historical Data'!$Y$2:$Y$9,MATCH($A377,'Historical Data'!$BE$2:$BE$9,0)),"")</f>
        <v/>
      </c>
      <c r="H377" s="111" t="str">
        <f aca="false">IFERROR(INDEX('Historical Data'!$K$2:$K$9,MATCH($A377,'Historical Data'!$BE$2:$BE$9,0)),"")</f>
        <v/>
      </c>
      <c r="I377" s="111" t="str">
        <f aca="false">IFERROR(INDEX('Historical Data'!$J$2:$J$9,MATCH($A377,'Historical Data'!$BE$2:$BE$9,0)),"")</f>
        <v/>
      </c>
      <c r="J377" s="111" t="str">
        <f aca="false">IFERROR(INDEX('Historical Data'!$L$2:$L$9,MATCH($A377,'Historical Data'!$BE$2:$BE$9,0)),"")</f>
        <v/>
      </c>
      <c r="K377" s="113" t="str">
        <f aca="false">IFERROR(INDEX('Historical Data'!$M$2:$M$9,MATCH($A377,'Historical Data'!$BE$2:$BE$9,0)),"")</f>
        <v/>
      </c>
      <c r="L377" s="114" t="str">
        <f aca="false">IFERROR(INDEX('Historical Data'!$N$2:$N$9,MATCH($A377,'Historical Data'!$BE$2:$BE$9,0)),"")</f>
        <v/>
      </c>
      <c r="M377" s="114" t="str">
        <f aca="false">IFERROR(INDEX('Historical Data'!$Q$2:$Q$9,MATCH($A377,'Historical Data'!$BE$2:$BE$9,0)),"")</f>
        <v/>
      </c>
      <c r="N377" s="115" t="str">
        <f aca="false">IFERROR(INDEX('Historical Data'!$S$2:$S$9,MATCH($A377,'Historical Data'!$BE$2:$BE$9,0)),"")</f>
        <v/>
      </c>
      <c r="O377" s="114" t="str">
        <f aca="false">IFERROR(INDEX('Historical Data'!$AJ$2:$AJ$9,MATCH($A377,'Historical Data'!$BE$2:$BE$9,0)),"")</f>
        <v/>
      </c>
      <c r="P377" s="114" t="str">
        <f aca="false">IFERROR(INDEX('Historical Data'!$AK$2:$AK$9,MATCH($A377,'Historical Data'!$BE$2:$BE$9,0)),"")</f>
        <v/>
      </c>
      <c r="Q377" s="111" t="str">
        <f aca="false">IFERROR(INDEX('Historical Data'!$AA$2:$AA$9,MATCH($A377,'Historical Data'!$BE$2:$BE$9,0)),"")</f>
        <v/>
      </c>
      <c r="R377" s="111" t="str">
        <f aca="false">IFERROR(INDEX('Historical Data'!$AB$2:$AB$9,MATCH($A377,'Historical Data'!$BE$2:$BE$9,0)),"")</f>
        <v/>
      </c>
      <c r="S377" s="111" t="str">
        <f aca="false">IFERROR(INDEX('Historical Data'!$AN$2:$AN$9,MATCH($A377,'Historical Data'!$BE$2:$BE$9,0)),"")</f>
        <v/>
      </c>
      <c r="T377" s="111" t="str">
        <f aca="false">IFERROR(INDEX('Historical Data'!$AC$2:$AC$9,MATCH($A377,'Historical Data'!$BE$2:$BE$9,0)),"")</f>
        <v/>
      </c>
      <c r="U377" s="111" t="str">
        <f aca="false">IFERROR(INDEX('Historical Data'!$AE$2:$AE$9,MATCH($A377,'Historical Data'!$BE$2:$BE$9,0)),"")</f>
        <v/>
      </c>
      <c r="V377" s="111" t="str">
        <f aca="false">IFERROR(INDEX('Historical Data'!$AH$2:$AH$9,MATCH($A377,'Historical Data'!$BE$2:$BE$9,0)),"")</f>
        <v/>
      </c>
      <c r="W377" s="111" t="str">
        <f aca="false">IFERROR(INDEX('Historical Data'!$BC$2:$BC$9,MATCH($A377,'Historical Data'!$BE$2:$BE$9,0)),"")</f>
        <v/>
      </c>
      <c r="X377" s="110" t="str">
        <f aca="false">IF(B377="","",IF(W377=1,"NR + industry + position",IF(W377=2,"NR + ISO + position",IF(W377=3,"NR + industry",IF(W377=4,"NR + ISO",IF(W377=5,"NR + position",IF(W377=6,"NR only","book baseline"))))))&amp;"  ["&amp;IF(T377=1,"seasoned","unseasoned")&amp;IF(U377=1,", defaulted","")&amp;IF(V377=1,", open","")&amp;"]")</f>
        <v/>
      </c>
    </row>
    <row r="378" customFormat="false" ht="15" hidden="false" customHeight="false" outlineLevel="0" collapsed="false">
      <c r="A378" s="110" t="n">
        <v>374</v>
      </c>
      <c r="B378" s="111" t="str">
        <f aca="false">IFERROR(INDEX('Historical Data'!$A$2:$A$9,MATCH($A378,'Historical Data'!$BE$2:$BE$9,0)),"")</f>
        <v/>
      </c>
      <c r="C378" s="111" t="str">
        <f aca="false">IFERROR(INDEX('Historical Data'!$B$2:$B$9,MATCH($A378,'Historical Data'!$BE$2:$BE$9,0)),"")</f>
        <v/>
      </c>
      <c r="D378" s="111" t="str">
        <f aca="false">IFERROR(INDEX('Historical Data'!$D$2:$D$9,MATCH($A378,'Historical Data'!$BE$2:$BE$9,0)),"")</f>
        <v/>
      </c>
      <c r="E378" s="112" t="str">
        <f aca="false">IFERROR(INDEX('Historical Data'!$E$2:$E$9,MATCH($A378,'Historical Data'!$BE$2:$BE$9,0)),"")</f>
        <v/>
      </c>
      <c r="F378" s="111" t="str">
        <f aca="false">IFERROR(INDEX('Historical Data'!$G$2:$G$9,MATCH($A378,'Historical Data'!$BE$2:$BE$9,0)),"")</f>
        <v/>
      </c>
      <c r="G378" s="111" t="str">
        <f aca="false">IFERROR(INDEX('Historical Data'!$Y$2:$Y$9,MATCH($A378,'Historical Data'!$BE$2:$BE$9,0)),"")</f>
        <v/>
      </c>
      <c r="H378" s="111" t="str">
        <f aca="false">IFERROR(INDEX('Historical Data'!$K$2:$K$9,MATCH($A378,'Historical Data'!$BE$2:$BE$9,0)),"")</f>
        <v/>
      </c>
      <c r="I378" s="111" t="str">
        <f aca="false">IFERROR(INDEX('Historical Data'!$J$2:$J$9,MATCH($A378,'Historical Data'!$BE$2:$BE$9,0)),"")</f>
        <v/>
      </c>
      <c r="J378" s="111" t="str">
        <f aca="false">IFERROR(INDEX('Historical Data'!$L$2:$L$9,MATCH($A378,'Historical Data'!$BE$2:$BE$9,0)),"")</f>
        <v/>
      </c>
      <c r="K378" s="113" t="str">
        <f aca="false">IFERROR(INDEX('Historical Data'!$M$2:$M$9,MATCH($A378,'Historical Data'!$BE$2:$BE$9,0)),"")</f>
        <v/>
      </c>
      <c r="L378" s="114" t="str">
        <f aca="false">IFERROR(INDEX('Historical Data'!$N$2:$N$9,MATCH($A378,'Historical Data'!$BE$2:$BE$9,0)),"")</f>
        <v/>
      </c>
      <c r="M378" s="114" t="str">
        <f aca="false">IFERROR(INDEX('Historical Data'!$Q$2:$Q$9,MATCH($A378,'Historical Data'!$BE$2:$BE$9,0)),"")</f>
        <v/>
      </c>
      <c r="N378" s="115" t="str">
        <f aca="false">IFERROR(INDEX('Historical Data'!$S$2:$S$9,MATCH($A378,'Historical Data'!$BE$2:$BE$9,0)),"")</f>
        <v/>
      </c>
      <c r="O378" s="114" t="str">
        <f aca="false">IFERROR(INDEX('Historical Data'!$AJ$2:$AJ$9,MATCH($A378,'Historical Data'!$BE$2:$BE$9,0)),"")</f>
        <v/>
      </c>
      <c r="P378" s="114" t="str">
        <f aca="false">IFERROR(INDEX('Historical Data'!$AK$2:$AK$9,MATCH($A378,'Historical Data'!$BE$2:$BE$9,0)),"")</f>
        <v/>
      </c>
      <c r="Q378" s="111" t="str">
        <f aca="false">IFERROR(INDEX('Historical Data'!$AA$2:$AA$9,MATCH($A378,'Historical Data'!$BE$2:$BE$9,0)),"")</f>
        <v/>
      </c>
      <c r="R378" s="111" t="str">
        <f aca="false">IFERROR(INDEX('Historical Data'!$AB$2:$AB$9,MATCH($A378,'Historical Data'!$BE$2:$BE$9,0)),"")</f>
        <v/>
      </c>
      <c r="S378" s="111" t="str">
        <f aca="false">IFERROR(INDEX('Historical Data'!$AN$2:$AN$9,MATCH($A378,'Historical Data'!$BE$2:$BE$9,0)),"")</f>
        <v/>
      </c>
      <c r="T378" s="111" t="str">
        <f aca="false">IFERROR(INDEX('Historical Data'!$AC$2:$AC$9,MATCH($A378,'Historical Data'!$BE$2:$BE$9,0)),"")</f>
        <v/>
      </c>
      <c r="U378" s="111" t="str">
        <f aca="false">IFERROR(INDEX('Historical Data'!$AE$2:$AE$9,MATCH($A378,'Historical Data'!$BE$2:$BE$9,0)),"")</f>
        <v/>
      </c>
      <c r="V378" s="111" t="str">
        <f aca="false">IFERROR(INDEX('Historical Data'!$AH$2:$AH$9,MATCH($A378,'Historical Data'!$BE$2:$BE$9,0)),"")</f>
        <v/>
      </c>
      <c r="W378" s="111" t="str">
        <f aca="false">IFERROR(INDEX('Historical Data'!$BC$2:$BC$9,MATCH($A378,'Historical Data'!$BE$2:$BE$9,0)),"")</f>
        <v/>
      </c>
      <c r="X378" s="110" t="str">
        <f aca="false">IF(B378="","",IF(W378=1,"NR + industry + position",IF(W378=2,"NR + ISO + position",IF(W378=3,"NR + industry",IF(W378=4,"NR + ISO",IF(W378=5,"NR + position",IF(W378=6,"NR only","book baseline"))))))&amp;"  ["&amp;IF(T378=1,"seasoned","unseasoned")&amp;IF(U378=1,", defaulted","")&amp;IF(V378=1,", open","")&amp;"]")</f>
        <v/>
      </c>
    </row>
    <row r="379" customFormat="false" ht="15" hidden="false" customHeight="false" outlineLevel="0" collapsed="false">
      <c r="A379" s="110" t="n">
        <v>375</v>
      </c>
      <c r="B379" s="111" t="str">
        <f aca="false">IFERROR(INDEX('Historical Data'!$A$2:$A$9,MATCH($A379,'Historical Data'!$BE$2:$BE$9,0)),"")</f>
        <v/>
      </c>
      <c r="C379" s="111" t="str">
        <f aca="false">IFERROR(INDEX('Historical Data'!$B$2:$B$9,MATCH($A379,'Historical Data'!$BE$2:$BE$9,0)),"")</f>
        <v/>
      </c>
      <c r="D379" s="111" t="str">
        <f aca="false">IFERROR(INDEX('Historical Data'!$D$2:$D$9,MATCH($A379,'Historical Data'!$BE$2:$BE$9,0)),"")</f>
        <v/>
      </c>
      <c r="E379" s="112" t="str">
        <f aca="false">IFERROR(INDEX('Historical Data'!$E$2:$E$9,MATCH($A379,'Historical Data'!$BE$2:$BE$9,0)),"")</f>
        <v/>
      </c>
      <c r="F379" s="111" t="str">
        <f aca="false">IFERROR(INDEX('Historical Data'!$G$2:$G$9,MATCH($A379,'Historical Data'!$BE$2:$BE$9,0)),"")</f>
        <v/>
      </c>
      <c r="G379" s="111" t="str">
        <f aca="false">IFERROR(INDEX('Historical Data'!$Y$2:$Y$9,MATCH($A379,'Historical Data'!$BE$2:$BE$9,0)),"")</f>
        <v/>
      </c>
      <c r="H379" s="111" t="str">
        <f aca="false">IFERROR(INDEX('Historical Data'!$K$2:$K$9,MATCH($A379,'Historical Data'!$BE$2:$BE$9,0)),"")</f>
        <v/>
      </c>
      <c r="I379" s="111" t="str">
        <f aca="false">IFERROR(INDEX('Historical Data'!$J$2:$J$9,MATCH($A379,'Historical Data'!$BE$2:$BE$9,0)),"")</f>
        <v/>
      </c>
      <c r="J379" s="111" t="str">
        <f aca="false">IFERROR(INDEX('Historical Data'!$L$2:$L$9,MATCH($A379,'Historical Data'!$BE$2:$BE$9,0)),"")</f>
        <v/>
      </c>
      <c r="K379" s="113" t="str">
        <f aca="false">IFERROR(INDEX('Historical Data'!$M$2:$M$9,MATCH($A379,'Historical Data'!$BE$2:$BE$9,0)),"")</f>
        <v/>
      </c>
      <c r="L379" s="114" t="str">
        <f aca="false">IFERROR(INDEX('Historical Data'!$N$2:$N$9,MATCH($A379,'Historical Data'!$BE$2:$BE$9,0)),"")</f>
        <v/>
      </c>
      <c r="M379" s="114" t="str">
        <f aca="false">IFERROR(INDEX('Historical Data'!$Q$2:$Q$9,MATCH($A379,'Historical Data'!$BE$2:$BE$9,0)),"")</f>
        <v/>
      </c>
      <c r="N379" s="115" t="str">
        <f aca="false">IFERROR(INDEX('Historical Data'!$S$2:$S$9,MATCH($A379,'Historical Data'!$BE$2:$BE$9,0)),"")</f>
        <v/>
      </c>
      <c r="O379" s="114" t="str">
        <f aca="false">IFERROR(INDEX('Historical Data'!$AJ$2:$AJ$9,MATCH($A379,'Historical Data'!$BE$2:$BE$9,0)),"")</f>
        <v/>
      </c>
      <c r="P379" s="114" t="str">
        <f aca="false">IFERROR(INDEX('Historical Data'!$AK$2:$AK$9,MATCH($A379,'Historical Data'!$BE$2:$BE$9,0)),"")</f>
        <v/>
      </c>
      <c r="Q379" s="111" t="str">
        <f aca="false">IFERROR(INDEX('Historical Data'!$AA$2:$AA$9,MATCH($A379,'Historical Data'!$BE$2:$BE$9,0)),"")</f>
        <v/>
      </c>
      <c r="R379" s="111" t="str">
        <f aca="false">IFERROR(INDEX('Historical Data'!$AB$2:$AB$9,MATCH($A379,'Historical Data'!$BE$2:$BE$9,0)),"")</f>
        <v/>
      </c>
      <c r="S379" s="111" t="str">
        <f aca="false">IFERROR(INDEX('Historical Data'!$AN$2:$AN$9,MATCH($A379,'Historical Data'!$BE$2:$BE$9,0)),"")</f>
        <v/>
      </c>
      <c r="T379" s="111" t="str">
        <f aca="false">IFERROR(INDEX('Historical Data'!$AC$2:$AC$9,MATCH($A379,'Historical Data'!$BE$2:$BE$9,0)),"")</f>
        <v/>
      </c>
      <c r="U379" s="111" t="str">
        <f aca="false">IFERROR(INDEX('Historical Data'!$AE$2:$AE$9,MATCH($A379,'Historical Data'!$BE$2:$BE$9,0)),"")</f>
        <v/>
      </c>
      <c r="V379" s="111" t="str">
        <f aca="false">IFERROR(INDEX('Historical Data'!$AH$2:$AH$9,MATCH($A379,'Historical Data'!$BE$2:$BE$9,0)),"")</f>
        <v/>
      </c>
      <c r="W379" s="111" t="str">
        <f aca="false">IFERROR(INDEX('Historical Data'!$BC$2:$BC$9,MATCH($A379,'Historical Data'!$BE$2:$BE$9,0)),"")</f>
        <v/>
      </c>
      <c r="X379" s="110" t="str">
        <f aca="false">IF(B379="","",IF(W379=1,"NR + industry + position",IF(W379=2,"NR + ISO + position",IF(W379=3,"NR + industry",IF(W379=4,"NR + ISO",IF(W379=5,"NR + position",IF(W379=6,"NR only","book baseline"))))))&amp;"  ["&amp;IF(T379=1,"seasoned","unseasoned")&amp;IF(U379=1,", defaulted","")&amp;IF(V379=1,", open","")&amp;"]")</f>
        <v/>
      </c>
    </row>
    <row r="380" customFormat="false" ht="15" hidden="false" customHeight="false" outlineLevel="0" collapsed="false">
      <c r="A380" s="110" t="n">
        <v>376</v>
      </c>
      <c r="B380" s="111" t="str">
        <f aca="false">IFERROR(INDEX('Historical Data'!$A$2:$A$9,MATCH($A380,'Historical Data'!$BE$2:$BE$9,0)),"")</f>
        <v/>
      </c>
      <c r="C380" s="111" t="str">
        <f aca="false">IFERROR(INDEX('Historical Data'!$B$2:$B$9,MATCH($A380,'Historical Data'!$BE$2:$BE$9,0)),"")</f>
        <v/>
      </c>
      <c r="D380" s="111" t="str">
        <f aca="false">IFERROR(INDEX('Historical Data'!$D$2:$D$9,MATCH($A380,'Historical Data'!$BE$2:$BE$9,0)),"")</f>
        <v/>
      </c>
      <c r="E380" s="112" t="str">
        <f aca="false">IFERROR(INDEX('Historical Data'!$E$2:$E$9,MATCH($A380,'Historical Data'!$BE$2:$BE$9,0)),"")</f>
        <v/>
      </c>
      <c r="F380" s="111" t="str">
        <f aca="false">IFERROR(INDEX('Historical Data'!$G$2:$G$9,MATCH($A380,'Historical Data'!$BE$2:$BE$9,0)),"")</f>
        <v/>
      </c>
      <c r="G380" s="111" t="str">
        <f aca="false">IFERROR(INDEX('Historical Data'!$Y$2:$Y$9,MATCH($A380,'Historical Data'!$BE$2:$BE$9,0)),"")</f>
        <v/>
      </c>
      <c r="H380" s="111" t="str">
        <f aca="false">IFERROR(INDEX('Historical Data'!$K$2:$K$9,MATCH($A380,'Historical Data'!$BE$2:$BE$9,0)),"")</f>
        <v/>
      </c>
      <c r="I380" s="111" t="str">
        <f aca="false">IFERROR(INDEX('Historical Data'!$J$2:$J$9,MATCH($A380,'Historical Data'!$BE$2:$BE$9,0)),"")</f>
        <v/>
      </c>
      <c r="J380" s="111" t="str">
        <f aca="false">IFERROR(INDEX('Historical Data'!$L$2:$L$9,MATCH($A380,'Historical Data'!$BE$2:$BE$9,0)),"")</f>
        <v/>
      </c>
      <c r="K380" s="113" t="str">
        <f aca="false">IFERROR(INDEX('Historical Data'!$M$2:$M$9,MATCH($A380,'Historical Data'!$BE$2:$BE$9,0)),"")</f>
        <v/>
      </c>
      <c r="L380" s="114" t="str">
        <f aca="false">IFERROR(INDEX('Historical Data'!$N$2:$N$9,MATCH($A380,'Historical Data'!$BE$2:$BE$9,0)),"")</f>
        <v/>
      </c>
      <c r="M380" s="114" t="str">
        <f aca="false">IFERROR(INDEX('Historical Data'!$Q$2:$Q$9,MATCH($A380,'Historical Data'!$BE$2:$BE$9,0)),"")</f>
        <v/>
      </c>
      <c r="N380" s="115" t="str">
        <f aca="false">IFERROR(INDEX('Historical Data'!$S$2:$S$9,MATCH($A380,'Historical Data'!$BE$2:$BE$9,0)),"")</f>
        <v/>
      </c>
      <c r="O380" s="114" t="str">
        <f aca="false">IFERROR(INDEX('Historical Data'!$AJ$2:$AJ$9,MATCH($A380,'Historical Data'!$BE$2:$BE$9,0)),"")</f>
        <v/>
      </c>
      <c r="P380" s="114" t="str">
        <f aca="false">IFERROR(INDEX('Historical Data'!$AK$2:$AK$9,MATCH($A380,'Historical Data'!$BE$2:$BE$9,0)),"")</f>
        <v/>
      </c>
      <c r="Q380" s="111" t="str">
        <f aca="false">IFERROR(INDEX('Historical Data'!$AA$2:$AA$9,MATCH($A380,'Historical Data'!$BE$2:$BE$9,0)),"")</f>
        <v/>
      </c>
      <c r="R380" s="111" t="str">
        <f aca="false">IFERROR(INDEX('Historical Data'!$AB$2:$AB$9,MATCH($A380,'Historical Data'!$BE$2:$BE$9,0)),"")</f>
        <v/>
      </c>
      <c r="S380" s="111" t="str">
        <f aca="false">IFERROR(INDEX('Historical Data'!$AN$2:$AN$9,MATCH($A380,'Historical Data'!$BE$2:$BE$9,0)),"")</f>
        <v/>
      </c>
      <c r="T380" s="111" t="str">
        <f aca="false">IFERROR(INDEX('Historical Data'!$AC$2:$AC$9,MATCH($A380,'Historical Data'!$BE$2:$BE$9,0)),"")</f>
        <v/>
      </c>
      <c r="U380" s="111" t="str">
        <f aca="false">IFERROR(INDEX('Historical Data'!$AE$2:$AE$9,MATCH($A380,'Historical Data'!$BE$2:$BE$9,0)),"")</f>
        <v/>
      </c>
      <c r="V380" s="111" t="str">
        <f aca="false">IFERROR(INDEX('Historical Data'!$AH$2:$AH$9,MATCH($A380,'Historical Data'!$BE$2:$BE$9,0)),"")</f>
        <v/>
      </c>
      <c r="W380" s="111" t="str">
        <f aca="false">IFERROR(INDEX('Historical Data'!$BC$2:$BC$9,MATCH($A380,'Historical Data'!$BE$2:$BE$9,0)),"")</f>
        <v/>
      </c>
      <c r="X380" s="110" t="str">
        <f aca="false">IF(B380="","",IF(W380=1,"NR + industry + position",IF(W380=2,"NR + ISO + position",IF(W380=3,"NR + industry",IF(W380=4,"NR + ISO",IF(W380=5,"NR + position",IF(W380=6,"NR only","book baseline"))))))&amp;"  ["&amp;IF(T380=1,"seasoned","unseasoned")&amp;IF(U380=1,", defaulted","")&amp;IF(V380=1,", open","")&amp;"]")</f>
        <v/>
      </c>
    </row>
    <row r="381" customFormat="false" ht="15" hidden="false" customHeight="false" outlineLevel="0" collapsed="false">
      <c r="A381" s="110" t="n">
        <v>377</v>
      </c>
      <c r="B381" s="111" t="str">
        <f aca="false">IFERROR(INDEX('Historical Data'!$A$2:$A$9,MATCH($A381,'Historical Data'!$BE$2:$BE$9,0)),"")</f>
        <v/>
      </c>
      <c r="C381" s="111" t="str">
        <f aca="false">IFERROR(INDEX('Historical Data'!$B$2:$B$9,MATCH($A381,'Historical Data'!$BE$2:$BE$9,0)),"")</f>
        <v/>
      </c>
      <c r="D381" s="111" t="str">
        <f aca="false">IFERROR(INDEX('Historical Data'!$D$2:$D$9,MATCH($A381,'Historical Data'!$BE$2:$BE$9,0)),"")</f>
        <v/>
      </c>
      <c r="E381" s="112" t="str">
        <f aca="false">IFERROR(INDEX('Historical Data'!$E$2:$E$9,MATCH($A381,'Historical Data'!$BE$2:$BE$9,0)),"")</f>
        <v/>
      </c>
      <c r="F381" s="111" t="str">
        <f aca="false">IFERROR(INDEX('Historical Data'!$G$2:$G$9,MATCH($A381,'Historical Data'!$BE$2:$BE$9,0)),"")</f>
        <v/>
      </c>
      <c r="G381" s="111" t="str">
        <f aca="false">IFERROR(INDEX('Historical Data'!$Y$2:$Y$9,MATCH($A381,'Historical Data'!$BE$2:$BE$9,0)),"")</f>
        <v/>
      </c>
      <c r="H381" s="111" t="str">
        <f aca="false">IFERROR(INDEX('Historical Data'!$K$2:$K$9,MATCH($A381,'Historical Data'!$BE$2:$BE$9,0)),"")</f>
        <v/>
      </c>
      <c r="I381" s="111" t="str">
        <f aca="false">IFERROR(INDEX('Historical Data'!$J$2:$J$9,MATCH($A381,'Historical Data'!$BE$2:$BE$9,0)),"")</f>
        <v/>
      </c>
      <c r="J381" s="111" t="str">
        <f aca="false">IFERROR(INDEX('Historical Data'!$L$2:$L$9,MATCH($A381,'Historical Data'!$BE$2:$BE$9,0)),"")</f>
        <v/>
      </c>
      <c r="K381" s="113" t="str">
        <f aca="false">IFERROR(INDEX('Historical Data'!$M$2:$M$9,MATCH($A381,'Historical Data'!$BE$2:$BE$9,0)),"")</f>
        <v/>
      </c>
      <c r="L381" s="114" t="str">
        <f aca="false">IFERROR(INDEX('Historical Data'!$N$2:$N$9,MATCH($A381,'Historical Data'!$BE$2:$BE$9,0)),"")</f>
        <v/>
      </c>
      <c r="M381" s="114" t="str">
        <f aca="false">IFERROR(INDEX('Historical Data'!$Q$2:$Q$9,MATCH($A381,'Historical Data'!$BE$2:$BE$9,0)),"")</f>
        <v/>
      </c>
      <c r="N381" s="115" t="str">
        <f aca="false">IFERROR(INDEX('Historical Data'!$S$2:$S$9,MATCH($A381,'Historical Data'!$BE$2:$BE$9,0)),"")</f>
        <v/>
      </c>
      <c r="O381" s="114" t="str">
        <f aca="false">IFERROR(INDEX('Historical Data'!$AJ$2:$AJ$9,MATCH($A381,'Historical Data'!$BE$2:$BE$9,0)),"")</f>
        <v/>
      </c>
      <c r="P381" s="114" t="str">
        <f aca="false">IFERROR(INDEX('Historical Data'!$AK$2:$AK$9,MATCH($A381,'Historical Data'!$BE$2:$BE$9,0)),"")</f>
        <v/>
      </c>
      <c r="Q381" s="111" t="str">
        <f aca="false">IFERROR(INDEX('Historical Data'!$AA$2:$AA$9,MATCH($A381,'Historical Data'!$BE$2:$BE$9,0)),"")</f>
        <v/>
      </c>
      <c r="R381" s="111" t="str">
        <f aca="false">IFERROR(INDEX('Historical Data'!$AB$2:$AB$9,MATCH($A381,'Historical Data'!$BE$2:$BE$9,0)),"")</f>
        <v/>
      </c>
      <c r="S381" s="111" t="str">
        <f aca="false">IFERROR(INDEX('Historical Data'!$AN$2:$AN$9,MATCH($A381,'Historical Data'!$BE$2:$BE$9,0)),"")</f>
        <v/>
      </c>
      <c r="T381" s="111" t="str">
        <f aca="false">IFERROR(INDEX('Historical Data'!$AC$2:$AC$9,MATCH($A381,'Historical Data'!$BE$2:$BE$9,0)),"")</f>
        <v/>
      </c>
      <c r="U381" s="111" t="str">
        <f aca="false">IFERROR(INDEX('Historical Data'!$AE$2:$AE$9,MATCH($A381,'Historical Data'!$BE$2:$BE$9,0)),"")</f>
        <v/>
      </c>
      <c r="V381" s="111" t="str">
        <f aca="false">IFERROR(INDEX('Historical Data'!$AH$2:$AH$9,MATCH($A381,'Historical Data'!$BE$2:$BE$9,0)),"")</f>
        <v/>
      </c>
      <c r="W381" s="111" t="str">
        <f aca="false">IFERROR(INDEX('Historical Data'!$BC$2:$BC$9,MATCH($A381,'Historical Data'!$BE$2:$BE$9,0)),"")</f>
        <v/>
      </c>
      <c r="X381" s="110" t="str">
        <f aca="false">IF(B381="","",IF(W381=1,"NR + industry + position",IF(W381=2,"NR + ISO + position",IF(W381=3,"NR + industry",IF(W381=4,"NR + ISO",IF(W381=5,"NR + position",IF(W381=6,"NR only","book baseline"))))))&amp;"  ["&amp;IF(T381=1,"seasoned","unseasoned")&amp;IF(U381=1,", defaulted","")&amp;IF(V381=1,", open","")&amp;"]")</f>
        <v/>
      </c>
    </row>
    <row r="382" customFormat="false" ht="15" hidden="false" customHeight="false" outlineLevel="0" collapsed="false">
      <c r="A382" s="110" t="n">
        <v>378</v>
      </c>
      <c r="B382" s="111" t="str">
        <f aca="false">IFERROR(INDEX('Historical Data'!$A$2:$A$9,MATCH($A382,'Historical Data'!$BE$2:$BE$9,0)),"")</f>
        <v/>
      </c>
      <c r="C382" s="111" t="str">
        <f aca="false">IFERROR(INDEX('Historical Data'!$B$2:$B$9,MATCH($A382,'Historical Data'!$BE$2:$BE$9,0)),"")</f>
        <v/>
      </c>
      <c r="D382" s="111" t="str">
        <f aca="false">IFERROR(INDEX('Historical Data'!$D$2:$D$9,MATCH($A382,'Historical Data'!$BE$2:$BE$9,0)),"")</f>
        <v/>
      </c>
      <c r="E382" s="112" t="str">
        <f aca="false">IFERROR(INDEX('Historical Data'!$E$2:$E$9,MATCH($A382,'Historical Data'!$BE$2:$BE$9,0)),"")</f>
        <v/>
      </c>
      <c r="F382" s="111" t="str">
        <f aca="false">IFERROR(INDEX('Historical Data'!$G$2:$G$9,MATCH($A382,'Historical Data'!$BE$2:$BE$9,0)),"")</f>
        <v/>
      </c>
      <c r="G382" s="111" t="str">
        <f aca="false">IFERROR(INDEX('Historical Data'!$Y$2:$Y$9,MATCH($A382,'Historical Data'!$BE$2:$BE$9,0)),"")</f>
        <v/>
      </c>
      <c r="H382" s="111" t="str">
        <f aca="false">IFERROR(INDEX('Historical Data'!$K$2:$K$9,MATCH($A382,'Historical Data'!$BE$2:$BE$9,0)),"")</f>
        <v/>
      </c>
      <c r="I382" s="111" t="str">
        <f aca="false">IFERROR(INDEX('Historical Data'!$J$2:$J$9,MATCH($A382,'Historical Data'!$BE$2:$BE$9,0)),"")</f>
        <v/>
      </c>
      <c r="J382" s="111" t="str">
        <f aca="false">IFERROR(INDEX('Historical Data'!$L$2:$L$9,MATCH($A382,'Historical Data'!$BE$2:$BE$9,0)),"")</f>
        <v/>
      </c>
      <c r="K382" s="113" t="str">
        <f aca="false">IFERROR(INDEX('Historical Data'!$M$2:$M$9,MATCH($A382,'Historical Data'!$BE$2:$BE$9,0)),"")</f>
        <v/>
      </c>
      <c r="L382" s="114" t="str">
        <f aca="false">IFERROR(INDEX('Historical Data'!$N$2:$N$9,MATCH($A382,'Historical Data'!$BE$2:$BE$9,0)),"")</f>
        <v/>
      </c>
      <c r="M382" s="114" t="str">
        <f aca="false">IFERROR(INDEX('Historical Data'!$Q$2:$Q$9,MATCH($A382,'Historical Data'!$BE$2:$BE$9,0)),"")</f>
        <v/>
      </c>
      <c r="N382" s="115" t="str">
        <f aca="false">IFERROR(INDEX('Historical Data'!$S$2:$S$9,MATCH($A382,'Historical Data'!$BE$2:$BE$9,0)),"")</f>
        <v/>
      </c>
      <c r="O382" s="114" t="str">
        <f aca="false">IFERROR(INDEX('Historical Data'!$AJ$2:$AJ$9,MATCH($A382,'Historical Data'!$BE$2:$BE$9,0)),"")</f>
        <v/>
      </c>
      <c r="P382" s="114" t="str">
        <f aca="false">IFERROR(INDEX('Historical Data'!$AK$2:$AK$9,MATCH($A382,'Historical Data'!$BE$2:$BE$9,0)),"")</f>
        <v/>
      </c>
      <c r="Q382" s="111" t="str">
        <f aca="false">IFERROR(INDEX('Historical Data'!$AA$2:$AA$9,MATCH($A382,'Historical Data'!$BE$2:$BE$9,0)),"")</f>
        <v/>
      </c>
      <c r="R382" s="111" t="str">
        <f aca="false">IFERROR(INDEX('Historical Data'!$AB$2:$AB$9,MATCH($A382,'Historical Data'!$BE$2:$BE$9,0)),"")</f>
        <v/>
      </c>
      <c r="S382" s="111" t="str">
        <f aca="false">IFERROR(INDEX('Historical Data'!$AN$2:$AN$9,MATCH($A382,'Historical Data'!$BE$2:$BE$9,0)),"")</f>
        <v/>
      </c>
      <c r="T382" s="111" t="str">
        <f aca="false">IFERROR(INDEX('Historical Data'!$AC$2:$AC$9,MATCH($A382,'Historical Data'!$BE$2:$BE$9,0)),"")</f>
        <v/>
      </c>
      <c r="U382" s="111" t="str">
        <f aca="false">IFERROR(INDEX('Historical Data'!$AE$2:$AE$9,MATCH($A382,'Historical Data'!$BE$2:$BE$9,0)),"")</f>
        <v/>
      </c>
      <c r="V382" s="111" t="str">
        <f aca="false">IFERROR(INDEX('Historical Data'!$AH$2:$AH$9,MATCH($A382,'Historical Data'!$BE$2:$BE$9,0)),"")</f>
        <v/>
      </c>
      <c r="W382" s="111" t="str">
        <f aca="false">IFERROR(INDEX('Historical Data'!$BC$2:$BC$9,MATCH($A382,'Historical Data'!$BE$2:$BE$9,0)),"")</f>
        <v/>
      </c>
      <c r="X382" s="110" t="str">
        <f aca="false">IF(B382="","",IF(W382=1,"NR + industry + position",IF(W382=2,"NR + ISO + position",IF(W382=3,"NR + industry",IF(W382=4,"NR + ISO",IF(W382=5,"NR + position",IF(W382=6,"NR only","book baseline"))))))&amp;"  ["&amp;IF(T382=1,"seasoned","unseasoned")&amp;IF(U382=1,", defaulted","")&amp;IF(V382=1,", open","")&amp;"]")</f>
        <v/>
      </c>
    </row>
    <row r="383" customFormat="false" ht="15" hidden="false" customHeight="false" outlineLevel="0" collapsed="false">
      <c r="A383" s="110" t="n">
        <v>379</v>
      </c>
      <c r="B383" s="111" t="str">
        <f aca="false">IFERROR(INDEX('Historical Data'!$A$2:$A$9,MATCH($A383,'Historical Data'!$BE$2:$BE$9,0)),"")</f>
        <v/>
      </c>
      <c r="C383" s="111" t="str">
        <f aca="false">IFERROR(INDEX('Historical Data'!$B$2:$B$9,MATCH($A383,'Historical Data'!$BE$2:$BE$9,0)),"")</f>
        <v/>
      </c>
      <c r="D383" s="111" t="str">
        <f aca="false">IFERROR(INDEX('Historical Data'!$D$2:$D$9,MATCH($A383,'Historical Data'!$BE$2:$BE$9,0)),"")</f>
        <v/>
      </c>
      <c r="E383" s="112" t="str">
        <f aca="false">IFERROR(INDEX('Historical Data'!$E$2:$E$9,MATCH($A383,'Historical Data'!$BE$2:$BE$9,0)),"")</f>
        <v/>
      </c>
      <c r="F383" s="111" t="str">
        <f aca="false">IFERROR(INDEX('Historical Data'!$G$2:$G$9,MATCH($A383,'Historical Data'!$BE$2:$BE$9,0)),"")</f>
        <v/>
      </c>
      <c r="G383" s="111" t="str">
        <f aca="false">IFERROR(INDEX('Historical Data'!$Y$2:$Y$9,MATCH($A383,'Historical Data'!$BE$2:$BE$9,0)),"")</f>
        <v/>
      </c>
      <c r="H383" s="111" t="str">
        <f aca="false">IFERROR(INDEX('Historical Data'!$K$2:$K$9,MATCH($A383,'Historical Data'!$BE$2:$BE$9,0)),"")</f>
        <v/>
      </c>
      <c r="I383" s="111" t="str">
        <f aca="false">IFERROR(INDEX('Historical Data'!$J$2:$J$9,MATCH($A383,'Historical Data'!$BE$2:$BE$9,0)),"")</f>
        <v/>
      </c>
      <c r="J383" s="111" t="str">
        <f aca="false">IFERROR(INDEX('Historical Data'!$L$2:$L$9,MATCH($A383,'Historical Data'!$BE$2:$BE$9,0)),"")</f>
        <v/>
      </c>
      <c r="K383" s="113" t="str">
        <f aca="false">IFERROR(INDEX('Historical Data'!$M$2:$M$9,MATCH($A383,'Historical Data'!$BE$2:$BE$9,0)),"")</f>
        <v/>
      </c>
      <c r="L383" s="114" t="str">
        <f aca="false">IFERROR(INDEX('Historical Data'!$N$2:$N$9,MATCH($A383,'Historical Data'!$BE$2:$BE$9,0)),"")</f>
        <v/>
      </c>
      <c r="M383" s="114" t="str">
        <f aca="false">IFERROR(INDEX('Historical Data'!$Q$2:$Q$9,MATCH($A383,'Historical Data'!$BE$2:$BE$9,0)),"")</f>
        <v/>
      </c>
      <c r="N383" s="115" t="str">
        <f aca="false">IFERROR(INDEX('Historical Data'!$S$2:$S$9,MATCH($A383,'Historical Data'!$BE$2:$BE$9,0)),"")</f>
        <v/>
      </c>
      <c r="O383" s="114" t="str">
        <f aca="false">IFERROR(INDEX('Historical Data'!$AJ$2:$AJ$9,MATCH($A383,'Historical Data'!$BE$2:$BE$9,0)),"")</f>
        <v/>
      </c>
      <c r="P383" s="114" t="str">
        <f aca="false">IFERROR(INDEX('Historical Data'!$AK$2:$AK$9,MATCH($A383,'Historical Data'!$BE$2:$BE$9,0)),"")</f>
        <v/>
      </c>
      <c r="Q383" s="111" t="str">
        <f aca="false">IFERROR(INDEX('Historical Data'!$AA$2:$AA$9,MATCH($A383,'Historical Data'!$BE$2:$BE$9,0)),"")</f>
        <v/>
      </c>
      <c r="R383" s="111" t="str">
        <f aca="false">IFERROR(INDEX('Historical Data'!$AB$2:$AB$9,MATCH($A383,'Historical Data'!$BE$2:$BE$9,0)),"")</f>
        <v/>
      </c>
      <c r="S383" s="111" t="str">
        <f aca="false">IFERROR(INDEX('Historical Data'!$AN$2:$AN$9,MATCH($A383,'Historical Data'!$BE$2:$BE$9,0)),"")</f>
        <v/>
      </c>
      <c r="T383" s="111" t="str">
        <f aca="false">IFERROR(INDEX('Historical Data'!$AC$2:$AC$9,MATCH($A383,'Historical Data'!$BE$2:$BE$9,0)),"")</f>
        <v/>
      </c>
      <c r="U383" s="111" t="str">
        <f aca="false">IFERROR(INDEX('Historical Data'!$AE$2:$AE$9,MATCH($A383,'Historical Data'!$BE$2:$BE$9,0)),"")</f>
        <v/>
      </c>
      <c r="V383" s="111" t="str">
        <f aca="false">IFERROR(INDEX('Historical Data'!$AH$2:$AH$9,MATCH($A383,'Historical Data'!$BE$2:$BE$9,0)),"")</f>
        <v/>
      </c>
      <c r="W383" s="111" t="str">
        <f aca="false">IFERROR(INDEX('Historical Data'!$BC$2:$BC$9,MATCH($A383,'Historical Data'!$BE$2:$BE$9,0)),"")</f>
        <v/>
      </c>
      <c r="X383" s="110" t="str">
        <f aca="false">IF(B383="","",IF(W383=1,"NR + industry + position",IF(W383=2,"NR + ISO + position",IF(W383=3,"NR + industry",IF(W383=4,"NR + ISO",IF(W383=5,"NR + position",IF(W383=6,"NR only","book baseline"))))))&amp;"  ["&amp;IF(T383=1,"seasoned","unseasoned")&amp;IF(U383=1,", defaulted","")&amp;IF(V383=1,", open","")&amp;"]")</f>
        <v/>
      </c>
    </row>
    <row r="384" customFormat="false" ht="15" hidden="false" customHeight="false" outlineLevel="0" collapsed="false">
      <c r="A384" s="110" t="n">
        <v>380</v>
      </c>
      <c r="B384" s="111" t="str">
        <f aca="false">IFERROR(INDEX('Historical Data'!$A$2:$A$9,MATCH($A384,'Historical Data'!$BE$2:$BE$9,0)),"")</f>
        <v/>
      </c>
      <c r="C384" s="111" t="str">
        <f aca="false">IFERROR(INDEX('Historical Data'!$B$2:$B$9,MATCH($A384,'Historical Data'!$BE$2:$BE$9,0)),"")</f>
        <v/>
      </c>
      <c r="D384" s="111" t="str">
        <f aca="false">IFERROR(INDEX('Historical Data'!$D$2:$D$9,MATCH($A384,'Historical Data'!$BE$2:$BE$9,0)),"")</f>
        <v/>
      </c>
      <c r="E384" s="112" t="str">
        <f aca="false">IFERROR(INDEX('Historical Data'!$E$2:$E$9,MATCH($A384,'Historical Data'!$BE$2:$BE$9,0)),"")</f>
        <v/>
      </c>
      <c r="F384" s="111" t="str">
        <f aca="false">IFERROR(INDEX('Historical Data'!$G$2:$G$9,MATCH($A384,'Historical Data'!$BE$2:$BE$9,0)),"")</f>
        <v/>
      </c>
      <c r="G384" s="111" t="str">
        <f aca="false">IFERROR(INDEX('Historical Data'!$Y$2:$Y$9,MATCH($A384,'Historical Data'!$BE$2:$BE$9,0)),"")</f>
        <v/>
      </c>
      <c r="H384" s="111" t="str">
        <f aca="false">IFERROR(INDEX('Historical Data'!$K$2:$K$9,MATCH($A384,'Historical Data'!$BE$2:$BE$9,0)),"")</f>
        <v/>
      </c>
      <c r="I384" s="111" t="str">
        <f aca="false">IFERROR(INDEX('Historical Data'!$J$2:$J$9,MATCH($A384,'Historical Data'!$BE$2:$BE$9,0)),"")</f>
        <v/>
      </c>
      <c r="J384" s="111" t="str">
        <f aca="false">IFERROR(INDEX('Historical Data'!$L$2:$L$9,MATCH($A384,'Historical Data'!$BE$2:$BE$9,0)),"")</f>
        <v/>
      </c>
      <c r="K384" s="113" t="str">
        <f aca="false">IFERROR(INDEX('Historical Data'!$M$2:$M$9,MATCH($A384,'Historical Data'!$BE$2:$BE$9,0)),"")</f>
        <v/>
      </c>
      <c r="L384" s="114" t="str">
        <f aca="false">IFERROR(INDEX('Historical Data'!$N$2:$N$9,MATCH($A384,'Historical Data'!$BE$2:$BE$9,0)),"")</f>
        <v/>
      </c>
      <c r="M384" s="114" t="str">
        <f aca="false">IFERROR(INDEX('Historical Data'!$Q$2:$Q$9,MATCH($A384,'Historical Data'!$BE$2:$BE$9,0)),"")</f>
        <v/>
      </c>
      <c r="N384" s="115" t="str">
        <f aca="false">IFERROR(INDEX('Historical Data'!$S$2:$S$9,MATCH($A384,'Historical Data'!$BE$2:$BE$9,0)),"")</f>
        <v/>
      </c>
      <c r="O384" s="114" t="str">
        <f aca="false">IFERROR(INDEX('Historical Data'!$AJ$2:$AJ$9,MATCH($A384,'Historical Data'!$BE$2:$BE$9,0)),"")</f>
        <v/>
      </c>
      <c r="P384" s="114" t="str">
        <f aca="false">IFERROR(INDEX('Historical Data'!$AK$2:$AK$9,MATCH($A384,'Historical Data'!$BE$2:$BE$9,0)),"")</f>
        <v/>
      </c>
      <c r="Q384" s="111" t="str">
        <f aca="false">IFERROR(INDEX('Historical Data'!$AA$2:$AA$9,MATCH($A384,'Historical Data'!$BE$2:$BE$9,0)),"")</f>
        <v/>
      </c>
      <c r="R384" s="111" t="str">
        <f aca="false">IFERROR(INDEX('Historical Data'!$AB$2:$AB$9,MATCH($A384,'Historical Data'!$BE$2:$BE$9,0)),"")</f>
        <v/>
      </c>
      <c r="S384" s="111" t="str">
        <f aca="false">IFERROR(INDEX('Historical Data'!$AN$2:$AN$9,MATCH($A384,'Historical Data'!$BE$2:$BE$9,0)),"")</f>
        <v/>
      </c>
      <c r="T384" s="111" t="str">
        <f aca="false">IFERROR(INDEX('Historical Data'!$AC$2:$AC$9,MATCH($A384,'Historical Data'!$BE$2:$BE$9,0)),"")</f>
        <v/>
      </c>
      <c r="U384" s="111" t="str">
        <f aca="false">IFERROR(INDEX('Historical Data'!$AE$2:$AE$9,MATCH($A384,'Historical Data'!$BE$2:$BE$9,0)),"")</f>
        <v/>
      </c>
      <c r="V384" s="111" t="str">
        <f aca="false">IFERROR(INDEX('Historical Data'!$AH$2:$AH$9,MATCH($A384,'Historical Data'!$BE$2:$BE$9,0)),"")</f>
        <v/>
      </c>
      <c r="W384" s="111" t="str">
        <f aca="false">IFERROR(INDEX('Historical Data'!$BC$2:$BC$9,MATCH($A384,'Historical Data'!$BE$2:$BE$9,0)),"")</f>
        <v/>
      </c>
      <c r="X384" s="110" t="str">
        <f aca="false">IF(B384="","",IF(W384=1,"NR + industry + position",IF(W384=2,"NR + ISO + position",IF(W384=3,"NR + industry",IF(W384=4,"NR + ISO",IF(W384=5,"NR + position",IF(W384=6,"NR only","book baseline"))))))&amp;"  ["&amp;IF(T384=1,"seasoned","unseasoned")&amp;IF(U384=1,", defaulted","")&amp;IF(V384=1,", open","")&amp;"]")</f>
        <v/>
      </c>
    </row>
    <row r="385" customFormat="false" ht="15" hidden="false" customHeight="false" outlineLevel="0" collapsed="false">
      <c r="A385" s="110" t="n">
        <v>381</v>
      </c>
      <c r="B385" s="111" t="str">
        <f aca="false">IFERROR(INDEX('Historical Data'!$A$2:$A$9,MATCH($A385,'Historical Data'!$BE$2:$BE$9,0)),"")</f>
        <v/>
      </c>
      <c r="C385" s="111" t="str">
        <f aca="false">IFERROR(INDEX('Historical Data'!$B$2:$B$9,MATCH($A385,'Historical Data'!$BE$2:$BE$9,0)),"")</f>
        <v/>
      </c>
      <c r="D385" s="111" t="str">
        <f aca="false">IFERROR(INDEX('Historical Data'!$D$2:$D$9,MATCH($A385,'Historical Data'!$BE$2:$BE$9,0)),"")</f>
        <v/>
      </c>
      <c r="E385" s="112" t="str">
        <f aca="false">IFERROR(INDEX('Historical Data'!$E$2:$E$9,MATCH($A385,'Historical Data'!$BE$2:$BE$9,0)),"")</f>
        <v/>
      </c>
      <c r="F385" s="111" t="str">
        <f aca="false">IFERROR(INDEX('Historical Data'!$G$2:$G$9,MATCH($A385,'Historical Data'!$BE$2:$BE$9,0)),"")</f>
        <v/>
      </c>
      <c r="G385" s="111" t="str">
        <f aca="false">IFERROR(INDEX('Historical Data'!$Y$2:$Y$9,MATCH($A385,'Historical Data'!$BE$2:$BE$9,0)),"")</f>
        <v/>
      </c>
      <c r="H385" s="111" t="str">
        <f aca="false">IFERROR(INDEX('Historical Data'!$K$2:$K$9,MATCH($A385,'Historical Data'!$BE$2:$BE$9,0)),"")</f>
        <v/>
      </c>
      <c r="I385" s="111" t="str">
        <f aca="false">IFERROR(INDEX('Historical Data'!$J$2:$J$9,MATCH($A385,'Historical Data'!$BE$2:$BE$9,0)),"")</f>
        <v/>
      </c>
      <c r="J385" s="111" t="str">
        <f aca="false">IFERROR(INDEX('Historical Data'!$L$2:$L$9,MATCH($A385,'Historical Data'!$BE$2:$BE$9,0)),"")</f>
        <v/>
      </c>
      <c r="K385" s="113" t="str">
        <f aca="false">IFERROR(INDEX('Historical Data'!$M$2:$M$9,MATCH($A385,'Historical Data'!$BE$2:$BE$9,0)),"")</f>
        <v/>
      </c>
      <c r="L385" s="114" t="str">
        <f aca="false">IFERROR(INDEX('Historical Data'!$N$2:$N$9,MATCH($A385,'Historical Data'!$BE$2:$BE$9,0)),"")</f>
        <v/>
      </c>
      <c r="M385" s="114" t="str">
        <f aca="false">IFERROR(INDEX('Historical Data'!$Q$2:$Q$9,MATCH($A385,'Historical Data'!$BE$2:$BE$9,0)),"")</f>
        <v/>
      </c>
      <c r="N385" s="115" t="str">
        <f aca="false">IFERROR(INDEX('Historical Data'!$S$2:$S$9,MATCH($A385,'Historical Data'!$BE$2:$BE$9,0)),"")</f>
        <v/>
      </c>
      <c r="O385" s="114" t="str">
        <f aca="false">IFERROR(INDEX('Historical Data'!$AJ$2:$AJ$9,MATCH($A385,'Historical Data'!$BE$2:$BE$9,0)),"")</f>
        <v/>
      </c>
      <c r="P385" s="114" t="str">
        <f aca="false">IFERROR(INDEX('Historical Data'!$AK$2:$AK$9,MATCH($A385,'Historical Data'!$BE$2:$BE$9,0)),"")</f>
        <v/>
      </c>
      <c r="Q385" s="111" t="str">
        <f aca="false">IFERROR(INDEX('Historical Data'!$AA$2:$AA$9,MATCH($A385,'Historical Data'!$BE$2:$BE$9,0)),"")</f>
        <v/>
      </c>
      <c r="R385" s="111" t="str">
        <f aca="false">IFERROR(INDEX('Historical Data'!$AB$2:$AB$9,MATCH($A385,'Historical Data'!$BE$2:$BE$9,0)),"")</f>
        <v/>
      </c>
      <c r="S385" s="111" t="str">
        <f aca="false">IFERROR(INDEX('Historical Data'!$AN$2:$AN$9,MATCH($A385,'Historical Data'!$BE$2:$BE$9,0)),"")</f>
        <v/>
      </c>
      <c r="T385" s="111" t="str">
        <f aca="false">IFERROR(INDEX('Historical Data'!$AC$2:$AC$9,MATCH($A385,'Historical Data'!$BE$2:$BE$9,0)),"")</f>
        <v/>
      </c>
      <c r="U385" s="111" t="str">
        <f aca="false">IFERROR(INDEX('Historical Data'!$AE$2:$AE$9,MATCH($A385,'Historical Data'!$BE$2:$BE$9,0)),"")</f>
        <v/>
      </c>
      <c r="V385" s="111" t="str">
        <f aca="false">IFERROR(INDEX('Historical Data'!$AH$2:$AH$9,MATCH($A385,'Historical Data'!$BE$2:$BE$9,0)),"")</f>
        <v/>
      </c>
      <c r="W385" s="111" t="str">
        <f aca="false">IFERROR(INDEX('Historical Data'!$BC$2:$BC$9,MATCH($A385,'Historical Data'!$BE$2:$BE$9,0)),"")</f>
        <v/>
      </c>
      <c r="X385" s="110" t="str">
        <f aca="false">IF(B385="","",IF(W385=1,"NR + industry + position",IF(W385=2,"NR + ISO + position",IF(W385=3,"NR + industry",IF(W385=4,"NR + ISO",IF(W385=5,"NR + position",IF(W385=6,"NR only","book baseline"))))))&amp;"  ["&amp;IF(T385=1,"seasoned","unseasoned")&amp;IF(U385=1,", defaulted","")&amp;IF(V385=1,", open","")&amp;"]")</f>
        <v/>
      </c>
    </row>
    <row r="386" customFormat="false" ht="15" hidden="false" customHeight="false" outlineLevel="0" collapsed="false">
      <c r="A386" s="110" t="n">
        <v>382</v>
      </c>
      <c r="B386" s="111" t="str">
        <f aca="false">IFERROR(INDEX('Historical Data'!$A$2:$A$9,MATCH($A386,'Historical Data'!$BE$2:$BE$9,0)),"")</f>
        <v/>
      </c>
      <c r="C386" s="111" t="str">
        <f aca="false">IFERROR(INDEX('Historical Data'!$B$2:$B$9,MATCH($A386,'Historical Data'!$BE$2:$BE$9,0)),"")</f>
        <v/>
      </c>
      <c r="D386" s="111" t="str">
        <f aca="false">IFERROR(INDEX('Historical Data'!$D$2:$D$9,MATCH($A386,'Historical Data'!$BE$2:$BE$9,0)),"")</f>
        <v/>
      </c>
      <c r="E386" s="112" t="str">
        <f aca="false">IFERROR(INDEX('Historical Data'!$E$2:$E$9,MATCH($A386,'Historical Data'!$BE$2:$BE$9,0)),"")</f>
        <v/>
      </c>
      <c r="F386" s="111" t="str">
        <f aca="false">IFERROR(INDEX('Historical Data'!$G$2:$G$9,MATCH($A386,'Historical Data'!$BE$2:$BE$9,0)),"")</f>
        <v/>
      </c>
      <c r="G386" s="111" t="str">
        <f aca="false">IFERROR(INDEX('Historical Data'!$Y$2:$Y$9,MATCH($A386,'Historical Data'!$BE$2:$BE$9,0)),"")</f>
        <v/>
      </c>
      <c r="H386" s="111" t="str">
        <f aca="false">IFERROR(INDEX('Historical Data'!$K$2:$K$9,MATCH($A386,'Historical Data'!$BE$2:$BE$9,0)),"")</f>
        <v/>
      </c>
      <c r="I386" s="111" t="str">
        <f aca="false">IFERROR(INDEX('Historical Data'!$J$2:$J$9,MATCH($A386,'Historical Data'!$BE$2:$BE$9,0)),"")</f>
        <v/>
      </c>
      <c r="J386" s="111" t="str">
        <f aca="false">IFERROR(INDEX('Historical Data'!$L$2:$L$9,MATCH($A386,'Historical Data'!$BE$2:$BE$9,0)),"")</f>
        <v/>
      </c>
      <c r="K386" s="113" t="str">
        <f aca="false">IFERROR(INDEX('Historical Data'!$M$2:$M$9,MATCH($A386,'Historical Data'!$BE$2:$BE$9,0)),"")</f>
        <v/>
      </c>
      <c r="L386" s="114" t="str">
        <f aca="false">IFERROR(INDEX('Historical Data'!$N$2:$N$9,MATCH($A386,'Historical Data'!$BE$2:$BE$9,0)),"")</f>
        <v/>
      </c>
      <c r="M386" s="114" t="str">
        <f aca="false">IFERROR(INDEX('Historical Data'!$Q$2:$Q$9,MATCH($A386,'Historical Data'!$BE$2:$BE$9,0)),"")</f>
        <v/>
      </c>
      <c r="N386" s="115" t="str">
        <f aca="false">IFERROR(INDEX('Historical Data'!$S$2:$S$9,MATCH($A386,'Historical Data'!$BE$2:$BE$9,0)),"")</f>
        <v/>
      </c>
      <c r="O386" s="114" t="str">
        <f aca="false">IFERROR(INDEX('Historical Data'!$AJ$2:$AJ$9,MATCH($A386,'Historical Data'!$BE$2:$BE$9,0)),"")</f>
        <v/>
      </c>
      <c r="P386" s="114" t="str">
        <f aca="false">IFERROR(INDEX('Historical Data'!$AK$2:$AK$9,MATCH($A386,'Historical Data'!$BE$2:$BE$9,0)),"")</f>
        <v/>
      </c>
      <c r="Q386" s="111" t="str">
        <f aca="false">IFERROR(INDEX('Historical Data'!$AA$2:$AA$9,MATCH($A386,'Historical Data'!$BE$2:$BE$9,0)),"")</f>
        <v/>
      </c>
      <c r="R386" s="111" t="str">
        <f aca="false">IFERROR(INDEX('Historical Data'!$AB$2:$AB$9,MATCH($A386,'Historical Data'!$BE$2:$BE$9,0)),"")</f>
        <v/>
      </c>
      <c r="S386" s="111" t="str">
        <f aca="false">IFERROR(INDEX('Historical Data'!$AN$2:$AN$9,MATCH($A386,'Historical Data'!$BE$2:$BE$9,0)),"")</f>
        <v/>
      </c>
      <c r="T386" s="111" t="str">
        <f aca="false">IFERROR(INDEX('Historical Data'!$AC$2:$AC$9,MATCH($A386,'Historical Data'!$BE$2:$BE$9,0)),"")</f>
        <v/>
      </c>
      <c r="U386" s="111" t="str">
        <f aca="false">IFERROR(INDEX('Historical Data'!$AE$2:$AE$9,MATCH($A386,'Historical Data'!$BE$2:$BE$9,0)),"")</f>
        <v/>
      </c>
      <c r="V386" s="111" t="str">
        <f aca="false">IFERROR(INDEX('Historical Data'!$AH$2:$AH$9,MATCH($A386,'Historical Data'!$BE$2:$BE$9,0)),"")</f>
        <v/>
      </c>
      <c r="W386" s="111" t="str">
        <f aca="false">IFERROR(INDEX('Historical Data'!$BC$2:$BC$9,MATCH($A386,'Historical Data'!$BE$2:$BE$9,0)),"")</f>
        <v/>
      </c>
      <c r="X386" s="110" t="str">
        <f aca="false">IF(B386="","",IF(W386=1,"NR + industry + position",IF(W386=2,"NR + ISO + position",IF(W386=3,"NR + industry",IF(W386=4,"NR + ISO",IF(W386=5,"NR + position",IF(W386=6,"NR only","book baseline"))))))&amp;"  ["&amp;IF(T386=1,"seasoned","unseasoned")&amp;IF(U386=1,", defaulted","")&amp;IF(V386=1,", open","")&amp;"]")</f>
        <v/>
      </c>
    </row>
    <row r="387" customFormat="false" ht="15" hidden="false" customHeight="false" outlineLevel="0" collapsed="false">
      <c r="A387" s="110" t="n">
        <v>383</v>
      </c>
      <c r="B387" s="111" t="str">
        <f aca="false">IFERROR(INDEX('Historical Data'!$A$2:$A$9,MATCH($A387,'Historical Data'!$BE$2:$BE$9,0)),"")</f>
        <v/>
      </c>
      <c r="C387" s="111" t="str">
        <f aca="false">IFERROR(INDEX('Historical Data'!$B$2:$B$9,MATCH($A387,'Historical Data'!$BE$2:$BE$9,0)),"")</f>
        <v/>
      </c>
      <c r="D387" s="111" t="str">
        <f aca="false">IFERROR(INDEX('Historical Data'!$D$2:$D$9,MATCH($A387,'Historical Data'!$BE$2:$BE$9,0)),"")</f>
        <v/>
      </c>
      <c r="E387" s="112" t="str">
        <f aca="false">IFERROR(INDEX('Historical Data'!$E$2:$E$9,MATCH($A387,'Historical Data'!$BE$2:$BE$9,0)),"")</f>
        <v/>
      </c>
      <c r="F387" s="111" t="str">
        <f aca="false">IFERROR(INDEX('Historical Data'!$G$2:$G$9,MATCH($A387,'Historical Data'!$BE$2:$BE$9,0)),"")</f>
        <v/>
      </c>
      <c r="G387" s="111" t="str">
        <f aca="false">IFERROR(INDEX('Historical Data'!$Y$2:$Y$9,MATCH($A387,'Historical Data'!$BE$2:$BE$9,0)),"")</f>
        <v/>
      </c>
      <c r="H387" s="111" t="str">
        <f aca="false">IFERROR(INDEX('Historical Data'!$K$2:$K$9,MATCH($A387,'Historical Data'!$BE$2:$BE$9,0)),"")</f>
        <v/>
      </c>
      <c r="I387" s="111" t="str">
        <f aca="false">IFERROR(INDEX('Historical Data'!$J$2:$J$9,MATCH($A387,'Historical Data'!$BE$2:$BE$9,0)),"")</f>
        <v/>
      </c>
      <c r="J387" s="111" t="str">
        <f aca="false">IFERROR(INDEX('Historical Data'!$L$2:$L$9,MATCH($A387,'Historical Data'!$BE$2:$BE$9,0)),"")</f>
        <v/>
      </c>
      <c r="K387" s="113" t="str">
        <f aca="false">IFERROR(INDEX('Historical Data'!$M$2:$M$9,MATCH($A387,'Historical Data'!$BE$2:$BE$9,0)),"")</f>
        <v/>
      </c>
      <c r="L387" s="114" t="str">
        <f aca="false">IFERROR(INDEX('Historical Data'!$N$2:$N$9,MATCH($A387,'Historical Data'!$BE$2:$BE$9,0)),"")</f>
        <v/>
      </c>
      <c r="M387" s="114" t="str">
        <f aca="false">IFERROR(INDEX('Historical Data'!$Q$2:$Q$9,MATCH($A387,'Historical Data'!$BE$2:$BE$9,0)),"")</f>
        <v/>
      </c>
      <c r="N387" s="115" t="str">
        <f aca="false">IFERROR(INDEX('Historical Data'!$S$2:$S$9,MATCH($A387,'Historical Data'!$BE$2:$BE$9,0)),"")</f>
        <v/>
      </c>
      <c r="O387" s="114" t="str">
        <f aca="false">IFERROR(INDEX('Historical Data'!$AJ$2:$AJ$9,MATCH($A387,'Historical Data'!$BE$2:$BE$9,0)),"")</f>
        <v/>
      </c>
      <c r="P387" s="114" t="str">
        <f aca="false">IFERROR(INDEX('Historical Data'!$AK$2:$AK$9,MATCH($A387,'Historical Data'!$BE$2:$BE$9,0)),"")</f>
        <v/>
      </c>
      <c r="Q387" s="111" t="str">
        <f aca="false">IFERROR(INDEX('Historical Data'!$AA$2:$AA$9,MATCH($A387,'Historical Data'!$BE$2:$BE$9,0)),"")</f>
        <v/>
      </c>
      <c r="R387" s="111" t="str">
        <f aca="false">IFERROR(INDEX('Historical Data'!$AB$2:$AB$9,MATCH($A387,'Historical Data'!$BE$2:$BE$9,0)),"")</f>
        <v/>
      </c>
      <c r="S387" s="111" t="str">
        <f aca="false">IFERROR(INDEX('Historical Data'!$AN$2:$AN$9,MATCH($A387,'Historical Data'!$BE$2:$BE$9,0)),"")</f>
        <v/>
      </c>
      <c r="T387" s="111" t="str">
        <f aca="false">IFERROR(INDEX('Historical Data'!$AC$2:$AC$9,MATCH($A387,'Historical Data'!$BE$2:$BE$9,0)),"")</f>
        <v/>
      </c>
      <c r="U387" s="111" t="str">
        <f aca="false">IFERROR(INDEX('Historical Data'!$AE$2:$AE$9,MATCH($A387,'Historical Data'!$BE$2:$BE$9,0)),"")</f>
        <v/>
      </c>
      <c r="V387" s="111" t="str">
        <f aca="false">IFERROR(INDEX('Historical Data'!$AH$2:$AH$9,MATCH($A387,'Historical Data'!$BE$2:$BE$9,0)),"")</f>
        <v/>
      </c>
      <c r="W387" s="111" t="str">
        <f aca="false">IFERROR(INDEX('Historical Data'!$BC$2:$BC$9,MATCH($A387,'Historical Data'!$BE$2:$BE$9,0)),"")</f>
        <v/>
      </c>
      <c r="X387" s="110" t="str">
        <f aca="false">IF(B387="","",IF(W387=1,"NR + industry + position",IF(W387=2,"NR + ISO + position",IF(W387=3,"NR + industry",IF(W387=4,"NR + ISO",IF(W387=5,"NR + position",IF(W387=6,"NR only","book baseline"))))))&amp;"  ["&amp;IF(T387=1,"seasoned","unseasoned")&amp;IF(U387=1,", defaulted","")&amp;IF(V387=1,", open","")&amp;"]")</f>
        <v/>
      </c>
    </row>
    <row r="388" customFormat="false" ht="15" hidden="false" customHeight="false" outlineLevel="0" collapsed="false">
      <c r="A388" s="110" t="n">
        <v>384</v>
      </c>
      <c r="B388" s="111" t="str">
        <f aca="false">IFERROR(INDEX('Historical Data'!$A$2:$A$9,MATCH($A388,'Historical Data'!$BE$2:$BE$9,0)),"")</f>
        <v/>
      </c>
      <c r="C388" s="111" t="str">
        <f aca="false">IFERROR(INDEX('Historical Data'!$B$2:$B$9,MATCH($A388,'Historical Data'!$BE$2:$BE$9,0)),"")</f>
        <v/>
      </c>
      <c r="D388" s="111" t="str">
        <f aca="false">IFERROR(INDEX('Historical Data'!$D$2:$D$9,MATCH($A388,'Historical Data'!$BE$2:$BE$9,0)),"")</f>
        <v/>
      </c>
      <c r="E388" s="112" t="str">
        <f aca="false">IFERROR(INDEX('Historical Data'!$E$2:$E$9,MATCH($A388,'Historical Data'!$BE$2:$BE$9,0)),"")</f>
        <v/>
      </c>
      <c r="F388" s="111" t="str">
        <f aca="false">IFERROR(INDEX('Historical Data'!$G$2:$G$9,MATCH($A388,'Historical Data'!$BE$2:$BE$9,0)),"")</f>
        <v/>
      </c>
      <c r="G388" s="111" t="str">
        <f aca="false">IFERROR(INDEX('Historical Data'!$Y$2:$Y$9,MATCH($A388,'Historical Data'!$BE$2:$BE$9,0)),"")</f>
        <v/>
      </c>
      <c r="H388" s="111" t="str">
        <f aca="false">IFERROR(INDEX('Historical Data'!$K$2:$K$9,MATCH($A388,'Historical Data'!$BE$2:$BE$9,0)),"")</f>
        <v/>
      </c>
      <c r="I388" s="111" t="str">
        <f aca="false">IFERROR(INDEX('Historical Data'!$J$2:$J$9,MATCH($A388,'Historical Data'!$BE$2:$BE$9,0)),"")</f>
        <v/>
      </c>
      <c r="J388" s="111" t="str">
        <f aca="false">IFERROR(INDEX('Historical Data'!$L$2:$L$9,MATCH($A388,'Historical Data'!$BE$2:$BE$9,0)),"")</f>
        <v/>
      </c>
      <c r="K388" s="113" t="str">
        <f aca="false">IFERROR(INDEX('Historical Data'!$M$2:$M$9,MATCH($A388,'Historical Data'!$BE$2:$BE$9,0)),"")</f>
        <v/>
      </c>
      <c r="L388" s="114" t="str">
        <f aca="false">IFERROR(INDEX('Historical Data'!$N$2:$N$9,MATCH($A388,'Historical Data'!$BE$2:$BE$9,0)),"")</f>
        <v/>
      </c>
      <c r="M388" s="114" t="str">
        <f aca="false">IFERROR(INDEX('Historical Data'!$Q$2:$Q$9,MATCH($A388,'Historical Data'!$BE$2:$BE$9,0)),"")</f>
        <v/>
      </c>
      <c r="N388" s="115" t="str">
        <f aca="false">IFERROR(INDEX('Historical Data'!$S$2:$S$9,MATCH($A388,'Historical Data'!$BE$2:$BE$9,0)),"")</f>
        <v/>
      </c>
      <c r="O388" s="114" t="str">
        <f aca="false">IFERROR(INDEX('Historical Data'!$AJ$2:$AJ$9,MATCH($A388,'Historical Data'!$BE$2:$BE$9,0)),"")</f>
        <v/>
      </c>
      <c r="P388" s="114" t="str">
        <f aca="false">IFERROR(INDEX('Historical Data'!$AK$2:$AK$9,MATCH($A388,'Historical Data'!$BE$2:$BE$9,0)),"")</f>
        <v/>
      </c>
      <c r="Q388" s="111" t="str">
        <f aca="false">IFERROR(INDEX('Historical Data'!$AA$2:$AA$9,MATCH($A388,'Historical Data'!$BE$2:$BE$9,0)),"")</f>
        <v/>
      </c>
      <c r="R388" s="111" t="str">
        <f aca="false">IFERROR(INDEX('Historical Data'!$AB$2:$AB$9,MATCH($A388,'Historical Data'!$BE$2:$BE$9,0)),"")</f>
        <v/>
      </c>
      <c r="S388" s="111" t="str">
        <f aca="false">IFERROR(INDEX('Historical Data'!$AN$2:$AN$9,MATCH($A388,'Historical Data'!$BE$2:$BE$9,0)),"")</f>
        <v/>
      </c>
      <c r="T388" s="111" t="str">
        <f aca="false">IFERROR(INDEX('Historical Data'!$AC$2:$AC$9,MATCH($A388,'Historical Data'!$BE$2:$BE$9,0)),"")</f>
        <v/>
      </c>
      <c r="U388" s="111" t="str">
        <f aca="false">IFERROR(INDEX('Historical Data'!$AE$2:$AE$9,MATCH($A388,'Historical Data'!$BE$2:$BE$9,0)),"")</f>
        <v/>
      </c>
      <c r="V388" s="111" t="str">
        <f aca="false">IFERROR(INDEX('Historical Data'!$AH$2:$AH$9,MATCH($A388,'Historical Data'!$BE$2:$BE$9,0)),"")</f>
        <v/>
      </c>
      <c r="W388" s="111" t="str">
        <f aca="false">IFERROR(INDEX('Historical Data'!$BC$2:$BC$9,MATCH($A388,'Historical Data'!$BE$2:$BE$9,0)),"")</f>
        <v/>
      </c>
      <c r="X388" s="110" t="str">
        <f aca="false">IF(B388="","",IF(W388=1,"NR + industry + position",IF(W388=2,"NR + ISO + position",IF(W388=3,"NR + industry",IF(W388=4,"NR + ISO",IF(W388=5,"NR + position",IF(W388=6,"NR only","book baseline"))))))&amp;"  ["&amp;IF(T388=1,"seasoned","unseasoned")&amp;IF(U388=1,", defaulted","")&amp;IF(V388=1,", open","")&amp;"]")</f>
        <v/>
      </c>
    </row>
    <row r="389" customFormat="false" ht="15" hidden="false" customHeight="false" outlineLevel="0" collapsed="false">
      <c r="A389" s="110" t="n">
        <v>385</v>
      </c>
      <c r="B389" s="111" t="str">
        <f aca="false">IFERROR(INDEX('Historical Data'!$A$2:$A$9,MATCH($A389,'Historical Data'!$BE$2:$BE$9,0)),"")</f>
        <v/>
      </c>
      <c r="C389" s="111" t="str">
        <f aca="false">IFERROR(INDEX('Historical Data'!$B$2:$B$9,MATCH($A389,'Historical Data'!$BE$2:$BE$9,0)),"")</f>
        <v/>
      </c>
      <c r="D389" s="111" t="str">
        <f aca="false">IFERROR(INDEX('Historical Data'!$D$2:$D$9,MATCH($A389,'Historical Data'!$BE$2:$BE$9,0)),"")</f>
        <v/>
      </c>
      <c r="E389" s="112" t="str">
        <f aca="false">IFERROR(INDEX('Historical Data'!$E$2:$E$9,MATCH($A389,'Historical Data'!$BE$2:$BE$9,0)),"")</f>
        <v/>
      </c>
      <c r="F389" s="111" t="str">
        <f aca="false">IFERROR(INDEX('Historical Data'!$G$2:$G$9,MATCH($A389,'Historical Data'!$BE$2:$BE$9,0)),"")</f>
        <v/>
      </c>
      <c r="G389" s="111" t="str">
        <f aca="false">IFERROR(INDEX('Historical Data'!$Y$2:$Y$9,MATCH($A389,'Historical Data'!$BE$2:$BE$9,0)),"")</f>
        <v/>
      </c>
      <c r="H389" s="111" t="str">
        <f aca="false">IFERROR(INDEX('Historical Data'!$K$2:$K$9,MATCH($A389,'Historical Data'!$BE$2:$BE$9,0)),"")</f>
        <v/>
      </c>
      <c r="I389" s="111" t="str">
        <f aca="false">IFERROR(INDEX('Historical Data'!$J$2:$J$9,MATCH($A389,'Historical Data'!$BE$2:$BE$9,0)),"")</f>
        <v/>
      </c>
      <c r="J389" s="111" t="str">
        <f aca="false">IFERROR(INDEX('Historical Data'!$L$2:$L$9,MATCH($A389,'Historical Data'!$BE$2:$BE$9,0)),"")</f>
        <v/>
      </c>
      <c r="K389" s="113" t="str">
        <f aca="false">IFERROR(INDEX('Historical Data'!$M$2:$M$9,MATCH($A389,'Historical Data'!$BE$2:$BE$9,0)),"")</f>
        <v/>
      </c>
      <c r="L389" s="114" t="str">
        <f aca="false">IFERROR(INDEX('Historical Data'!$N$2:$N$9,MATCH($A389,'Historical Data'!$BE$2:$BE$9,0)),"")</f>
        <v/>
      </c>
      <c r="M389" s="114" t="str">
        <f aca="false">IFERROR(INDEX('Historical Data'!$Q$2:$Q$9,MATCH($A389,'Historical Data'!$BE$2:$BE$9,0)),"")</f>
        <v/>
      </c>
      <c r="N389" s="115" t="str">
        <f aca="false">IFERROR(INDEX('Historical Data'!$S$2:$S$9,MATCH($A389,'Historical Data'!$BE$2:$BE$9,0)),"")</f>
        <v/>
      </c>
      <c r="O389" s="114" t="str">
        <f aca="false">IFERROR(INDEX('Historical Data'!$AJ$2:$AJ$9,MATCH($A389,'Historical Data'!$BE$2:$BE$9,0)),"")</f>
        <v/>
      </c>
      <c r="P389" s="114" t="str">
        <f aca="false">IFERROR(INDEX('Historical Data'!$AK$2:$AK$9,MATCH($A389,'Historical Data'!$BE$2:$BE$9,0)),"")</f>
        <v/>
      </c>
      <c r="Q389" s="111" t="str">
        <f aca="false">IFERROR(INDEX('Historical Data'!$AA$2:$AA$9,MATCH($A389,'Historical Data'!$BE$2:$BE$9,0)),"")</f>
        <v/>
      </c>
      <c r="R389" s="111" t="str">
        <f aca="false">IFERROR(INDEX('Historical Data'!$AB$2:$AB$9,MATCH($A389,'Historical Data'!$BE$2:$BE$9,0)),"")</f>
        <v/>
      </c>
      <c r="S389" s="111" t="str">
        <f aca="false">IFERROR(INDEX('Historical Data'!$AN$2:$AN$9,MATCH($A389,'Historical Data'!$BE$2:$BE$9,0)),"")</f>
        <v/>
      </c>
      <c r="T389" s="111" t="str">
        <f aca="false">IFERROR(INDEX('Historical Data'!$AC$2:$AC$9,MATCH($A389,'Historical Data'!$BE$2:$BE$9,0)),"")</f>
        <v/>
      </c>
      <c r="U389" s="111" t="str">
        <f aca="false">IFERROR(INDEX('Historical Data'!$AE$2:$AE$9,MATCH($A389,'Historical Data'!$BE$2:$BE$9,0)),"")</f>
        <v/>
      </c>
      <c r="V389" s="111" t="str">
        <f aca="false">IFERROR(INDEX('Historical Data'!$AH$2:$AH$9,MATCH($A389,'Historical Data'!$BE$2:$BE$9,0)),"")</f>
        <v/>
      </c>
      <c r="W389" s="111" t="str">
        <f aca="false">IFERROR(INDEX('Historical Data'!$BC$2:$BC$9,MATCH($A389,'Historical Data'!$BE$2:$BE$9,0)),"")</f>
        <v/>
      </c>
      <c r="X389" s="110" t="str">
        <f aca="false">IF(B389="","",IF(W389=1,"NR + industry + position",IF(W389=2,"NR + ISO + position",IF(W389=3,"NR + industry",IF(W389=4,"NR + ISO",IF(W389=5,"NR + position",IF(W389=6,"NR only","book baseline"))))))&amp;"  ["&amp;IF(T389=1,"seasoned","unseasoned")&amp;IF(U389=1,", defaulted","")&amp;IF(V389=1,", open","")&amp;"]")</f>
        <v/>
      </c>
    </row>
    <row r="390" customFormat="false" ht="15" hidden="false" customHeight="false" outlineLevel="0" collapsed="false">
      <c r="A390" s="110" t="n">
        <v>386</v>
      </c>
      <c r="B390" s="111" t="str">
        <f aca="false">IFERROR(INDEX('Historical Data'!$A$2:$A$9,MATCH($A390,'Historical Data'!$BE$2:$BE$9,0)),"")</f>
        <v/>
      </c>
      <c r="C390" s="111" t="str">
        <f aca="false">IFERROR(INDEX('Historical Data'!$B$2:$B$9,MATCH($A390,'Historical Data'!$BE$2:$BE$9,0)),"")</f>
        <v/>
      </c>
      <c r="D390" s="111" t="str">
        <f aca="false">IFERROR(INDEX('Historical Data'!$D$2:$D$9,MATCH($A390,'Historical Data'!$BE$2:$BE$9,0)),"")</f>
        <v/>
      </c>
      <c r="E390" s="112" t="str">
        <f aca="false">IFERROR(INDEX('Historical Data'!$E$2:$E$9,MATCH($A390,'Historical Data'!$BE$2:$BE$9,0)),"")</f>
        <v/>
      </c>
      <c r="F390" s="111" t="str">
        <f aca="false">IFERROR(INDEX('Historical Data'!$G$2:$G$9,MATCH($A390,'Historical Data'!$BE$2:$BE$9,0)),"")</f>
        <v/>
      </c>
      <c r="G390" s="111" t="str">
        <f aca="false">IFERROR(INDEX('Historical Data'!$Y$2:$Y$9,MATCH($A390,'Historical Data'!$BE$2:$BE$9,0)),"")</f>
        <v/>
      </c>
      <c r="H390" s="111" t="str">
        <f aca="false">IFERROR(INDEX('Historical Data'!$K$2:$K$9,MATCH($A390,'Historical Data'!$BE$2:$BE$9,0)),"")</f>
        <v/>
      </c>
      <c r="I390" s="111" t="str">
        <f aca="false">IFERROR(INDEX('Historical Data'!$J$2:$J$9,MATCH($A390,'Historical Data'!$BE$2:$BE$9,0)),"")</f>
        <v/>
      </c>
      <c r="J390" s="111" t="str">
        <f aca="false">IFERROR(INDEX('Historical Data'!$L$2:$L$9,MATCH($A390,'Historical Data'!$BE$2:$BE$9,0)),"")</f>
        <v/>
      </c>
      <c r="K390" s="113" t="str">
        <f aca="false">IFERROR(INDEX('Historical Data'!$M$2:$M$9,MATCH($A390,'Historical Data'!$BE$2:$BE$9,0)),"")</f>
        <v/>
      </c>
      <c r="L390" s="114" t="str">
        <f aca="false">IFERROR(INDEX('Historical Data'!$N$2:$N$9,MATCH($A390,'Historical Data'!$BE$2:$BE$9,0)),"")</f>
        <v/>
      </c>
      <c r="M390" s="114" t="str">
        <f aca="false">IFERROR(INDEX('Historical Data'!$Q$2:$Q$9,MATCH($A390,'Historical Data'!$BE$2:$BE$9,0)),"")</f>
        <v/>
      </c>
      <c r="N390" s="115" t="str">
        <f aca="false">IFERROR(INDEX('Historical Data'!$S$2:$S$9,MATCH($A390,'Historical Data'!$BE$2:$BE$9,0)),"")</f>
        <v/>
      </c>
      <c r="O390" s="114" t="str">
        <f aca="false">IFERROR(INDEX('Historical Data'!$AJ$2:$AJ$9,MATCH($A390,'Historical Data'!$BE$2:$BE$9,0)),"")</f>
        <v/>
      </c>
      <c r="P390" s="114" t="str">
        <f aca="false">IFERROR(INDEX('Historical Data'!$AK$2:$AK$9,MATCH($A390,'Historical Data'!$BE$2:$BE$9,0)),"")</f>
        <v/>
      </c>
      <c r="Q390" s="111" t="str">
        <f aca="false">IFERROR(INDEX('Historical Data'!$AA$2:$AA$9,MATCH($A390,'Historical Data'!$BE$2:$BE$9,0)),"")</f>
        <v/>
      </c>
      <c r="R390" s="111" t="str">
        <f aca="false">IFERROR(INDEX('Historical Data'!$AB$2:$AB$9,MATCH($A390,'Historical Data'!$BE$2:$BE$9,0)),"")</f>
        <v/>
      </c>
      <c r="S390" s="111" t="str">
        <f aca="false">IFERROR(INDEX('Historical Data'!$AN$2:$AN$9,MATCH($A390,'Historical Data'!$BE$2:$BE$9,0)),"")</f>
        <v/>
      </c>
      <c r="T390" s="111" t="str">
        <f aca="false">IFERROR(INDEX('Historical Data'!$AC$2:$AC$9,MATCH($A390,'Historical Data'!$BE$2:$BE$9,0)),"")</f>
        <v/>
      </c>
      <c r="U390" s="111" t="str">
        <f aca="false">IFERROR(INDEX('Historical Data'!$AE$2:$AE$9,MATCH($A390,'Historical Data'!$BE$2:$BE$9,0)),"")</f>
        <v/>
      </c>
      <c r="V390" s="111" t="str">
        <f aca="false">IFERROR(INDEX('Historical Data'!$AH$2:$AH$9,MATCH($A390,'Historical Data'!$BE$2:$BE$9,0)),"")</f>
        <v/>
      </c>
      <c r="W390" s="111" t="str">
        <f aca="false">IFERROR(INDEX('Historical Data'!$BC$2:$BC$9,MATCH($A390,'Historical Data'!$BE$2:$BE$9,0)),"")</f>
        <v/>
      </c>
      <c r="X390" s="110" t="str">
        <f aca="false">IF(B390="","",IF(W390=1,"NR + industry + position",IF(W390=2,"NR + ISO + position",IF(W390=3,"NR + industry",IF(W390=4,"NR + ISO",IF(W390=5,"NR + position",IF(W390=6,"NR only","book baseline"))))))&amp;"  ["&amp;IF(T390=1,"seasoned","unseasoned")&amp;IF(U390=1,", defaulted","")&amp;IF(V390=1,", open","")&amp;"]")</f>
        <v/>
      </c>
    </row>
    <row r="391" customFormat="false" ht="15" hidden="false" customHeight="false" outlineLevel="0" collapsed="false">
      <c r="A391" s="110" t="n">
        <v>387</v>
      </c>
      <c r="B391" s="111" t="str">
        <f aca="false">IFERROR(INDEX('Historical Data'!$A$2:$A$9,MATCH($A391,'Historical Data'!$BE$2:$BE$9,0)),"")</f>
        <v/>
      </c>
      <c r="C391" s="111" t="str">
        <f aca="false">IFERROR(INDEX('Historical Data'!$B$2:$B$9,MATCH($A391,'Historical Data'!$BE$2:$BE$9,0)),"")</f>
        <v/>
      </c>
      <c r="D391" s="111" t="str">
        <f aca="false">IFERROR(INDEX('Historical Data'!$D$2:$D$9,MATCH($A391,'Historical Data'!$BE$2:$BE$9,0)),"")</f>
        <v/>
      </c>
      <c r="E391" s="112" t="str">
        <f aca="false">IFERROR(INDEX('Historical Data'!$E$2:$E$9,MATCH($A391,'Historical Data'!$BE$2:$BE$9,0)),"")</f>
        <v/>
      </c>
      <c r="F391" s="111" t="str">
        <f aca="false">IFERROR(INDEX('Historical Data'!$G$2:$G$9,MATCH($A391,'Historical Data'!$BE$2:$BE$9,0)),"")</f>
        <v/>
      </c>
      <c r="G391" s="111" t="str">
        <f aca="false">IFERROR(INDEX('Historical Data'!$Y$2:$Y$9,MATCH($A391,'Historical Data'!$BE$2:$BE$9,0)),"")</f>
        <v/>
      </c>
      <c r="H391" s="111" t="str">
        <f aca="false">IFERROR(INDEX('Historical Data'!$K$2:$K$9,MATCH($A391,'Historical Data'!$BE$2:$BE$9,0)),"")</f>
        <v/>
      </c>
      <c r="I391" s="111" t="str">
        <f aca="false">IFERROR(INDEX('Historical Data'!$J$2:$J$9,MATCH($A391,'Historical Data'!$BE$2:$BE$9,0)),"")</f>
        <v/>
      </c>
      <c r="J391" s="111" t="str">
        <f aca="false">IFERROR(INDEX('Historical Data'!$L$2:$L$9,MATCH($A391,'Historical Data'!$BE$2:$BE$9,0)),"")</f>
        <v/>
      </c>
      <c r="K391" s="113" t="str">
        <f aca="false">IFERROR(INDEX('Historical Data'!$M$2:$M$9,MATCH($A391,'Historical Data'!$BE$2:$BE$9,0)),"")</f>
        <v/>
      </c>
      <c r="L391" s="114" t="str">
        <f aca="false">IFERROR(INDEX('Historical Data'!$N$2:$N$9,MATCH($A391,'Historical Data'!$BE$2:$BE$9,0)),"")</f>
        <v/>
      </c>
      <c r="M391" s="114" t="str">
        <f aca="false">IFERROR(INDEX('Historical Data'!$Q$2:$Q$9,MATCH($A391,'Historical Data'!$BE$2:$BE$9,0)),"")</f>
        <v/>
      </c>
      <c r="N391" s="115" t="str">
        <f aca="false">IFERROR(INDEX('Historical Data'!$S$2:$S$9,MATCH($A391,'Historical Data'!$BE$2:$BE$9,0)),"")</f>
        <v/>
      </c>
      <c r="O391" s="114" t="str">
        <f aca="false">IFERROR(INDEX('Historical Data'!$AJ$2:$AJ$9,MATCH($A391,'Historical Data'!$BE$2:$BE$9,0)),"")</f>
        <v/>
      </c>
      <c r="P391" s="114" t="str">
        <f aca="false">IFERROR(INDEX('Historical Data'!$AK$2:$AK$9,MATCH($A391,'Historical Data'!$BE$2:$BE$9,0)),"")</f>
        <v/>
      </c>
      <c r="Q391" s="111" t="str">
        <f aca="false">IFERROR(INDEX('Historical Data'!$AA$2:$AA$9,MATCH($A391,'Historical Data'!$BE$2:$BE$9,0)),"")</f>
        <v/>
      </c>
      <c r="R391" s="111" t="str">
        <f aca="false">IFERROR(INDEX('Historical Data'!$AB$2:$AB$9,MATCH($A391,'Historical Data'!$BE$2:$BE$9,0)),"")</f>
        <v/>
      </c>
      <c r="S391" s="111" t="str">
        <f aca="false">IFERROR(INDEX('Historical Data'!$AN$2:$AN$9,MATCH($A391,'Historical Data'!$BE$2:$BE$9,0)),"")</f>
        <v/>
      </c>
      <c r="T391" s="111" t="str">
        <f aca="false">IFERROR(INDEX('Historical Data'!$AC$2:$AC$9,MATCH($A391,'Historical Data'!$BE$2:$BE$9,0)),"")</f>
        <v/>
      </c>
      <c r="U391" s="111" t="str">
        <f aca="false">IFERROR(INDEX('Historical Data'!$AE$2:$AE$9,MATCH($A391,'Historical Data'!$BE$2:$BE$9,0)),"")</f>
        <v/>
      </c>
      <c r="V391" s="111" t="str">
        <f aca="false">IFERROR(INDEX('Historical Data'!$AH$2:$AH$9,MATCH($A391,'Historical Data'!$BE$2:$BE$9,0)),"")</f>
        <v/>
      </c>
      <c r="W391" s="111" t="str">
        <f aca="false">IFERROR(INDEX('Historical Data'!$BC$2:$BC$9,MATCH($A391,'Historical Data'!$BE$2:$BE$9,0)),"")</f>
        <v/>
      </c>
      <c r="X391" s="110" t="str">
        <f aca="false">IF(B391="","",IF(W391=1,"NR + industry + position",IF(W391=2,"NR + ISO + position",IF(W391=3,"NR + industry",IF(W391=4,"NR + ISO",IF(W391=5,"NR + position",IF(W391=6,"NR only","book baseline"))))))&amp;"  ["&amp;IF(T391=1,"seasoned","unseasoned")&amp;IF(U391=1,", defaulted","")&amp;IF(V391=1,", open","")&amp;"]")</f>
        <v/>
      </c>
    </row>
    <row r="392" customFormat="false" ht="15" hidden="false" customHeight="false" outlineLevel="0" collapsed="false">
      <c r="A392" s="110" t="n">
        <v>388</v>
      </c>
      <c r="B392" s="111" t="str">
        <f aca="false">IFERROR(INDEX('Historical Data'!$A$2:$A$9,MATCH($A392,'Historical Data'!$BE$2:$BE$9,0)),"")</f>
        <v/>
      </c>
      <c r="C392" s="111" t="str">
        <f aca="false">IFERROR(INDEX('Historical Data'!$B$2:$B$9,MATCH($A392,'Historical Data'!$BE$2:$BE$9,0)),"")</f>
        <v/>
      </c>
      <c r="D392" s="111" t="str">
        <f aca="false">IFERROR(INDEX('Historical Data'!$D$2:$D$9,MATCH($A392,'Historical Data'!$BE$2:$BE$9,0)),"")</f>
        <v/>
      </c>
      <c r="E392" s="112" t="str">
        <f aca="false">IFERROR(INDEX('Historical Data'!$E$2:$E$9,MATCH($A392,'Historical Data'!$BE$2:$BE$9,0)),"")</f>
        <v/>
      </c>
      <c r="F392" s="111" t="str">
        <f aca="false">IFERROR(INDEX('Historical Data'!$G$2:$G$9,MATCH($A392,'Historical Data'!$BE$2:$BE$9,0)),"")</f>
        <v/>
      </c>
      <c r="G392" s="111" t="str">
        <f aca="false">IFERROR(INDEX('Historical Data'!$Y$2:$Y$9,MATCH($A392,'Historical Data'!$BE$2:$BE$9,0)),"")</f>
        <v/>
      </c>
      <c r="H392" s="111" t="str">
        <f aca="false">IFERROR(INDEX('Historical Data'!$K$2:$K$9,MATCH($A392,'Historical Data'!$BE$2:$BE$9,0)),"")</f>
        <v/>
      </c>
      <c r="I392" s="111" t="str">
        <f aca="false">IFERROR(INDEX('Historical Data'!$J$2:$J$9,MATCH($A392,'Historical Data'!$BE$2:$BE$9,0)),"")</f>
        <v/>
      </c>
      <c r="J392" s="111" t="str">
        <f aca="false">IFERROR(INDEX('Historical Data'!$L$2:$L$9,MATCH($A392,'Historical Data'!$BE$2:$BE$9,0)),"")</f>
        <v/>
      </c>
      <c r="K392" s="113" t="str">
        <f aca="false">IFERROR(INDEX('Historical Data'!$M$2:$M$9,MATCH($A392,'Historical Data'!$BE$2:$BE$9,0)),"")</f>
        <v/>
      </c>
      <c r="L392" s="114" t="str">
        <f aca="false">IFERROR(INDEX('Historical Data'!$N$2:$N$9,MATCH($A392,'Historical Data'!$BE$2:$BE$9,0)),"")</f>
        <v/>
      </c>
      <c r="M392" s="114" t="str">
        <f aca="false">IFERROR(INDEX('Historical Data'!$Q$2:$Q$9,MATCH($A392,'Historical Data'!$BE$2:$BE$9,0)),"")</f>
        <v/>
      </c>
      <c r="N392" s="115" t="str">
        <f aca="false">IFERROR(INDEX('Historical Data'!$S$2:$S$9,MATCH($A392,'Historical Data'!$BE$2:$BE$9,0)),"")</f>
        <v/>
      </c>
      <c r="O392" s="114" t="str">
        <f aca="false">IFERROR(INDEX('Historical Data'!$AJ$2:$AJ$9,MATCH($A392,'Historical Data'!$BE$2:$BE$9,0)),"")</f>
        <v/>
      </c>
      <c r="P392" s="114" t="str">
        <f aca="false">IFERROR(INDEX('Historical Data'!$AK$2:$AK$9,MATCH($A392,'Historical Data'!$BE$2:$BE$9,0)),"")</f>
        <v/>
      </c>
      <c r="Q392" s="111" t="str">
        <f aca="false">IFERROR(INDEX('Historical Data'!$AA$2:$AA$9,MATCH($A392,'Historical Data'!$BE$2:$BE$9,0)),"")</f>
        <v/>
      </c>
      <c r="R392" s="111" t="str">
        <f aca="false">IFERROR(INDEX('Historical Data'!$AB$2:$AB$9,MATCH($A392,'Historical Data'!$BE$2:$BE$9,0)),"")</f>
        <v/>
      </c>
      <c r="S392" s="111" t="str">
        <f aca="false">IFERROR(INDEX('Historical Data'!$AN$2:$AN$9,MATCH($A392,'Historical Data'!$BE$2:$BE$9,0)),"")</f>
        <v/>
      </c>
      <c r="T392" s="111" t="str">
        <f aca="false">IFERROR(INDEX('Historical Data'!$AC$2:$AC$9,MATCH($A392,'Historical Data'!$BE$2:$BE$9,0)),"")</f>
        <v/>
      </c>
      <c r="U392" s="111" t="str">
        <f aca="false">IFERROR(INDEX('Historical Data'!$AE$2:$AE$9,MATCH($A392,'Historical Data'!$BE$2:$BE$9,0)),"")</f>
        <v/>
      </c>
      <c r="V392" s="111" t="str">
        <f aca="false">IFERROR(INDEX('Historical Data'!$AH$2:$AH$9,MATCH($A392,'Historical Data'!$BE$2:$BE$9,0)),"")</f>
        <v/>
      </c>
      <c r="W392" s="111" t="str">
        <f aca="false">IFERROR(INDEX('Historical Data'!$BC$2:$BC$9,MATCH($A392,'Historical Data'!$BE$2:$BE$9,0)),"")</f>
        <v/>
      </c>
      <c r="X392" s="110" t="str">
        <f aca="false">IF(B392="","",IF(W392=1,"NR + industry + position",IF(W392=2,"NR + ISO + position",IF(W392=3,"NR + industry",IF(W392=4,"NR + ISO",IF(W392=5,"NR + position",IF(W392=6,"NR only","book baseline"))))))&amp;"  ["&amp;IF(T392=1,"seasoned","unseasoned")&amp;IF(U392=1,", defaulted","")&amp;IF(V392=1,", open","")&amp;"]")</f>
        <v/>
      </c>
    </row>
    <row r="393" customFormat="false" ht="15" hidden="false" customHeight="false" outlineLevel="0" collapsed="false">
      <c r="A393" s="110" t="n">
        <v>389</v>
      </c>
      <c r="B393" s="111" t="str">
        <f aca="false">IFERROR(INDEX('Historical Data'!$A$2:$A$9,MATCH($A393,'Historical Data'!$BE$2:$BE$9,0)),"")</f>
        <v/>
      </c>
      <c r="C393" s="111" t="str">
        <f aca="false">IFERROR(INDEX('Historical Data'!$B$2:$B$9,MATCH($A393,'Historical Data'!$BE$2:$BE$9,0)),"")</f>
        <v/>
      </c>
      <c r="D393" s="111" t="str">
        <f aca="false">IFERROR(INDEX('Historical Data'!$D$2:$D$9,MATCH($A393,'Historical Data'!$BE$2:$BE$9,0)),"")</f>
        <v/>
      </c>
      <c r="E393" s="112" t="str">
        <f aca="false">IFERROR(INDEX('Historical Data'!$E$2:$E$9,MATCH($A393,'Historical Data'!$BE$2:$BE$9,0)),"")</f>
        <v/>
      </c>
      <c r="F393" s="111" t="str">
        <f aca="false">IFERROR(INDEX('Historical Data'!$G$2:$G$9,MATCH($A393,'Historical Data'!$BE$2:$BE$9,0)),"")</f>
        <v/>
      </c>
      <c r="G393" s="111" t="str">
        <f aca="false">IFERROR(INDEX('Historical Data'!$Y$2:$Y$9,MATCH($A393,'Historical Data'!$BE$2:$BE$9,0)),"")</f>
        <v/>
      </c>
      <c r="H393" s="111" t="str">
        <f aca="false">IFERROR(INDEX('Historical Data'!$K$2:$K$9,MATCH($A393,'Historical Data'!$BE$2:$BE$9,0)),"")</f>
        <v/>
      </c>
      <c r="I393" s="111" t="str">
        <f aca="false">IFERROR(INDEX('Historical Data'!$J$2:$J$9,MATCH($A393,'Historical Data'!$BE$2:$BE$9,0)),"")</f>
        <v/>
      </c>
      <c r="J393" s="111" t="str">
        <f aca="false">IFERROR(INDEX('Historical Data'!$L$2:$L$9,MATCH($A393,'Historical Data'!$BE$2:$BE$9,0)),"")</f>
        <v/>
      </c>
      <c r="K393" s="113" t="str">
        <f aca="false">IFERROR(INDEX('Historical Data'!$M$2:$M$9,MATCH($A393,'Historical Data'!$BE$2:$BE$9,0)),"")</f>
        <v/>
      </c>
      <c r="L393" s="114" t="str">
        <f aca="false">IFERROR(INDEX('Historical Data'!$N$2:$N$9,MATCH($A393,'Historical Data'!$BE$2:$BE$9,0)),"")</f>
        <v/>
      </c>
      <c r="M393" s="114" t="str">
        <f aca="false">IFERROR(INDEX('Historical Data'!$Q$2:$Q$9,MATCH($A393,'Historical Data'!$BE$2:$BE$9,0)),"")</f>
        <v/>
      </c>
      <c r="N393" s="115" t="str">
        <f aca="false">IFERROR(INDEX('Historical Data'!$S$2:$S$9,MATCH($A393,'Historical Data'!$BE$2:$BE$9,0)),"")</f>
        <v/>
      </c>
      <c r="O393" s="114" t="str">
        <f aca="false">IFERROR(INDEX('Historical Data'!$AJ$2:$AJ$9,MATCH($A393,'Historical Data'!$BE$2:$BE$9,0)),"")</f>
        <v/>
      </c>
      <c r="P393" s="114" t="str">
        <f aca="false">IFERROR(INDEX('Historical Data'!$AK$2:$AK$9,MATCH($A393,'Historical Data'!$BE$2:$BE$9,0)),"")</f>
        <v/>
      </c>
      <c r="Q393" s="111" t="str">
        <f aca="false">IFERROR(INDEX('Historical Data'!$AA$2:$AA$9,MATCH($A393,'Historical Data'!$BE$2:$BE$9,0)),"")</f>
        <v/>
      </c>
      <c r="R393" s="111" t="str">
        <f aca="false">IFERROR(INDEX('Historical Data'!$AB$2:$AB$9,MATCH($A393,'Historical Data'!$BE$2:$BE$9,0)),"")</f>
        <v/>
      </c>
      <c r="S393" s="111" t="str">
        <f aca="false">IFERROR(INDEX('Historical Data'!$AN$2:$AN$9,MATCH($A393,'Historical Data'!$BE$2:$BE$9,0)),"")</f>
        <v/>
      </c>
      <c r="T393" s="111" t="str">
        <f aca="false">IFERROR(INDEX('Historical Data'!$AC$2:$AC$9,MATCH($A393,'Historical Data'!$BE$2:$BE$9,0)),"")</f>
        <v/>
      </c>
      <c r="U393" s="111" t="str">
        <f aca="false">IFERROR(INDEX('Historical Data'!$AE$2:$AE$9,MATCH($A393,'Historical Data'!$BE$2:$BE$9,0)),"")</f>
        <v/>
      </c>
      <c r="V393" s="111" t="str">
        <f aca="false">IFERROR(INDEX('Historical Data'!$AH$2:$AH$9,MATCH($A393,'Historical Data'!$BE$2:$BE$9,0)),"")</f>
        <v/>
      </c>
      <c r="W393" s="111" t="str">
        <f aca="false">IFERROR(INDEX('Historical Data'!$BC$2:$BC$9,MATCH($A393,'Historical Data'!$BE$2:$BE$9,0)),"")</f>
        <v/>
      </c>
      <c r="X393" s="110" t="str">
        <f aca="false">IF(B393="","",IF(W393=1,"NR + industry + position",IF(W393=2,"NR + ISO + position",IF(W393=3,"NR + industry",IF(W393=4,"NR + ISO",IF(W393=5,"NR + position",IF(W393=6,"NR only","book baseline"))))))&amp;"  ["&amp;IF(T393=1,"seasoned","unseasoned")&amp;IF(U393=1,", defaulted","")&amp;IF(V393=1,", open","")&amp;"]")</f>
        <v/>
      </c>
    </row>
    <row r="394" customFormat="false" ht="15" hidden="false" customHeight="false" outlineLevel="0" collapsed="false">
      <c r="A394" s="110" t="n">
        <v>390</v>
      </c>
      <c r="B394" s="111" t="str">
        <f aca="false">IFERROR(INDEX('Historical Data'!$A$2:$A$9,MATCH($A394,'Historical Data'!$BE$2:$BE$9,0)),"")</f>
        <v/>
      </c>
      <c r="C394" s="111" t="str">
        <f aca="false">IFERROR(INDEX('Historical Data'!$B$2:$B$9,MATCH($A394,'Historical Data'!$BE$2:$BE$9,0)),"")</f>
        <v/>
      </c>
      <c r="D394" s="111" t="str">
        <f aca="false">IFERROR(INDEX('Historical Data'!$D$2:$D$9,MATCH($A394,'Historical Data'!$BE$2:$BE$9,0)),"")</f>
        <v/>
      </c>
      <c r="E394" s="112" t="str">
        <f aca="false">IFERROR(INDEX('Historical Data'!$E$2:$E$9,MATCH($A394,'Historical Data'!$BE$2:$BE$9,0)),"")</f>
        <v/>
      </c>
      <c r="F394" s="111" t="str">
        <f aca="false">IFERROR(INDEX('Historical Data'!$G$2:$G$9,MATCH($A394,'Historical Data'!$BE$2:$BE$9,0)),"")</f>
        <v/>
      </c>
      <c r="G394" s="111" t="str">
        <f aca="false">IFERROR(INDEX('Historical Data'!$Y$2:$Y$9,MATCH($A394,'Historical Data'!$BE$2:$BE$9,0)),"")</f>
        <v/>
      </c>
      <c r="H394" s="111" t="str">
        <f aca="false">IFERROR(INDEX('Historical Data'!$K$2:$K$9,MATCH($A394,'Historical Data'!$BE$2:$BE$9,0)),"")</f>
        <v/>
      </c>
      <c r="I394" s="111" t="str">
        <f aca="false">IFERROR(INDEX('Historical Data'!$J$2:$J$9,MATCH($A394,'Historical Data'!$BE$2:$BE$9,0)),"")</f>
        <v/>
      </c>
      <c r="J394" s="111" t="str">
        <f aca="false">IFERROR(INDEX('Historical Data'!$L$2:$L$9,MATCH($A394,'Historical Data'!$BE$2:$BE$9,0)),"")</f>
        <v/>
      </c>
      <c r="K394" s="113" t="str">
        <f aca="false">IFERROR(INDEX('Historical Data'!$M$2:$M$9,MATCH($A394,'Historical Data'!$BE$2:$BE$9,0)),"")</f>
        <v/>
      </c>
      <c r="L394" s="114" t="str">
        <f aca="false">IFERROR(INDEX('Historical Data'!$N$2:$N$9,MATCH($A394,'Historical Data'!$BE$2:$BE$9,0)),"")</f>
        <v/>
      </c>
      <c r="M394" s="114" t="str">
        <f aca="false">IFERROR(INDEX('Historical Data'!$Q$2:$Q$9,MATCH($A394,'Historical Data'!$BE$2:$BE$9,0)),"")</f>
        <v/>
      </c>
      <c r="N394" s="115" t="str">
        <f aca="false">IFERROR(INDEX('Historical Data'!$S$2:$S$9,MATCH($A394,'Historical Data'!$BE$2:$BE$9,0)),"")</f>
        <v/>
      </c>
      <c r="O394" s="114" t="str">
        <f aca="false">IFERROR(INDEX('Historical Data'!$AJ$2:$AJ$9,MATCH($A394,'Historical Data'!$BE$2:$BE$9,0)),"")</f>
        <v/>
      </c>
      <c r="P394" s="114" t="str">
        <f aca="false">IFERROR(INDEX('Historical Data'!$AK$2:$AK$9,MATCH($A394,'Historical Data'!$BE$2:$BE$9,0)),"")</f>
        <v/>
      </c>
      <c r="Q394" s="111" t="str">
        <f aca="false">IFERROR(INDEX('Historical Data'!$AA$2:$AA$9,MATCH($A394,'Historical Data'!$BE$2:$BE$9,0)),"")</f>
        <v/>
      </c>
      <c r="R394" s="111" t="str">
        <f aca="false">IFERROR(INDEX('Historical Data'!$AB$2:$AB$9,MATCH($A394,'Historical Data'!$BE$2:$BE$9,0)),"")</f>
        <v/>
      </c>
      <c r="S394" s="111" t="str">
        <f aca="false">IFERROR(INDEX('Historical Data'!$AN$2:$AN$9,MATCH($A394,'Historical Data'!$BE$2:$BE$9,0)),"")</f>
        <v/>
      </c>
      <c r="T394" s="111" t="str">
        <f aca="false">IFERROR(INDEX('Historical Data'!$AC$2:$AC$9,MATCH($A394,'Historical Data'!$BE$2:$BE$9,0)),"")</f>
        <v/>
      </c>
      <c r="U394" s="111" t="str">
        <f aca="false">IFERROR(INDEX('Historical Data'!$AE$2:$AE$9,MATCH($A394,'Historical Data'!$BE$2:$BE$9,0)),"")</f>
        <v/>
      </c>
      <c r="V394" s="111" t="str">
        <f aca="false">IFERROR(INDEX('Historical Data'!$AH$2:$AH$9,MATCH($A394,'Historical Data'!$BE$2:$BE$9,0)),"")</f>
        <v/>
      </c>
      <c r="W394" s="111" t="str">
        <f aca="false">IFERROR(INDEX('Historical Data'!$BC$2:$BC$9,MATCH($A394,'Historical Data'!$BE$2:$BE$9,0)),"")</f>
        <v/>
      </c>
      <c r="X394" s="110" t="str">
        <f aca="false">IF(B394="","",IF(W394=1,"NR + industry + position",IF(W394=2,"NR + ISO + position",IF(W394=3,"NR + industry",IF(W394=4,"NR + ISO",IF(W394=5,"NR + position",IF(W394=6,"NR only","book baseline"))))))&amp;"  ["&amp;IF(T394=1,"seasoned","unseasoned")&amp;IF(U394=1,", defaulted","")&amp;IF(V394=1,", open","")&amp;"]")</f>
        <v/>
      </c>
    </row>
    <row r="395" customFormat="false" ht="15" hidden="false" customHeight="false" outlineLevel="0" collapsed="false">
      <c r="A395" s="110" t="n">
        <v>391</v>
      </c>
      <c r="B395" s="111" t="str">
        <f aca="false">IFERROR(INDEX('Historical Data'!$A$2:$A$9,MATCH($A395,'Historical Data'!$BE$2:$BE$9,0)),"")</f>
        <v/>
      </c>
      <c r="C395" s="111" t="str">
        <f aca="false">IFERROR(INDEX('Historical Data'!$B$2:$B$9,MATCH($A395,'Historical Data'!$BE$2:$BE$9,0)),"")</f>
        <v/>
      </c>
      <c r="D395" s="111" t="str">
        <f aca="false">IFERROR(INDEX('Historical Data'!$D$2:$D$9,MATCH($A395,'Historical Data'!$BE$2:$BE$9,0)),"")</f>
        <v/>
      </c>
      <c r="E395" s="112" t="str">
        <f aca="false">IFERROR(INDEX('Historical Data'!$E$2:$E$9,MATCH($A395,'Historical Data'!$BE$2:$BE$9,0)),"")</f>
        <v/>
      </c>
      <c r="F395" s="111" t="str">
        <f aca="false">IFERROR(INDEX('Historical Data'!$G$2:$G$9,MATCH($A395,'Historical Data'!$BE$2:$BE$9,0)),"")</f>
        <v/>
      </c>
      <c r="G395" s="111" t="str">
        <f aca="false">IFERROR(INDEX('Historical Data'!$Y$2:$Y$9,MATCH($A395,'Historical Data'!$BE$2:$BE$9,0)),"")</f>
        <v/>
      </c>
      <c r="H395" s="111" t="str">
        <f aca="false">IFERROR(INDEX('Historical Data'!$K$2:$K$9,MATCH($A395,'Historical Data'!$BE$2:$BE$9,0)),"")</f>
        <v/>
      </c>
      <c r="I395" s="111" t="str">
        <f aca="false">IFERROR(INDEX('Historical Data'!$J$2:$J$9,MATCH($A395,'Historical Data'!$BE$2:$BE$9,0)),"")</f>
        <v/>
      </c>
      <c r="J395" s="111" t="str">
        <f aca="false">IFERROR(INDEX('Historical Data'!$L$2:$L$9,MATCH($A395,'Historical Data'!$BE$2:$BE$9,0)),"")</f>
        <v/>
      </c>
      <c r="K395" s="113" t="str">
        <f aca="false">IFERROR(INDEX('Historical Data'!$M$2:$M$9,MATCH($A395,'Historical Data'!$BE$2:$BE$9,0)),"")</f>
        <v/>
      </c>
      <c r="L395" s="114" t="str">
        <f aca="false">IFERROR(INDEX('Historical Data'!$N$2:$N$9,MATCH($A395,'Historical Data'!$BE$2:$BE$9,0)),"")</f>
        <v/>
      </c>
      <c r="M395" s="114" t="str">
        <f aca="false">IFERROR(INDEX('Historical Data'!$Q$2:$Q$9,MATCH($A395,'Historical Data'!$BE$2:$BE$9,0)),"")</f>
        <v/>
      </c>
      <c r="N395" s="115" t="str">
        <f aca="false">IFERROR(INDEX('Historical Data'!$S$2:$S$9,MATCH($A395,'Historical Data'!$BE$2:$BE$9,0)),"")</f>
        <v/>
      </c>
      <c r="O395" s="114" t="str">
        <f aca="false">IFERROR(INDEX('Historical Data'!$AJ$2:$AJ$9,MATCH($A395,'Historical Data'!$BE$2:$BE$9,0)),"")</f>
        <v/>
      </c>
      <c r="P395" s="114" t="str">
        <f aca="false">IFERROR(INDEX('Historical Data'!$AK$2:$AK$9,MATCH($A395,'Historical Data'!$BE$2:$BE$9,0)),"")</f>
        <v/>
      </c>
      <c r="Q395" s="111" t="str">
        <f aca="false">IFERROR(INDEX('Historical Data'!$AA$2:$AA$9,MATCH($A395,'Historical Data'!$BE$2:$BE$9,0)),"")</f>
        <v/>
      </c>
      <c r="R395" s="111" t="str">
        <f aca="false">IFERROR(INDEX('Historical Data'!$AB$2:$AB$9,MATCH($A395,'Historical Data'!$BE$2:$BE$9,0)),"")</f>
        <v/>
      </c>
      <c r="S395" s="111" t="str">
        <f aca="false">IFERROR(INDEX('Historical Data'!$AN$2:$AN$9,MATCH($A395,'Historical Data'!$BE$2:$BE$9,0)),"")</f>
        <v/>
      </c>
      <c r="T395" s="111" t="str">
        <f aca="false">IFERROR(INDEX('Historical Data'!$AC$2:$AC$9,MATCH($A395,'Historical Data'!$BE$2:$BE$9,0)),"")</f>
        <v/>
      </c>
      <c r="U395" s="111" t="str">
        <f aca="false">IFERROR(INDEX('Historical Data'!$AE$2:$AE$9,MATCH($A395,'Historical Data'!$BE$2:$BE$9,0)),"")</f>
        <v/>
      </c>
      <c r="V395" s="111" t="str">
        <f aca="false">IFERROR(INDEX('Historical Data'!$AH$2:$AH$9,MATCH($A395,'Historical Data'!$BE$2:$BE$9,0)),"")</f>
        <v/>
      </c>
      <c r="W395" s="111" t="str">
        <f aca="false">IFERROR(INDEX('Historical Data'!$BC$2:$BC$9,MATCH($A395,'Historical Data'!$BE$2:$BE$9,0)),"")</f>
        <v/>
      </c>
      <c r="X395" s="110" t="str">
        <f aca="false">IF(B395="","",IF(W395=1,"NR + industry + position",IF(W395=2,"NR + ISO + position",IF(W395=3,"NR + industry",IF(W395=4,"NR + ISO",IF(W395=5,"NR + position",IF(W395=6,"NR only","book baseline"))))))&amp;"  ["&amp;IF(T395=1,"seasoned","unseasoned")&amp;IF(U395=1,", defaulted","")&amp;IF(V395=1,", open","")&amp;"]")</f>
        <v/>
      </c>
    </row>
    <row r="396" customFormat="false" ht="15" hidden="false" customHeight="false" outlineLevel="0" collapsed="false">
      <c r="A396" s="110" t="n">
        <v>392</v>
      </c>
      <c r="B396" s="111" t="str">
        <f aca="false">IFERROR(INDEX('Historical Data'!$A$2:$A$9,MATCH($A396,'Historical Data'!$BE$2:$BE$9,0)),"")</f>
        <v/>
      </c>
      <c r="C396" s="111" t="str">
        <f aca="false">IFERROR(INDEX('Historical Data'!$B$2:$B$9,MATCH($A396,'Historical Data'!$BE$2:$BE$9,0)),"")</f>
        <v/>
      </c>
      <c r="D396" s="111" t="str">
        <f aca="false">IFERROR(INDEX('Historical Data'!$D$2:$D$9,MATCH($A396,'Historical Data'!$BE$2:$BE$9,0)),"")</f>
        <v/>
      </c>
      <c r="E396" s="112" t="str">
        <f aca="false">IFERROR(INDEX('Historical Data'!$E$2:$E$9,MATCH($A396,'Historical Data'!$BE$2:$BE$9,0)),"")</f>
        <v/>
      </c>
      <c r="F396" s="111" t="str">
        <f aca="false">IFERROR(INDEX('Historical Data'!$G$2:$G$9,MATCH($A396,'Historical Data'!$BE$2:$BE$9,0)),"")</f>
        <v/>
      </c>
      <c r="G396" s="111" t="str">
        <f aca="false">IFERROR(INDEX('Historical Data'!$Y$2:$Y$9,MATCH($A396,'Historical Data'!$BE$2:$BE$9,0)),"")</f>
        <v/>
      </c>
      <c r="H396" s="111" t="str">
        <f aca="false">IFERROR(INDEX('Historical Data'!$K$2:$K$9,MATCH($A396,'Historical Data'!$BE$2:$BE$9,0)),"")</f>
        <v/>
      </c>
      <c r="I396" s="111" t="str">
        <f aca="false">IFERROR(INDEX('Historical Data'!$J$2:$J$9,MATCH($A396,'Historical Data'!$BE$2:$BE$9,0)),"")</f>
        <v/>
      </c>
      <c r="J396" s="111" t="str">
        <f aca="false">IFERROR(INDEX('Historical Data'!$L$2:$L$9,MATCH($A396,'Historical Data'!$BE$2:$BE$9,0)),"")</f>
        <v/>
      </c>
      <c r="K396" s="113" t="str">
        <f aca="false">IFERROR(INDEX('Historical Data'!$M$2:$M$9,MATCH($A396,'Historical Data'!$BE$2:$BE$9,0)),"")</f>
        <v/>
      </c>
      <c r="L396" s="114" t="str">
        <f aca="false">IFERROR(INDEX('Historical Data'!$N$2:$N$9,MATCH($A396,'Historical Data'!$BE$2:$BE$9,0)),"")</f>
        <v/>
      </c>
      <c r="M396" s="114" t="str">
        <f aca="false">IFERROR(INDEX('Historical Data'!$Q$2:$Q$9,MATCH($A396,'Historical Data'!$BE$2:$BE$9,0)),"")</f>
        <v/>
      </c>
      <c r="N396" s="115" t="str">
        <f aca="false">IFERROR(INDEX('Historical Data'!$S$2:$S$9,MATCH($A396,'Historical Data'!$BE$2:$BE$9,0)),"")</f>
        <v/>
      </c>
      <c r="O396" s="114" t="str">
        <f aca="false">IFERROR(INDEX('Historical Data'!$AJ$2:$AJ$9,MATCH($A396,'Historical Data'!$BE$2:$BE$9,0)),"")</f>
        <v/>
      </c>
      <c r="P396" s="114" t="str">
        <f aca="false">IFERROR(INDEX('Historical Data'!$AK$2:$AK$9,MATCH($A396,'Historical Data'!$BE$2:$BE$9,0)),"")</f>
        <v/>
      </c>
      <c r="Q396" s="111" t="str">
        <f aca="false">IFERROR(INDEX('Historical Data'!$AA$2:$AA$9,MATCH($A396,'Historical Data'!$BE$2:$BE$9,0)),"")</f>
        <v/>
      </c>
      <c r="R396" s="111" t="str">
        <f aca="false">IFERROR(INDEX('Historical Data'!$AB$2:$AB$9,MATCH($A396,'Historical Data'!$BE$2:$BE$9,0)),"")</f>
        <v/>
      </c>
      <c r="S396" s="111" t="str">
        <f aca="false">IFERROR(INDEX('Historical Data'!$AN$2:$AN$9,MATCH($A396,'Historical Data'!$BE$2:$BE$9,0)),"")</f>
        <v/>
      </c>
      <c r="T396" s="111" t="str">
        <f aca="false">IFERROR(INDEX('Historical Data'!$AC$2:$AC$9,MATCH($A396,'Historical Data'!$BE$2:$BE$9,0)),"")</f>
        <v/>
      </c>
      <c r="U396" s="111" t="str">
        <f aca="false">IFERROR(INDEX('Historical Data'!$AE$2:$AE$9,MATCH($A396,'Historical Data'!$BE$2:$BE$9,0)),"")</f>
        <v/>
      </c>
      <c r="V396" s="111" t="str">
        <f aca="false">IFERROR(INDEX('Historical Data'!$AH$2:$AH$9,MATCH($A396,'Historical Data'!$BE$2:$BE$9,0)),"")</f>
        <v/>
      </c>
      <c r="W396" s="111" t="str">
        <f aca="false">IFERROR(INDEX('Historical Data'!$BC$2:$BC$9,MATCH($A396,'Historical Data'!$BE$2:$BE$9,0)),"")</f>
        <v/>
      </c>
      <c r="X396" s="110" t="str">
        <f aca="false">IF(B396="","",IF(W396=1,"NR + industry + position",IF(W396=2,"NR + ISO + position",IF(W396=3,"NR + industry",IF(W396=4,"NR + ISO",IF(W396=5,"NR + position",IF(W396=6,"NR only","book baseline"))))))&amp;"  ["&amp;IF(T396=1,"seasoned","unseasoned")&amp;IF(U396=1,", defaulted","")&amp;IF(V396=1,", open","")&amp;"]")</f>
        <v/>
      </c>
    </row>
    <row r="397" customFormat="false" ht="15" hidden="false" customHeight="false" outlineLevel="0" collapsed="false">
      <c r="A397" s="110" t="n">
        <v>393</v>
      </c>
      <c r="B397" s="111" t="str">
        <f aca="false">IFERROR(INDEX('Historical Data'!$A$2:$A$9,MATCH($A397,'Historical Data'!$BE$2:$BE$9,0)),"")</f>
        <v/>
      </c>
      <c r="C397" s="111" t="str">
        <f aca="false">IFERROR(INDEX('Historical Data'!$B$2:$B$9,MATCH($A397,'Historical Data'!$BE$2:$BE$9,0)),"")</f>
        <v/>
      </c>
      <c r="D397" s="111" t="str">
        <f aca="false">IFERROR(INDEX('Historical Data'!$D$2:$D$9,MATCH($A397,'Historical Data'!$BE$2:$BE$9,0)),"")</f>
        <v/>
      </c>
      <c r="E397" s="112" t="str">
        <f aca="false">IFERROR(INDEX('Historical Data'!$E$2:$E$9,MATCH($A397,'Historical Data'!$BE$2:$BE$9,0)),"")</f>
        <v/>
      </c>
      <c r="F397" s="111" t="str">
        <f aca="false">IFERROR(INDEX('Historical Data'!$G$2:$G$9,MATCH($A397,'Historical Data'!$BE$2:$BE$9,0)),"")</f>
        <v/>
      </c>
      <c r="G397" s="111" t="str">
        <f aca="false">IFERROR(INDEX('Historical Data'!$Y$2:$Y$9,MATCH($A397,'Historical Data'!$BE$2:$BE$9,0)),"")</f>
        <v/>
      </c>
      <c r="H397" s="111" t="str">
        <f aca="false">IFERROR(INDEX('Historical Data'!$K$2:$K$9,MATCH($A397,'Historical Data'!$BE$2:$BE$9,0)),"")</f>
        <v/>
      </c>
      <c r="I397" s="111" t="str">
        <f aca="false">IFERROR(INDEX('Historical Data'!$J$2:$J$9,MATCH($A397,'Historical Data'!$BE$2:$BE$9,0)),"")</f>
        <v/>
      </c>
      <c r="J397" s="111" t="str">
        <f aca="false">IFERROR(INDEX('Historical Data'!$L$2:$L$9,MATCH($A397,'Historical Data'!$BE$2:$BE$9,0)),"")</f>
        <v/>
      </c>
      <c r="K397" s="113" t="str">
        <f aca="false">IFERROR(INDEX('Historical Data'!$M$2:$M$9,MATCH($A397,'Historical Data'!$BE$2:$BE$9,0)),"")</f>
        <v/>
      </c>
      <c r="L397" s="114" t="str">
        <f aca="false">IFERROR(INDEX('Historical Data'!$N$2:$N$9,MATCH($A397,'Historical Data'!$BE$2:$BE$9,0)),"")</f>
        <v/>
      </c>
      <c r="M397" s="114" t="str">
        <f aca="false">IFERROR(INDEX('Historical Data'!$Q$2:$Q$9,MATCH($A397,'Historical Data'!$BE$2:$BE$9,0)),"")</f>
        <v/>
      </c>
      <c r="N397" s="115" t="str">
        <f aca="false">IFERROR(INDEX('Historical Data'!$S$2:$S$9,MATCH($A397,'Historical Data'!$BE$2:$BE$9,0)),"")</f>
        <v/>
      </c>
      <c r="O397" s="114" t="str">
        <f aca="false">IFERROR(INDEX('Historical Data'!$AJ$2:$AJ$9,MATCH($A397,'Historical Data'!$BE$2:$BE$9,0)),"")</f>
        <v/>
      </c>
      <c r="P397" s="114" t="str">
        <f aca="false">IFERROR(INDEX('Historical Data'!$AK$2:$AK$9,MATCH($A397,'Historical Data'!$BE$2:$BE$9,0)),"")</f>
        <v/>
      </c>
      <c r="Q397" s="111" t="str">
        <f aca="false">IFERROR(INDEX('Historical Data'!$AA$2:$AA$9,MATCH($A397,'Historical Data'!$BE$2:$BE$9,0)),"")</f>
        <v/>
      </c>
      <c r="R397" s="111" t="str">
        <f aca="false">IFERROR(INDEX('Historical Data'!$AB$2:$AB$9,MATCH($A397,'Historical Data'!$BE$2:$BE$9,0)),"")</f>
        <v/>
      </c>
      <c r="S397" s="111" t="str">
        <f aca="false">IFERROR(INDEX('Historical Data'!$AN$2:$AN$9,MATCH($A397,'Historical Data'!$BE$2:$BE$9,0)),"")</f>
        <v/>
      </c>
      <c r="T397" s="111" t="str">
        <f aca="false">IFERROR(INDEX('Historical Data'!$AC$2:$AC$9,MATCH($A397,'Historical Data'!$BE$2:$BE$9,0)),"")</f>
        <v/>
      </c>
      <c r="U397" s="111" t="str">
        <f aca="false">IFERROR(INDEX('Historical Data'!$AE$2:$AE$9,MATCH($A397,'Historical Data'!$BE$2:$BE$9,0)),"")</f>
        <v/>
      </c>
      <c r="V397" s="111" t="str">
        <f aca="false">IFERROR(INDEX('Historical Data'!$AH$2:$AH$9,MATCH($A397,'Historical Data'!$BE$2:$BE$9,0)),"")</f>
        <v/>
      </c>
      <c r="W397" s="111" t="str">
        <f aca="false">IFERROR(INDEX('Historical Data'!$BC$2:$BC$9,MATCH($A397,'Historical Data'!$BE$2:$BE$9,0)),"")</f>
        <v/>
      </c>
      <c r="X397" s="110" t="str">
        <f aca="false">IF(B397="","",IF(W397=1,"NR + industry + position",IF(W397=2,"NR + ISO + position",IF(W397=3,"NR + industry",IF(W397=4,"NR + ISO",IF(W397=5,"NR + position",IF(W397=6,"NR only","book baseline"))))))&amp;"  ["&amp;IF(T397=1,"seasoned","unseasoned")&amp;IF(U397=1,", defaulted","")&amp;IF(V397=1,", open","")&amp;"]")</f>
        <v/>
      </c>
    </row>
    <row r="398" customFormat="false" ht="15" hidden="false" customHeight="false" outlineLevel="0" collapsed="false">
      <c r="A398" s="110" t="n">
        <v>394</v>
      </c>
      <c r="B398" s="111" t="str">
        <f aca="false">IFERROR(INDEX('Historical Data'!$A$2:$A$9,MATCH($A398,'Historical Data'!$BE$2:$BE$9,0)),"")</f>
        <v/>
      </c>
      <c r="C398" s="111" t="str">
        <f aca="false">IFERROR(INDEX('Historical Data'!$B$2:$B$9,MATCH($A398,'Historical Data'!$BE$2:$BE$9,0)),"")</f>
        <v/>
      </c>
      <c r="D398" s="111" t="str">
        <f aca="false">IFERROR(INDEX('Historical Data'!$D$2:$D$9,MATCH($A398,'Historical Data'!$BE$2:$BE$9,0)),"")</f>
        <v/>
      </c>
      <c r="E398" s="112" t="str">
        <f aca="false">IFERROR(INDEX('Historical Data'!$E$2:$E$9,MATCH($A398,'Historical Data'!$BE$2:$BE$9,0)),"")</f>
        <v/>
      </c>
      <c r="F398" s="111" t="str">
        <f aca="false">IFERROR(INDEX('Historical Data'!$G$2:$G$9,MATCH($A398,'Historical Data'!$BE$2:$BE$9,0)),"")</f>
        <v/>
      </c>
      <c r="G398" s="111" t="str">
        <f aca="false">IFERROR(INDEX('Historical Data'!$Y$2:$Y$9,MATCH($A398,'Historical Data'!$BE$2:$BE$9,0)),"")</f>
        <v/>
      </c>
      <c r="H398" s="111" t="str">
        <f aca="false">IFERROR(INDEX('Historical Data'!$K$2:$K$9,MATCH($A398,'Historical Data'!$BE$2:$BE$9,0)),"")</f>
        <v/>
      </c>
      <c r="I398" s="111" t="str">
        <f aca="false">IFERROR(INDEX('Historical Data'!$J$2:$J$9,MATCH($A398,'Historical Data'!$BE$2:$BE$9,0)),"")</f>
        <v/>
      </c>
      <c r="J398" s="111" t="str">
        <f aca="false">IFERROR(INDEX('Historical Data'!$L$2:$L$9,MATCH($A398,'Historical Data'!$BE$2:$BE$9,0)),"")</f>
        <v/>
      </c>
      <c r="K398" s="113" t="str">
        <f aca="false">IFERROR(INDEX('Historical Data'!$M$2:$M$9,MATCH($A398,'Historical Data'!$BE$2:$BE$9,0)),"")</f>
        <v/>
      </c>
      <c r="L398" s="114" t="str">
        <f aca="false">IFERROR(INDEX('Historical Data'!$N$2:$N$9,MATCH($A398,'Historical Data'!$BE$2:$BE$9,0)),"")</f>
        <v/>
      </c>
      <c r="M398" s="114" t="str">
        <f aca="false">IFERROR(INDEX('Historical Data'!$Q$2:$Q$9,MATCH($A398,'Historical Data'!$BE$2:$BE$9,0)),"")</f>
        <v/>
      </c>
      <c r="N398" s="115" t="str">
        <f aca="false">IFERROR(INDEX('Historical Data'!$S$2:$S$9,MATCH($A398,'Historical Data'!$BE$2:$BE$9,0)),"")</f>
        <v/>
      </c>
      <c r="O398" s="114" t="str">
        <f aca="false">IFERROR(INDEX('Historical Data'!$AJ$2:$AJ$9,MATCH($A398,'Historical Data'!$BE$2:$BE$9,0)),"")</f>
        <v/>
      </c>
      <c r="P398" s="114" t="str">
        <f aca="false">IFERROR(INDEX('Historical Data'!$AK$2:$AK$9,MATCH($A398,'Historical Data'!$BE$2:$BE$9,0)),"")</f>
        <v/>
      </c>
      <c r="Q398" s="111" t="str">
        <f aca="false">IFERROR(INDEX('Historical Data'!$AA$2:$AA$9,MATCH($A398,'Historical Data'!$BE$2:$BE$9,0)),"")</f>
        <v/>
      </c>
      <c r="R398" s="111" t="str">
        <f aca="false">IFERROR(INDEX('Historical Data'!$AB$2:$AB$9,MATCH($A398,'Historical Data'!$BE$2:$BE$9,0)),"")</f>
        <v/>
      </c>
      <c r="S398" s="111" t="str">
        <f aca="false">IFERROR(INDEX('Historical Data'!$AN$2:$AN$9,MATCH($A398,'Historical Data'!$BE$2:$BE$9,0)),"")</f>
        <v/>
      </c>
      <c r="T398" s="111" t="str">
        <f aca="false">IFERROR(INDEX('Historical Data'!$AC$2:$AC$9,MATCH($A398,'Historical Data'!$BE$2:$BE$9,0)),"")</f>
        <v/>
      </c>
      <c r="U398" s="111" t="str">
        <f aca="false">IFERROR(INDEX('Historical Data'!$AE$2:$AE$9,MATCH($A398,'Historical Data'!$BE$2:$BE$9,0)),"")</f>
        <v/>
      </c>
      <c r="V398" s="111" t="str">
        <f aca="false">IFERROR(INDEX('Historical Data'!$AH$2:$AH$9,MATCH($A398,'Historical Data'!$BE$2:$BE$9,0)),"")</f>
        <v/>
      </c>
      <c r="W398" s="111" t="str">
        <f aca="false">IFERROR(INDEX('Historical Data'!$BC$2:$BC$9,MATCH($A398,'Historical Data'!$BE$2:$BE$9,0)),"")</f>
        <v/>
      </c>
      <c r="X398" s="110" t="str">
        <f aca="false">IF(B398="","",IF(W398=1,"NR + industry + position",IF(W398=2,"NR + ISO + position",IF(W398=3,"NR + industry",IF(W398=4,"NR + ISO",IF(W398=5,"NR + position",IF(W398=6,"NR only","book baseline"))))))&amp;"  ["&amp;IF(T398=1,"seasoned","unseasoned")&amp;IF(U398=1,", defaulted","")&amp;IF(V398=1,", open","")&amp;"]")</f>
        <v/>
      </c>
    </row>
    <row r="399" customFormat="false" ht="15" hidden="false" customHeight="false" outlineLevel="0" collapsed="false">
      <c r="A399" s="110" t="n">
        <v>395</v>
      </c>
      <c r="B399" s="111" t="str">
        <f aca="false">IFERROR(INDEX('Historical Data'!$A$2:$A$9,MATCH($A399,'Historical Data'!$BE$2:$BE$9,0)),"")</f>
        <v/>
      </c>
      <c r="C399" s="111" t="str">
        <f aca="false">IFERROR(INDEX('Historical Data'!$B$2:$B$9,MATCH($A399,'Historical Data'!$BE$2:$BE$9,0)),"")</f>
        <v/>
      </c>
      <c r="D399" s="111" t="str">
        <f aca="false">IFERROR(INDEX('Historical Data'!$D$2:$D$9,MATCH($A399,'Historical Data'!$BE$2:$BE$9,0)),"")</f>
        <v/>
      </c>
      <c r="E399" s="112" t="str">
        <f aca="false">IFERROR(INDEX('Historical Data'!$E$2:$E$9,MATCH($A399,'Historical Data'!$BE$2:$BE$9,0)),"")</f>
        <v/>
      </c>
      <c r="F399" s="111" t="str">
        <f aca="false">IFERROR(INDEX('Historical Data'!$G$2:$G$9,MATCH($A399,'Historical Data'!$BE$2:$BE$9,0)),"")</f>
        <v/>
      </c>
      <c r="G399" s="111" t="str">
        <f aca="false">IFERROR(INDEX('Historical Data'!$Y$2:$Y$9,MATCH($A399,'Historical Data'!$BE$2:$BE$9,0)),"")</f>
        <v/>
      </c>
      <c r="H399" s="111" t="str">
        <f aca="false">IFERROR(INDEX('Historical Data'!$K$2:$K$9,MATCH($A399,'Historical Data'!$BE$2:$BE$9,0)),"")</f>
        <v/>
      </c>
      <c r="I399" s="111" t="str">
        <f aca="false">IFERROR(INDEX('Historical Data'!$J$2:$J$9,MATCH($A399,'Historical Data'!$BE$2:$BE$9,0)),"")</f>
        <v/>
      </c>
      <c r="J399" s="111" t="str">
        <f aca="false">IFERROR(INDEX('Historical Data'!$L$2:$L$9,MATCH($A399,'Historical Data'!$BE$2:$BE$9,0)),"")</f>
        <v/>
      </c>
      <c r="K399" s="113" t="str">
        <f aca="false">IFERROR(INDEX('Historical Data'!$M$2:$M$9,MATCH($A399,'Historical Data'!$BE$2:$BE$9,0)),"")</f>
        <v/>
      </c>
      <c r="L399" s="114" t="str">
        <f aca="false">IFERROR(INDEX('Historical Data'!$N$2:$N$9,MATCH($A399,'Historical Data'!$BE$2:$BE$9,0)),"")</f>
        <v/>
      </c>
      <c r="M399" s="114" t="str">
        <f aca="false">IFERROR(INDEX('Historical Data'!$Q$2:$Q$9,MATCH($A399,'Historical Data'!$BE$2:$BE$9,0)),"")</f>
        <v/>
      </c>
      <c r="N399" s="115" t="str">
        <f aca="false">IFERROR(INDEX('Historical Data'!$S$2:$S$9,MATCH($A399,'Historical Data'!$BE$2:$BE$9,0)),"")</f>
        <v/>
      </c>
      <c r="O399" s="114" t="str">
        <f aca="false">IFERROR(INDEX('Historical Data'!$AJ$2:$AJ$9,MATCH($A399,'Historical Data'!$BE$2:$BE$9,0)),"")</f>
        <v/>
      </c>
      <c r="P399" s="114" t="str">
        <f aca="false">IFERROR(INDEX('Historical Data'!$AK$2:$AK$9,MATCH($A399,'Historical Data'!$BE$2:$BE$9,0)),"")</f>
        <v/>
      </c>
      <c r="Q399" s="111" t="str">
        <f aca="false">IFERROR(INDEX('Historical Data'!$AA$2:$AA$9,MATCH($A399,'Historical Data'!$BE$2:$BE$9,0)),"")</f>
        <v/>
      </c>
      <c r="R399" s="111" t="str">
        <f aca="false">IFERROR(INDEX('Historical Data'!$AB$2:$AB$9,MATCH($A399,'Historical Data'!$BE$2:$BE$9,0)),"")</f>
        <v/>
      </c>
      <c r="S399" s="111" t="str">
        <f aca="false">IFERROR(INDEX('Historical Data'!$AN$2:$AN$9,MATCH($A399,'Historical Data'!$BE$2:$BE$9,0)),"")</f>
        <v/>
      </c>
      <c r="T399" s="111" t="str">
        <f aca="false">IFERROR(INDEX('Historical Data'!$AC$2:$AC$9,MATCH($A399,'Historical Data'!$BE$2:$BE$9,0)),"")</f>
        <v/>
      </c>
      <c r="U399" s="111" t="str">
        <f aca="false">IFERROR(INDEX('Historical Data'!$AE$2:$AE$9,MATCH($A399,'Historical Data'!$BE$2:$BE$9,0)),"")</f>
        <v/>
      </c>
      <c r="V399" s="111" t="str">
        <f aca="false">IFERROR(INDEX('Historical Data'!$AH$2:$AH$9,MATCH($A399,'Historical Data'!$BE$2:$BE$9,0)),"")</f>
        <v/>
      </c>
      <c r="W399" s="111" t="str">
        <f aca="false">IFERROR(INDEX('Historical Data'!$BC$2:$BC$9,MATCH($A399,'Historical Data'!$BE$2:$BE$9,0)),"")</f>
        <v/>
      </c>
      <c r="X399" s="110" t="str">
        <f aca="false">IF(B399="","",IF(W399=1,"NR + industry + position",IF(W399=2,"NR + ISO + position",IF(W399=3,"NR + industry",IF(W399=4,"NR + ISO",IF(W399=5,"NR + position",IF(W399=6,"NR only","book baseline"))))))&amp;"  ["&amp;IF(T399=1,"seasoned","unseasoned")&amp;IF(U399=1,", defaulted","")&amp;IF(V399=1,", open","")&amp;"]")</f>
        <v/>
      </c>
    </row>
    <row r="400" customFormat="false" ht="15" hidden="false" customHeight="false" outlineLevel="0" collapsed="false">
      <c r="A400" s="110" t="n">
        <v>396</v>
      </c>
      <c r="B400" s="111" t="str">
        <f aca="false">IFERROR(INDEX('Historical Data'!$A$2:$A$9,MATCH($A400,'Historical Data'!$BE$2:$BE$9,0)),"")</f>
        <v/>
      </c>
      <c r="C400" s="111" t="str">
        <f aca="false">IFERROR(INDEX('Historical Data'!$B$2:$B$9,MATCH($A400,'Historical Data'!$BE$2:$BE$9,0)),"")</f>
        <v/>
      </c>
      <c r="D400" s="111" t="str">
        <f aca="false">IFERROR(INDEX('Historical Data'!$D$2:$D$9,MATCH($A400,'Historical Data'!$BE$2:$BE$9,0)),"")</f>
        <v/>
      </c>
      <c r="E400" s="112" t="str">
        <f aca="false">IFERROR(INDEX('Historical Data'!$E$2:$E$9,MATCH($A400,'Historical Data'!$BE$2:$BE$9,0)),"")</f>
        <v/>
      </c>
      <c r="F400" s="111" t="str">
        <f aca="false">IFERROR(INDEX('Historical Data'!$G$2:$G$9,MATCH($A400,'Historical Data'!$BE$2:$BE$9,0)),"")</f>
        <v/>
      </c>
      <c r="G400" s="111" t="str">
        <f aca="false">IFERROR(INDEX('Historical Data'!$Y$2:$Y$9,MATCH($A400,'Historical Data'!$BE$2:$BE$9,0)),"")</f>
        <v/>
      </c>
      <c r="H400" s="111" t="str">
        <f aca="false">IFERROR(INDEX('Historical Data'!$K$2:$K$9,MATCH($A400,'Historical Data'!$BE$2:$BE$9,0)),"")</f>
        <v/>
      </c>
      <c r="I400" s="111" t="str">
        <f aca="false">IFERROR(INDEX('Historical Data'!$J$2:$J$9,MATCH($A400,'Historical Data'!$BE$2:$BE$9,0)),"")</f>
        <v/>
      </c>
      <c r="J400" s="111" t="str">
        <f aca="false">IFERROR(INDEX('Historical Data'!$L$2:$L$9,MATCH($A400,'Historical Data'!$BE$2:$BE$9,0)),"")</f>
        <v/>
      </c>
      <c r="K400" s="113" t="str">
        <f aca="false">IFERROR(INDEX('Historical Data'!$M$2:$M$9,MATCH($A400,'Historical Data'!$BE$2:$BE$9,0)),"")</f>
        <v/>
      </c>
      <c r="L400" s="114" t="str">
        <f aca="false">IFERROR(INDEX('Historical Data'!$N$2:$N$9,MATCH($A400,'Historical Data'!$BE$2:$BE$9,0)),"")</f>
        <v/>
      </c>
      <c r="M400" s="114" t="str">
        <f aca="false">IFERROR(INDEX('Historical Data'!$Q$2:$Q$9,MATCH($A400,'Historical Data'!$BE$2:$BE$9,0)),"")</f>
        <v/>
      </c>
      <c r="N400" s="115" t="str">
        <f aca="false">IFERROR(INDEX('Historical Data'!$S$2:$S$9,MATCH($A400,'Historical Data'!$BE$2:$BE$9,0)),"")</f>
        <v/>
      </c>
      <c r="O400" s="114" t="str">
        <f aca="false">IFERROR(INDEX('Historical Data'!$AJ$2:$AJ$9,MATCH($A400,'Historical Data'!$BE$2:$BE$9,0)),"")</f>
        <v/>
      </c>
      <c r="P400" s="114" t="str">
        <f aca="false">IFERROR(INDEX('Historical Data'!$AK$2:$AK$9,MATCH($A400,'Historical Data'!$BE$2:$BE$9,0)),"")</f>
        <v/>
      </c>
      <c r="Q400" s="111" t="str">
        <f aca="false">IFERROR(INDEX('Historical Data'!$AA$2:$AA$9,MATCH($A400,'Historical Data'!$BE$2:$BE$9,0)),"")</f>
        <v/>
      </c>
      <c r="R400" s="111" t="str">
        <f aca="false">IFERROR(INDEX('Historical Data'!$AB$2:$AB$9,MATCH($A400,'Historical Data'!$BE$2:$BE$9,0)),"")</f>
        <v/>
      </c>
      <c r="S400" s="111" t="str">
        <f aca="false">IFERROR(INDEX('Historical Data'!$AN$2:$AN$9,MATCH($A400,'Historical Data'!$BE$2:$BE$9,0)),"")</f>
        <v/>
      </c>
      <c r="T400" s="111" t="str">
        <f aca="false">IFERROR(INDEX('Historical Data'!$AC$2:$AC$9,MATCH($A400,'Historical Data'!$BE$2:$BE$9,0)),"")</f>
        <v/>
      </c>
      <c r="U400" s="111" t="str">
        <f aca="false">IFERROR(INDEX('Historical Data'!$AE$2:$AE$9,MATCH($A400,'Historical Data'!$BE$2:$BE$9,0)),"")</f>
        <v/>
      </c>
      <c r="V400" s="111" t="str">
        <f aca="false">IFERROR(INDEX('Historical Data'!$AH$2:$AH$9,MATCH($A400,'Historical Data'!$BE$2:$BE$9,0)),"")</f>
        <v/>
      </c>
      <c r="W400" s="111" t="str">
        <f aca="false">IFERROR(INDEX('Historical Data'!$BC$2:$BC$9,MATCH($A400,'Historical Data'!$BE$2:$BE$9,0)),"")</f>
        <v/>
      </c>
      <c r="X400" s="110" t="str">
        <f aca="false">IF(B400="","",IF(W400=1,"NR + industry + position",IF(W400=2,"NR + ISO + position",IF(W400=3,"NR + industry",IF(W400=4,"NR + ISO",IF(W400=5,"NR + position",IF(W400=6,"NR only","book baseline"))))))&amp;"  ["&amp;IF(T400=1,"seasoned","unseasoned")&amp;IF(U400=1,", defaulted","")&amp;IF(V400=1,", open","")&amp;"]")</f>
        <v/>
      </c>
    </row>
    <row r="401" customFormat="false" ht="15" hidden="false" customHeight="false" outlineLevel="0" collapsed="false">
      <c r="A401" s="110" t="n">
        <v>397</v>
      </c>
      <c r="B401" s="111" t="str">
        <f aca="false">IFERROR(INDEX('Historical Data'!$A$2:$A$9,MATCH($A401,'Historical Data'!$BE$2:$BE$9,0)),"")</f>
        <v/>
      </c>
      <c r="C401" s="111" t="str">
        <f aca="false">IFERROR(INDEX('Historical Data'!$B$2:$B$9,MATCH($A401,'Historical Data'!$BE$2:$BE$9,0)),"")</f>
        <v/>
      </c>
      <c r="D401" s="111" t="str">
        <f aca="false">IFERROR(INDEX('Historical Data'!$D$2:$D$9,MATCH($A401,'Historical Data'!$BE$2:$BE$9,0)),"")</f>
        <v/>
      </c>
      <c r="E401" s="112" t="str">
        <f aca="false">IFERROR(INDEX('Historical Data'!$E$2:$E$9,MATCH($A401,'Historical Data'!$BE$2:$BE$9,0)),"")</f>
        <v/>
      </c>
      <c r="F401" s="111" t="str">
        <f aca="false">IFERROR(INDEX('Historical Data'!$G$2:$G$9,MATCH($A401,'Historical Data'!$BE$2:$BE$9,0)),"")</f>
        <v/>
      </c>
      <c r="G401" s="111" t="str">
        <f aca="false">IFERROR(INDEX('Historical Data'!$Y$2:$Y$9,MATCH($A401,'Historical Data'!$BE$2:$BE$9,0)),"")</f>
        <v/>
      </c>
      <c r="H401" s="111" t="str">
        <f aca="false">IFERROR(INDEX('Historical Data'!$K$2:$K$9,MATCH($A401,'Historical Data'!$BE$2:$BE$9,0)),"")</f>
        <v/>
      </c>
      <c r="I401" s="111" t="str">
        <f aca="false">IFERROR(INDEX('Historical Data'!$J$2:$J$9,MATCH($A401,'Historical Data'!$BE$2:$BE$9,0)),"")</f>
        <v/>
      </c>
      <c r="J401" s="111" t="str">
        <f aca="false">IFERROR(INDEX('Historical Data'!$L$2:$L$9,MATCH($A401,'Historical Data'!$BE$2:$BE$9,0)),"")</f>
        <v/>
      </c>
      <c r="K401" s="113" t="str">
        <f aca="false">IFERROR(INDEX('Historical Data'!$M$2:$M$9,MATCH($A401,'Historical Data'!$BE$2:$BE$9,0)),"")</f>
        <v/>
      </c>
      <c r="L401" s="114" t="str">
        <f aca="false">IFERROR(INDEX('Historical Data'!$N$2:$N$9,MATCH($A401,'Historical Data'!$BE$2:$BE$9,0)),"")</f>
        <v/>
      </c>
      <c r="M401" s="114" t="str">
        <f aca="false">IFERROR(INDEX('Historical Data'!$Q$2:$Q$9,MATCH($A401,'Historical Data'!$BE$2:$BE$9,0)),"")</f>
        <v/>
      </c>
      <c r="N401" s="115" t="str">
        <f aca="false">IFERROR(INDEX('Historical Data'!$S$2:$S$9,MATCH($A401,'Historical Data'!$BE$2:$BE$9,0)),"")</f>
        <v/>
      </c>
      <c r="O401" s="114" t="str">
        <f aca="false">IFERROR(INDEX('Historical Data'!$AJ$2:$AJ$9,MATCH($A401,'Historical Data'!$BE$2:$BE$9,0)),"")</f>
        <v/>
      </c>
      <c r="P401" s="114" t="str">
        <f aca="false">IFERROR(INDEX('Historical Data'!$AK$2:$AK$9,MATCH($A401,'Historical Data'!$BE$2:$BE$9,0)),"")</f>
        <v/>
      </c>
      <c r="Q401" s="111" t="str">
        <f aca="false">IFERROR(INDEX('Historical Data'!$AA$2:$AA$9,MATCH($A401,'Historical Data'!$BE$2:$BE$9,0)),"")</f>
        <v/>
      </c>
      <c r="R401" s="111" t="str">
        <f aca="false">IFERROR(INDEX('Historical Data'!$AB$2:$AB$9,MATCH($A401,'Historical Data'!$BE$2:$BE$9,0)),"")</f>
        <v/>
      </c>
      <c r="S401" s="111" t="str">
        <f aca="false">IFERROR(INDEX('Historical Data'!$AN$2:$AN$9,MATCH($A401,'Historical Data'!$BE$2:$BE$9,0)),"")</f>
        <v/>
      </c>
      <c r="T401" s="111" t="str">
        <f aca="false">IFERROR(INDEX('Historical Data'!$AC$2:$AC$9,MATCH($A401,'Historical Data'!$BE$2:$BE$9,0)),"")</f>
        <v/>
      </c>
      <c r="U401" s="111" t="str">
        <f aca="false">IFERROR(INDEX('Historical Data'!$AE$2:$AE$9,MATCH($A401,'Historical Data'!$BE$2:$BE$9,0)),"")</f>
        <v/>
      </c>
      <c r="V401" s="111" t="str">
        <f aca="false">IFERROR(INDEX('Historical Data'!$AH$2:$AH$9,MATCH($A401,'Historical Data'!$BE$2:$BE$9,0)),"")</f>
        <v/>
      </c>
      <c r="W401" s="111" t="str">
        <f aca="false">IFERROR(INDEX('Historical Data'!$BC$2:$BC$9,MATCH($A401,'Historical Data'!$BE$2:$BE$9,0)),"")</f>
        <v/>
      </c>
      <c r="X401" s="110" t="str">
        <f aca="false">IF(B401="","",IF(W401=1,"NR + industry + position",IF(W401=2,"NR + ISO + position",IF(W401=3,"NR + industry",IF(W401=4,"NR + ISO",IF(W401=5,"NR + position",IF(W401=6,"NR only","book baseline"))))))&amp;"  ["&amp;IF(T401=1,"seasoned","unseasoned")&amp;IF(U401=1,", defaulted","")&amp;IF(V401=1,", open","")&amp;"]")</f>
        <v/>
      </c>
    </row>
    <row r="402" customFormat="false" ht="15" hidden="false" customHeight="false" outlineLevel="0" collapsed="false">
      <c r="A402" s="110" t="n">
        <v>398</v>
      </c>
      <c r="B402" s="111" t="str">
        <f aca="false">IFERROR(INDEX('Historical Data'!$A$2:$A$9,MATCH($A402,'Historical Data'!$BE$2:$BE$9,0)),"")</f>
        <v/>
      </c>
      <c r="C402" s="111" t="str">
        <f aca="false">IFERROR(INDEX('Historical Data'!$B$2:$B$9,MATCH($A402,'Historical Data'!$BE$2:$BE$9,0)),"")</f>
        <v/>
      </c>
      <c r="D402" s="111" t="str">
        <f aca="false">IFERROR(INDEX('Historical Data'!$D$2:$D$9,MATCH($A402,'Historical Data'!$BE$2:$BE$9,0)),"")</f>
        <v/>
      </c>
      <c r="E402" s="112" t="str">
        <f aca="false">IFERROR(INDEX('Historical Data'!$E$2:$E$9,MATCH($A402,'Historical Data'!$BE$2:$BE$9,0)),"")</f>
        <v/>
      </c>
      <c r="F402" s="111" t="str">
        <f aca="false">IFERROR(INDEX('Historical Data'!$G$2:$G$9,MATCH($A402,'Historical Data'!$BE$2:$BE$9,0)),"")</f>
        <v/>
      </c>
      <c r="G402" s="111" t="str">
        <f aca="false">IFERROR(INDEX('Historical Data'!$Y$2:$Y$9,MATCH($A402,'Historical Data'!$BE$2:$BE$9,0)),"")</f>
        <v/>
      </c>
      <c r="H402" s="111" t="str">
        <f aca="false">IFERROR(INDEX('Historical Data'!$K$2:$K$9,MATCH($A402,'Historical Data'!$BE$2:$BE$9,0)),"")</f>
        <v/>
      </c>
      <c r="I402" s="111" t="str">
        <f aca="false">IFERROR(INDEX('Historical Data'!$J$2:$J$9,MATCH($A402,'Historical Data'!$BE$2:$BE$9,0)),"")</f>
        <v/>
      </c>
      <c r="J402" s="111" t="str">
        <f aca="false">IFERROR(INDEX('Historical Data'!$L$2:$L$9,MATCH($A402,'Historical Data'!$BE$2:$BE$9,0)),"")</f>
        <v/>
      </c>
      <c r="K402" s="113" t="str">
        <f aca="false">IFERROR(INDEX('Historical Data'!$M$2:$M$9,MATCH($A402,'Historical Data'!$BE$2:$BE$9,0)),"")</f>
        <v/>
      </c>
      <c r="L402" s="114" t="str">
        <f aca="false">IFERROR(INDEX('Historical Data'!$N$2:$N$9,MATCH($A402,'Historical Data'!$BE$2:$BE$9,0)),"")</f>
        <v/>
      </c>
      <c r="M402" s="114" t="str">
        <f aca="false">IFERROR(INDEX('Historical Data'!$Q$2:$Q$9,MATCH($A402,'Historical Data'!$BE$2:$BE$9,0)),"")</f>
        <v/>
      </c>
      <c r="N402" s="115" t="str">
        <f aca="false">IFERROR(INDEX('Historical Data'!$S$2:$S$9,MATCH($A402,'Historical Data'!$BE$2:$BE$9,0)),"")</f>
        <v/>
      </c>
      <c r="O402" s="114" t="str">
        <f aca="false">IFERROR(INDEX('Historical Data'!$AJ$2:$AJ$9,MATCH($A402,'Historical Data'!$BE$2:$BE$9,0)),"")</f>
        <v/>
      </c>
      <c r="P402" s="114" t="str">
        <f aca="false">IFERROR(INDEX('Historical Data'!$AK$2:$AK$9,MATCH($A402,'Historical Data'!$BE$2:$BE$9,0)),"")</f>
        <v/>
      </c>
      <c r="Q402" s="111" t="str">
        <f aca="false">IFERROR(INDEX('Historical Data'!$AA$2:$AA$9,MATCH($A402,'Historical Data'!$BE$2:$BE$9,0)),"")</f>
        <v/>
      </c>
      <c r="R402" s="111" t="str">
        <f aca="false">IFERROR(INDEX('Historical Data'!$AB$2:$AB$9,MATCH($A402,'Historical Data'!$BE$2:$BE$9,0)),"")</f>
        <v/>
      </c>
      <c r="S402" s="111" t="str">
        <f aca="false">IFERROR(INDEX('Historical Data'!$AN$2:$AN$9,MATCH($A402,'Historical Data'!$BE$2:$BE$9,0)),"")</f>
        <v/>
      </c>
      <c r="T402" s="111" t="str">
        <f aca="false">IFERROR(INDEX('Historical Data'!$AC$2:$AC$9,MATCH($A402,'Historical Data'!$BE$2:$BE$9,0)),"")</f>
        <v/>
      </c>
      <c r="U402" s="111" t="str">
        <f aca="false">IFERROR(INDEX('Historical Data'!$AE$2:$AE$9,MATCH($A402,'Historical Data'!$BE$2:$BE$9,0)),"")</f>
        <v/>
      </c>
      <c r="V402" s="111" t="str">
        <f aca="false">IFERROR(INDEX('Historical Data'!$AH$2:$AH$9,MATCH($A402,'Historical Data'!$BE$2:$BE$9,0)),"")</f>
        <v/>
      </c>
      <c r="W402" s="111" t="str">
        <f aca="false">IFERROR(INDEX('Historical Data'!$BC$2:$BC$9,MATCH($A402,'Historical Data'!$BE$2:$BE$9,0)),"")</f>
        <v/>
      </c>
      <c r="X402" s="110" t="str">
        <f aca="false">IF(B402="","",IF(W402=1,"NR + industry + position",IF(W402=2,"NR + ISO + position",IF(W402=3,"NR + industry",IF(W402=4,"NR + ISO",IF(W402=5,"NR + position",IF(W402=6,"NR only","book baseline"))))))&amp;"  ["&amp;IF(T402=1,"seasoned","unseasoned")&amp;IF(U402=1,", defaulted","")&amp;IF(V402=1,", open","")&amp;"]")</f>
        <v/>
      </c>
    </row>
    <row r="403" customFormat="false" ht="15" hidden="false" customHeight="false" outlineLevel="0" collapsed="false">
      <c r="A403" s="110" t="n">
        <v>399</v>
      </c>
      <c r="B403" s="111" t="str">
        <f aca="false">IFERROR(INDEX('Historical Data'!$A$2:$A$9,MATCH($A403,'Historical Data'!$BE$2:$BE$9,0)),"")</f>
        <v/>
      </c>
      <c r="C403" s="111" t="str">
        <f aca="false">IFERROR(INDEX('Historical Data'!$B$2:$B$9,MATCH($A403,'Historical Data'!$BE$2:$BE$9,0)),"")</f>
        <v/>
      </c>
      <c r="D403" s="111" t="str">
        <f aca="false">IFERROR(INDEX('Historical Data'!$D$2:$D$9,MATCH($A403,'Historical Data'!$BE$2:$BE$9,0)),"")</f>
        <v/>
      </c>
      <c r="E403" s="112" t="str">
        <f aca="false">IFERROR(INDEX('Historical Data'!$E$2:$E$9,MATCH($A403,'Historical Data'!$BE$2:$BE$9,0)),"")</f>
        <v/>
      </c>
      <c r="F403" s="111" t="str">
        <f aca="false">IFERROR(INDEX('Historical Data'!$G$2:$G$9,MATCH($A403,'Historical Data'!$BE$2:$BE$9,0)),"")</f>
        <v/>
      </c>
      <c r="G403" s="111" t="str">
        <f aca="false">IFERROR(INDEX('Historical Data'!$Y$2:$Y$9,MATCH($A403,'Historical Data'!$BE$2:$BE$9,0)),"")</f>
        <v/>
      </c>
      <c r="H403" s="111" t="str">
        <f aca="false">IFERROR(INDEX('Historical Data'!$K$2:$K$9,MATCH($A403,'Historical Data'!$BE$2:$BE$9,0)),"")</f>
        <v/>
      </c>
      <c r="I403" s="111" t="str">
        <f aca="false">IFERROR(INDEX('Historical Data'!$J$2:$J$9,MATCH($A403,'Historical Data'!$BE$2:$BE$9,0)),"")</f>
        <v/>
      </c>
      <c r="J403" s="111" t="str">
        <f aca="false">IFERROR(INDEX('Historical Data'!$L$2:$L$9,MATCH($A403,'Historical Data'!$BE$2:$BE$9,0)),"")</f>
        <v/>
      </c>
      <c r="K403" s="113" t="str">
        <f aca="false">IFERROR(INDEX('Historical Data'!$M$2:$M$9,MATCH($A403,'Historical Data'!$BE$2:$BE$9,0)),"")</f>
        <v/>
      </c>
      <c r="L403" s="114" t="str">
        <f aca="false">IFERROR(INDEX('Historical Data'!$N$2:$N$9,MATCH($A403,'Historical Data'!$BE$2:$BE$9,0)),"")</f>
        <v/>
      </c>
      <c r="M403" s="114" t="str">
        <f aca="false">IFERROR(INDEX('Historical Data'!$Q$2:$Q$9,MATCH($A403,'Historical Data'!$BE$2:$BE$9,0)),"")</f>
        <v/>
      </c>
      <c r="N403" s="115" t="str">
        <f aca="false">IFERROR(INDEX('Historical Data'!$S$2:$S$9,MATCH($A403,'Historical Data'!$BE$2:$BE$9,0)),"")</f>
        <v/>
      </c>
      <c r="O403" s="114" t="str">
        <f aca="false">IFERROR(INDEX('Historical Data'!$AJ$2:$AJ$9,MATCH($A403,'Historical Data'!$BE$2:$BE$9,0)),"")</f>
        <v/>
      </c>
      <c r="P403" s="114" t="str">
        <f aca="false">IFERROR(INDEX('Historical Data'!$AK$2:$AK$9,MATCH($A403,'Historical Data'!$BE$2:$BE$9,0)),"")</f>
        <v/>
      </c>
      <c r="Q403" s="111" t="str">
        <f aca="false">IFERROR(INDEX('Historical Data'!$AA$2:$AA$9,MATCH($A403,'Historical Data'!$BE$2:$BE$9,0)),"")</f>
        <v/>
      </c>
      <c r="R403" s="111" t="str">
        <f aca="false">IFERROR(INDEX('Historical Data'!$AB$2:$AB$9,MATCH($A403,'Historical Data'!$BE$2:$BE$9,0)),"")</f>
        <v/>
      </c>
      <c r="S403" s="111" t="str">
        <f aca="false">IFERROR(INDEX('Historical Data'!$AN$2:$AN$9,MATCH($A403,'Historical Data'!$BE$2:$BE$9,0)),"")</f>
        <v/>
      </c>
      <c r="T403" s="111" t="str">
        <f aca="false">IFERROR(INDEX('Historical Data'!$AC$2:$AC$9,MATCH($A403,'Historical Data'!$BE$2:$BE$9,0)),"")</f>
        <v/>
      </c>
      <c r="U403" s="111" t="str">
        <f aca="false">IFERROR(INDEX('Historical Data'!$AE$2:$AE$9,MATCH($A403,'Historical Data'!$BE$2:$BE$9,0)),"")</f>
        <v/>
      </c>
      <c r="V403" s="111" t="str">
        <f aca="false">IFERROR(INDEX('Historical Data'!$AH$2:$AH$9,MATCH($A403,'Historical Data'!$BE$2:$BE$9,0)),"")</f>
        <v/>
      </c>
      <c r="W403" s="111" t="str">
        <f aca="false">IFERROR(INDEX('Historical Data'!$BC$2:$BC$9,MATCH($A403,'Historical Data'!$BE$2:$BE$9,0)),"")</f>
        <v/>
      </c>
      <c r="X403" s="110" t="str">
        <f aca="false">IF(B403="","",IF(W403=1,"NR + industry + position",IF(W403=2,"NR + ISO + position",IF(W403=3,"NR + industry",IF(W403=4,"NR + ISO",IF(W403=5,"NR + position",IF(W403=6,"NR only","book baseline"))))))&amp;"  ["&amp;IF(T403=1,"seasoned","unseasoned")&amp;IF(U403=1,", defaulted","")&amp;IF(V403=1,", open","")&amp;"]")</f>
        <v/>
      </c>
    </row>
    <row r="404" customFormat="false" ht="15" hidden="false" customHeight="false" outlineLevel="0" collapsed="false">
      <c r="A404" s="110" t="n">
        <v>400</v>
      </c>
      <c r="B404" s="111" t="str">
        <f aca="false">IFERROR(INDEX('Historical Data'!$A$2:$A$9,MATCH($A404,'Historical Data'!$BE$2:$BE$9,0)),"")</f>
        <v/>
      </c>
      <c r="C404" s="111" t="str">
        <f aca="false">IFERROR(INDEX('Historical Data'!$B$2:$B$9,MATCH($A404,'Historical Data'!$BE$2:$BE$9,0)),"")</f>
        <v/>
      </c>
      <c r="D404" s="111" t="str">
        <f aca="false">IFERROR(INDEX('Historical Data'!$D$2:$D$9,MATCH($A404,'Historical Data'!$BE$2:$BE$9,0)),"")</f>
        <v/>
      </c>
      <c r="E404" s="112" t="str">
        <f aca="false">IFERROR(INDEX('Historical Data'!$E$2:$E$9,MATCH($A404,'Historical Data'!$BE$2:$BE$9,0)),"")</f>
        <v/>
      </c>
      <c r="F404" s="111" t="str">
        <f aca="false">IFERROR(INDEX('Historical Data'!$G$2:$G$9,MATCH($A404,'Historical Data'!$BE$2:$BE$9,0)),"")</f>
        <v/>
      </c>
      <c r="G404" s="111" t="str">
        <f aca="false">IFERROR(INDEX('Historical Data'!$Y$2:$Y$9,MATCH($A404,'Historical Data'!$BE$2:$BE$9,0)),"")</f>
        <v/>
      </c>
      <c r="H404" s="111" t="str">
        <f aca="false">IFERROR(INDEX('Historical Data'!$K$2:$K$9,MATCH($A404,'Historical Data'!$BE$2:$BE$9,0)),"")</f>
        <v/>
      </c>
      <c r="I404" s="111" t="str">
        <f aca="false">IFERROR(INDEX('Historical Data'!$J$2:$J$9,MATCH($A404,'Historical Data'!$BE$2:$BE$9,0)),"")</f>
        <v/>
      </c>
      <c r="J404" s="111" t="str">
        <f aca="false">IFERROR(INDEX('Historical Data'!$L$2:$L$9,MATCH($A404,'Historical Data'!$BE$2:$BE$9,0)),"")</f>
        <v/>
      </c>
      <c r="K404" s="113" t="str">
        <f aca="false">IFERROR(INDEX('Historical Data'!$M$2:$M$9,MATCH($A404,'Historical Data'!$BE$2:$BE$9,0)),"")</f>
        <v/>
      </c>
      <c r="L404" s="114" t="str">
        <f aca="false">IFERROR(INDEX('Historical Data'!$N$2:$N$9,MATCH($A404,'Historical Data'!$BE$2:$BE$9,0)),"")</f>
        <v/>
      </c>
      <c r="M404" s="114" t="str">
        <f aca="false">IFERROR(INDEX('Historical Data'!$Q$2:$Q$9,MATCH($A404,'Historical Data'!$BE$2:$BE$9,0)),"")</f>
        <v/>
      </c>
      <c r="N404" s="115" t="str">
        <f aca="false">IFERROR(INDEX('Historical Data'!$S$2:$S$9,MATCH($A404,'Historical Data'!$BE$2:$BE$9,0)),"")</f>
        <v/>
      </c>
      <c r="O404" s="114" t="str">
        <f aca="false">IFERROR(INDEX('Historical Data'!$AJ$2:$AJ$9,MATCH($A404,'Historical Data'!$BE$2:$BE$9,0)),"")</f>
        <v/>
      </c>
      <c r="P404" s="114" t="str">
        <f aca="false">IFERROR(INDEX('Historical Data'!$AK$2:$AK$9,MATCH($A404,'Historical Data'!$BE$2:$BE$9,0)),"")</f>
        <v/>
      </c>
      <c r="Q404" s="111" t="str">
        <f aca="false">IFERROR(INDEX('Historical Data'!$AA$2:$AA$9,MATCH($A404,'Historical Data'!$BE$2:$BE$9,0)),"")</f>
        <v/>
      </c>
      <c r="R404" s="111" t="str">
        <f aca="false">IFERROR(INDEX('Historical Data'!$AB$2:$AB$9,MATCH($A404,'Historical Data'!$BE$2:$BE$9,0)),"")</f>
        <v/>
      </c>
      <c r="S404" s="111" t="str">
        <f aca="false">IFERROR(INDEX('Historical Data'!$AN$2:$AN$9,MATCH($A404,'Historical Data'!$BE$2:$BE$9,0)),"")</f>
        <v/>
      </c>
      <c r="T404" s="111" t="str">
        <f aca="false">IFERROR(INDEX('Historical Data'!$AC$2:$AC$9,MATCH($A404,'Historical Data'!$BE$2:$BE$9,0)),"")</f>
        <v/>
      </c>
      <c r="U404" s="111" t="str">
        <f aca="false">IFERROR(INDEX('Historical Data'!$AE$2:$AE$9,MATCH($A404,'Historical Data'!$BE$2:$BE$9,0)),"")</f>
        <v/>
      </c>
      <c r="V404" s="111" t="str">
        <f aca="false">IFERROR(INDEX('Historical Data'!$AH$2:$AH$9,MATCH($A404,'Historical Data'!$BE$2:$BE$9,0)),"")</f>
        <v/>
      </c>
      <c r="W404" s="111" t="str">
        <f aca="false">IFERROR(INDEX('Historical Data'!$BC$2:$BC$9,MATCH($A404,'Historical Data'!$BE$2:$BE$9,0)),"")</f>
        <v/>
      </c>
      <c r="X404" s="110" t="str">
        <f aca="false">IF(B404="","",IF(W404=1,"NR + industry + position",IF(W404=2,"NR + ISO + position",IF(W404=3,"NR + industry",IF(W404=4,"NR + ISO",IF(W404=5,"NR + position",IF(W404=6,"NR only","book baseline"))))))&amp;"  ["&amp;IF(T404=1,"seasoned","unseasoned")&amp;IF(U404=1,", defaulted","")&amp;IF(V404=1,", open","")&amp;"]")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6"/>
    <col collapsed="false" customWidth="true" hidden="false" outlineLevel="0" max="4" min="4" style="0" width="18"/>
    <col collapsed="false" customWidth="true" hidden="false" outlineLevel="0" max="11" min="11" style="0" width="24"/>
    <col collapsed="false" customWidth="true" hidden="false" outlineLevel="0" max="25" min="25" style="0" width="26"/>
  </cols>
  <sheetData>
    <row r="1" customFormat="false" ht="42" hidden="false" customHeight="true" outlineLevel="0" collapsed="false">
      <c r="A1" s="75" t="s">
        <v>277</v>
      </c>
      <c r="B1" s="75" t="s">
        <v>278</v>
      </c>
      <c r="C1" s="75" t="s">
        <v>294</v>
      </c>
      <c r="D1" s="75" t="s">
        <v>74</v>
      </c>
      <c r="E1" s="75" t="s">
        <v>295</v>
      </c>
      <c r="F1" s="75" t="s">
        <v>296</v>
      </c>
      <c r="G1" s="75" t="s">
        <v>96</v>
      </c>
      <c r="H1" s="75" t="s">
        <v>297</v>
      </c>
      <c r="I1" s="75" t="s">
        <v>298</v>
      </c>
      <c r="J1" s="75" t="s">
        <v>280</v>
      </c>
      <c r="K1" s="75" t="s">
        <v>44</v>
      </c>
      <c r="L1" s="75" t="s">
        <v>299</v>
      </c>
      <c r="M1" s="75" t="s">
        <v>18</v>
      </c>
      <c r="N1" s="75" t="s">
        <v>282</v>
      </c>
      <c r="O1" s="75" t="s">
        <v>300</v>
      </c>
      <c r="P1" s="75" t="s">
        <v>26</v>
      </c>
      <c r="Q1" s="75" t="s">
        <v>283</v>
      </c>
      <c r="R1" s="75" t="s">
        <v>301</v>
      </c>
      <c r="S1" s="75" t="s">
        <v>284</v>
      </c>
      <c r="T1" s="75" t="s">
        <v>302</v>
      </c>
      <c r="U1" s="75" t="s">
        <v>303</v>
      </c>
      <c r="V1" s="75" t="s">
        <v>304</v>
      </c>
      <c r="W1" s="75" t="s">
        <v>32</v>
      </c>
      <c r="X1" s="75" t="s">
        <v>305</v>
      </c>
      <c r="Y1" s="116" t="s">
        <v>94</v>
      </c>
      <c r="Z1" s="116" t="s">
        <v>306</v>
      </c>
      <c r="AA1" s="116" t="s">
        <v>307</v>
      </c>
      <c r="AB1" s="116" t="s">
        <v>308</v>
      </c>
      <c r="AC1" s="116" t="s">
        <v>207</v>
      </c>
      <c r="AD1" s="116" t="s">
        <v>309</v>
      </c>
      <c r="AE1" s="116" t="s">
        <v>290</v>
      </c>
      <c r="AF1" s="116" t="s">
        <v>310</v>
      </c>
      <c r="AG1" s="116" t="s">
        <v>311</v>
      </c>
      <c r="AH1" s="116" t="s">
        <v>291</v>
      </c>
      <c r="AI1" s="116" t="s">
        <v>312</v>
      </c>
      <c r="AJ1" s="116" t="s">
        <v>285</v>
      </c>
      <c r="AK1" s="116" t="s">
        <v>286</v>
      </c>
      <c r="AL1" s="116" t="s">
        <v>313</v>
      </c>
      <c r="AM1" s="116" t="s">
        <v>314</v>
      </c>
      <c r="AN1" s="116" t="s">
        <v>315</v>
      </c>
      <c r="AO1" s="116" t="s">
        <v>316</v>
      </c>
      <c r="AP1" s="116" t="s">
        <v>317</v>
      </c>
      <c r="AQ1" s="116" t="s">
        <v>318</v>
      </c>
      <c r="AR1" s="116" t="s">
        <v>319</v>
      </c>
      <c r="AS1" s="116" t="s">
        <v>320</v>
      </c>
      <c r="AT1" s="116" t="s">
        <v>321</v>
      </c>
      <c r="AU1" s="116" t="s">
        <v>322</v>
      </c>
      <c r="AV1" s="116" t="s">
        <v>323</v>
      </c>
      <c r="AW1" s="116" t="s">
        <v>324</v>
      </c>
      <c r="AX1" s="116" t="s">
        <v>325</v>
      </c>
      <c r="AY1" s="116" t="s">
        <v>326</v>
      </c>
      <c r="AZ1" s="116" t="s">
        <v>327</v>
      </c>
      <c r="BA1" s="116" t="s">
        <v>328</v>
      </c>
      <c r="BB1" s="116" t="s">
        <v>329</v>
      </c>
      <c r="BC1" s="116" t="s">
        <v>330</v>
      </c>
      <c r="BD1" s="116" t="s">
        <v>331</v>
      </c>
      <c r="BE1" s="116" t="s">
        <v>332</v>
      </c>
    </row>
    <row r="2" customFormat="false" ht="15" hidden="false" customHeight="false" outlineLevel="0" collapsed="false">
      <c r="A2" s="0" t="s">
        <v>333</v>
      </c>
      <c r="B2" s="0" t="s">
        <v>334</v>
      </c>
      <c r="C2" s="0" t="s">
        <v>335</v>
      </c>
      <c r="D2" s="0" t="s">
        <v>336</v>
      </c>
      <c r="E2" s="117" t="n">
        <v>45672</v>
      </c>
      <c r="F2" s="117" t="n">
        <v>45821</v>
      </c>
      <c r="G2" s="0" t="n">
        <v>1</v>
      </c>
      <c r="H2" s="118" t="s">
        <v>337</v>
      </c>
      <c r="I2" s="118" t="s">
        <v>338</v>
      </c>
      <c r="J2" s="118" t="s">
        <v>51</v>
      </c>
      <c r="K2" s="0" t="s">
        <v>45</v>
      </c>
      <c r="L2" s="118" t="s">
        <v>54</v>
      </c>
      <c r="M2" s="0" t="n">
        <v>1.5</v>
      </c>
      <c r="N2" s="119" t="n">
        <v>10000</v>
      </c>
      <c r="O2" s="119" t="n">
        <v>1000</v>
      </c>
      <c r="P2" s="119" t="n">
        <v>15000</v>
      </c>
      <c r="Q2" s="119" t="n">
        <v>15000</v>
      </c>
      <c r="R2" s="119" t="n">
        <v>0</v>
      </c>
      <c r="S2" s="120" t="n">
        <v>1</v>
      </c>
      <c r="T2" s="0" t="n">
        <v>5</v>
      </c>
      <c r="U2" s="0" t="n">
        <v>0</v>
      </c>
      <c r="V2" s="0" t="n">
        <v>50000</v>
      </c>
      <c r="W2" s="120" t="n">
        <v>0.12</v>
      </c>
      <c r="X2" s="117" t="n">
        <v>43160</v>
      </c>
      <c r="Y2" s="0" t="str">
        <f aca="false">IF(I2="","No SIC",IFERROR(VLOOKUP(I2,Ref!$A$2:$B$65,2,FALSE()),"Unclassified"))</f>
        <v>Eating &amp; Drinking Places</v>
      </c>
      <c r="Z2" s="0" t="str">
        <f aca="false">IF(T2="","",IF(T2&lt;12,"Daily","Weekly"))</f>
        <v>Daily</v>
      </c>
      <c r="AA2" s="118" t="n">
        <f aca="false">IF(T2="",0,IF(T2&lt;12,T2*Controls!$B$29,T2*5))</f>
        <v>108.275</v>
      </c>
      <c r="AB2" s="118" t="n">
        <f aca="false">IF(E2="",0,NETWORKDAYS(E2,Controls!$B$36,Ref!$K$2:$K$42))</f>
        <v>405</v>
      </c>
      <c r="AC2" s="118" t="n">
        <f aca="false">IF(AND(AA2&gt;0,AB2&gt;=Controls!$B$39*AA2),1,0)</f>
        <v>1</v>
      </c>
      <c r="AD2" s="118" t="n">
        <f aca="false">IF(AND(E2&lt;&gt;"",E2&gt;=Controls!$B$37,E2&lt;=Controls!$B$38),1,0)</f>
        <v>1</v>
      </c>
      <c r="AE2" s="118" t="n">
        <f aca="false">IF(IFERROR(VLOOKUP(D2,Controls!$A$59:$E$69,2,FALSE()),"No")="Yes",1,0)</f>
        <v>0</v>
      </c>
      <c r="AF2" s="118" t="n">
        <f aca="false">IF(IFERROR(VLOOKUP(D2,Controls!$A$59:$E$69,3,FALSE()),"No")="Yes",1,0)</f>
        <v>1</v>
      </c>
      <c r="AG2" s="118" t="n">
        <f aca="false">IF(IFERROR(VLOOKUP(D2,Controls!$A$59:$E$69,4,FALSE()),"No")="Yes",1,0)</f>
        <v>1</v>
      </c>
      <c r="AH2" s="118" t="n">
        <f aca="false">IF(IFERROR(VLOOKUP(D2,Controls!$A$59:$E$69,5,FALSE()),"No")="Yes",1,0)</f>
        <v>0</v>
      </c>
      <c r="AI2" s="118" t="n">
        <f aca="false">IF(ISNUMBER(MATCH(D2,Controls!$A$59:$A$69,0)),1,0)</f>
        <v>1</v>
      </c>
      <c r="AJ2" s="118" t="n">
        <f aca="false">Q2-N2</f>
        <v>5000</v>
      </c>
      <c r="AK2" s="118" t="n">
        <f aca="false">IF(AE2=1,MAX(0,N2-Q2),0)</f>
        <v>0</v>
      </c>
      <c r="AL2" s="118" t="n">
        <f aca="false">IF(OR(V2="",V2=0),0,N2/V2)</f>
        <v>0.2</v>
      </c>
      <c r="AM2" s="118" t="n">
        <f aca="false">IF(OR(V2="",V2=0),0,1)</f>
        <v>1</v>
      </c>
      <c r="AN2" s="118" t="n">
        <f aca="false">IF(OR(E2="",F2=""),0,NETWORKDAYS(E2,F2,Ref!$K$2:$K$42))</f>
        <v>105</v>
      </c>
      <c r="AO2" s="118" t="n">
        <f aca="false">IF(L2="Renewal",1,0)</f>
        <v>0</v>
      </c>
      <c r="AP2" s="118" t="n">
        <f aca="false">AC2*AD2</f>
        <v>1</v>
      </c>
      <c r="AQ2" s="118" t="n">
        <f aca="false">IF(AND(G2&lt;&gt;"",'Historical Score'!$C$6&lt;&gt;""),IF(G2='Historical Score'!$C$6,1,0),0)</f>
        <v>1</v>
      </c>
      <c r="AR2" s="118" t="n">
        <f aca="false">IF(AND(L2&lt;&gt;"",'Historical Score'!$C$5&lt;&gt;""),IF(L2='Historical Score'!$C$5,1,0),0)</f>
        <v>1</v>
      </c>
      <c r="AS2" s="118" t="n">
        <f aca="false">IF(AND(Y2&lt;&gt;"",'Historical Score'!$C$7&lt;&gt;""),IF(Y2='Historical Score'!$C$7,1,0),0)</f>
        <v>1</v>
      </c>
      <c r="AT2" s="118" t="n">
        <f aca="false">IF(AND(K2&lt;&gt;"",'Historical Score'!$C$8&lt;&gt;""),IF(K2='Historical Score'!$C$8,1,0),0)</f>
        <v>1</v>
      </c>
      <c r="AU2" s="118" t="n">
        <f aca="false">IF(AND(J2&lt;&gt;"",'Historical Score'!$C$9&lt;&gt;""),IF(J2='Historical Score'!$C$9,1,0),0)</f>
        <v>1</v>
      </c>
      <c r="AV2" s="118" t="n">
        <f aca="false">AR2*AS2*AQ2</f>
        <v>1</v>
      </c>
      <c r="AW2" s="118" t="n">
        <f aca="false">AR2*AT2*AQ2</f>
        <v>1</v>
      </c>
      <c r="AX2" s="118" t="n">
        <f aca="false">AR2*AS2</f>
        <v>1</v>
      </c>
      <c r="AY2" s="118" t="n">
        <f aca="false">AR2*AT2</f>
        <v>1</v>
      </c>
      <c r="AZ2" s="118" t="n">
        <f aca="false">AR2*AQ2</f>
        <v>1</v>
      </c>
      <c r="BA2" s="118" t="n">
        <f aca="false">AR2</f>
        <v>1</v>
      </c>
      <c r="BB2" s="118" t="n">
        <f aca="false">1</f>
        <v>1</v>
      </c>
      <c r="BC2" s="118" t="n">
        <f aca="false">IF(AV2=1,1,IF(AW2=1,2,IF(AX2=1,3,IF(AY2=1,4,IF(AZ2=1,5,IF(BA2=1,6,7))))))</f>
        <v>1</v>
      </c>
      <c r="BD2" s="118" t="n">
        <f aca="false">IF(AD2=1,CHOOSE('Historical Score'!$C$29,AV2,AW2,AX2,AY2,AZ2,BA2,BB2),0)</f>
        <v>1</v>
      </c>
      <c r="BE2" s="118" t="n">
        <f aca="false">IF(BD2=1,COUNTIF($BD$2:BD2,1),"")</f>
        <v>1</v>
      </c>
    </row>
    <row r="3" customFormat="false" ht="15" hidden="false" customHeight="false" outlineLevel="0" collapsed="false">
      <c r="A3" s="0" t="s">
        <v>339</v>
      </c>
      <c r="B3" s="0" t="s">
        <v>340</v>
      </c>
      <c r="C3" s="0" t="s">
        <v>341</v>
      </c>
      <c r="D3" s="0" t="s">
        <v>336</v>
      </c>
      <c r="E3" s="117" t="n">
        <v>45698</v>
      </c>
      <c r="F3" s="117" t="n">
        <v>45848</v>
      </c>
      <c r="G3" s="0" t="n">
        <v>2</v>
      </c>
      <c r="H3" s="118" t="s">
        <v>342</v>
      </c>
      <c r="I3" s="118" t="s">
        <v>343</v>
      </c>
      <c r="J3" s="118" t="s">
        <v>344</v>
      </c>
      <c r="K3" s="0" t="s">
        <v>345</v>
      </c>
      <c r="L3" s="118" t="s">
        <v>316</v>
      </c>
      <c r="M3" s="0" t="n">
        <v>1.5</v>
      </c>
      <c r="N3" s="119" t="n">
        <v>20000</v>
      </c>
      <c r="O3" s="119" t="n">
        <v>2000</v>
      </c>
      <c r="P3" s="119" t="n">
        <v>30000</v>
      </c>
      <c r="Q3" s="119" t="n">
        <v>30000</v>
      </c>
      <c r="R3" s="119" t="n">
        <v>0</v>
      </c>
      <c r="S3" s="120" t="n">
        <v>1</v>
      </c>
      <c r="T3" s="0" t="n">
        <v>20</v>
      </c>
      <c r="U3" s="0" t="n">
        <v>0</v>
      </c>
      <c r="V3" s="0" t="n">
        <v>100000</v>
      </c>
      <c r="W3" s="120" t="n">
        <v>0.09</v>
      </c>
      <c r="X3" s="117" t="n">
        <v>42170</v>
      </c>
      <c r="Y3" s="0" t="str">
        <f aca="false">IF(I3="","No SIC",IFERROR(VLOOKUP(I3,Ref!$A$2:$B$65,2,FALSE()),"Unclassified"))</f>
        <v>Trucking &amp; Warehousing</v>
      </c>
      <c r="Z3" s="0" t="str">
        <f aca="false">IF(T3="","",IF(T3&lt;12,"Daily","Weekly"))</f>
        <v>Weekly</v>
      </c>
      <c r="AA3" s="118" t="n">
        <f aca="false">IF(T3="",0,IF(T3&lt;12,T3*Controls!$B$29,T3*5))</f>
        <v>100</v>
      </c>
      <c r="AB3" s="118" t="n">
        <f aca="false">IF(E3="",0,NETWORKDAYS(E3,Controls!$B$36,Ref!$K$2:$K$42))</f>
        <v>388</v>
      </c>
      <c r="AC3" s="118" t="n">
        <f aca="false">IF(AND(AA3&gt;0,AB3&gt;=Controls!$B$39*AA3),1,0)</f>
        <v>1</v>
      </c>
      <c r="AD3" s="118" t="n">
        <f aca="false">IF(AND(E3&lt;&gt;"",E3&gt;=Controls!$B$37,E3&lt;=Controls!$B$38),1,0)</f>
        <v>1</v>
      </c>
      <c r="AE3" s="118" t="n">
        <f aca="false">IF(IFERROR(VLOOKUP(D3,Controls!$A$59:$E$69,2,FALSE()),"No")="Yes",1,0)</f>
        <v>0</v>
      </c>
      <c r="AF3" s="118" t="n">
        <f aca="false">IF(IFERROR(VLOOKUP(D3,Controls!$A$59:$E$69,3,FALSE()),"No")="Yes",1,0)</f>
        <v>1</v>
      </c>
      <c r="AG3" s="118" t="n">
        <f aca="false">IF(IFERROR(VLOOKUP(D3,Controls!$A$59:$E$69,4,FALSE()),"No")="Yes",1,0)</f>
        <v>1</v>
      </c>
      <c r="AH3" s="118" t="n">
        <f aca="false">IF(IFERROR(VLOOKUP(D3,Controls!$A$59:$E$69,5,FALSE()),"No")="Yes",1,0)</f>
        <v>0</v>
      </c>
      <c r="AI3" s="118" t="n">
        <f aca="false">IF(ISNUMBER(MATCH(D3,Controls!$A$59:$A$69,0)),1,0)</f>
        <v>1</v>
      </c>
      <c r="AJ3" s="118" t="n">
        <f aca="false">Q3-N3</f>
        <v>10000</v>
      </c>
      <c r="AK3" s="118" t="n">
        <f aca="false">IF(AE3=1,MAX(0,N3-Q3),0)</f>
        <v>0</v>
      </c>
      <c r="AL3" s="118" t="n">
        <f aca="false">IF(OR(V3="",V3=0),0,N3/V3)</f>
        <v>0.2</v>
      </c>
      <c r="AM3" s="118" t="n">
        <f aca="false">IF(OR(V3="",V3=0),0,1)</f>
        <v>1</v>
      </c>
      <c r="AN3" s="118" t="n">
        <f aca="false">IF(OR(E3="",F3=""),0,NETWORKDAYS(E3,F3,Ref!$K$2:$K$42))</f>
        <v>105</v>
      </c>
      <c r="AO3" s="118" t="n">
        <f aca="false">IF(L3="Renewal",1,0)</f>
        <v>1</v>
      </c>
      <c r="AP3" s="118" t="n">
        <f aca="false">AC3*AD3</f>
        <v>1</v>
      </c>
      <c r="AQ3" s="118" t="n">
        <f aca="false">IF(AND(G3&lt;&gt;"",'Historical Score'!$C$6&lt;&gt;""),IF(G3='Historical Score'!$C$6,1,0),0)</f>
        <v>0</v>
      </c>
      <c r="AR3" s="118" t="n">
        <f aca="false">IF(AND(L3&lt;&gt;"",'Historical Score'!$C$5&lt;&gt;""),IF(L3='Historical Score'!$C$5,1,0),0)</f>
        <v>0</v>
      </c>
      <c r="AS3" s="118" t="n">
        <f aca="false">IF(AND(Y3&lt;&gt;"",'Historical Score'!$C$7&lt;&gt;""),IF(Y3='Historical Score'!$C$7,1,0),0)</f>
        <v>0</v>
      </c>
      <c r="AT3" s="118" t="n">
        <f aca="false">IF(AND(K3&lt;&gt;"",'Historical Score'!$C$8&lt;&gt;""),IF(K3='Historical Score'!$C$8,1,0),0)</f>
        <v>0</v>
      </c>
      <c r="AU3" s="118" t="n">
        <f aca="false">IF(AND(J3&lt;&gt;"",'Historical Score'!$C$9&lt;&gt;""),IF(J3='Historical Score'!$C$9,1,0),0)</f>
        <v>0</v>
      </c>
      <c r="AV3" s="118" t="n">
        <f aca="false">AR3*AS3*AQ3</f>
        <v>0</v>
      </c>
      <c r="AW3" s="118" t="n">
        <f aca="false">AR3*AT3*AQ3</f>
        <v>0</v>
      </c>
      <c r="AX3" s="118" t="n">
        <f aca="false">AR3*AS3</f>
        <v>0</v>
      </c>
      <c r="AY3" s="118" t="n">
        <f aca="false">AR3*AT3</f>
        <v>0</v>
      </c>
      <c r="AZ3" s="118" t="n">
        <f aca="false">AR3*AQ3</f>
        <v>0</v>
      </c>
      <c r="BA3" s="118" t="n">
        <f aca="false">AR3</f>
        <v>0</v>
      </c>
      <c r="BB3" s="118" t="n">
        <f aca="false">1</f>
        <v>1</v>
      </c>
      <c r="BC3" s="118" t="n">
        <f aca="false">IF(AV3=1,1,IF(AW3=1,2,IF(AX3=1,3,IF(AY3=1,4,IF(AZ3=1,5,IF(BA3=1,6,7))))))</f>
        <v>7</v>
      </c>
      <c r="BD3" s="118" t="n">
        <f aca="false">IF(AD3=1,CHOOSE('Historical Score'!$C$29,AV3,AW3,AX3,AY3,AZ3,BA3,BB3),0)</f>
        <v>0</v>
      </c>
      <c r="BE3" s="0" t="str">
        <f aca="false">IF(BD3=1,COUNTIF($BD$2:BD3,1),"")</f>
        <v/>
      </c>
    </row>
    <row r="4" customFormat="false" ht="15" hidden="false" customHeight="false" outlineLevel="0" collapsed="false">
      <c r="A4" s="0" t="s">
        <v>346</v>
      </c>
      <c r="B4" s="0" t="s">
        <v>347</v>
      </c>
      <c r="C4" s="0" t="s">
        <v>348</v>
      </c>
      <c r="D4" s="0" t="s">
        <v>349</v>
      </c>
      <c r="E4" s="117" t="n">
        <v>45721</v>
      </c>
      <c r="F4" s="117" t="n">
        <v>45813</v>
      </c>
      <c r="G4" s="0" t="n">
        <v>3</v>
      </c>
      <c r="H4" s="118" t="s">
        <v>350</v>
      </c>
      <c r="I4" s="118" t="s">
        <v>351</v>
      </c>
      <c r="J4" s="118" t="s">
        <v>51</v>
      </c>
      <c r="K4" s="0" t="s">
        <v>45</v>
      </c>
      <c r="L4" s="118" t="s">
        <v>54</v>
      </c>
      <c r="M4" s="0" t="n">
        <v>1.5</v>
      </c>
      <c r="N4" s="119" t="n">
        <v>30000</v>
      </c>
      <c r="O4" s="119" t="n">
        <v>3000</v>
      </c>
      <c r="P4" s="119" t="n">
        <v>45000</v>
      </c>
      <c r="Q4" s="119" t="n">
        <v>9000</v>
      </c>
      <c r="R4" s="119" t="n">
        <v>36000</v>
      </c>
      <c r="S4" s="120" t="n">
        <v>0.2</v>
      </c>
      <c r="T4" s="0" t="n">
        <v>6</v>
      </c>
      <c r="U4" s="0" t="n">
        <v>4</v>
      </c>
      <c r="V4" s="0" t="n">
        <v>60000</v>
      </c>
      <c r="W4" s="120" t="n">
        <v>0.15</v>
      </c>
      <c r="X4" s="117" t="n">
        <v>43840</v>
      </c>
      <c r="Y4" s="0" t="str">
        <f aca="false">IF(I4="","No SIC",IFERROR(VLOOKUP(I4,Ref!$A$2:$B$65,2,FALSE()),"Unclassified"))</f>
        <v>General Building Contractors</v>
      </c>
      <c r="Z4" s="0" t="str">
        <f aca="false">IF(T4="","",IF(T4&lt;12,"Daily","Weekly"))</f>
        <v>Daily</v>
      </c>
      <c r="AA4" s="118" t="n">
        <f aca="false">IF(T4="",0,IF(T4&lt;12,T4*Controls!$B$29,T4*5))</f>
        <v>129.93</v>
      </c>
      <c r="AB4" s="118" t="n">
        <f aca="false">IF(E4="",0,NETWORKDAYS(E4,Controls!$B$36,Ref!$K$2:$K$42))</f>
        <v>372</v>
      </c>
      <c r="AC4" s="118" t="n">
        <f aca="false">IF(AND(AA4&gt;0,AB4&gt;=Controls!$B$39*AA4),1,0)</f>
        <v>1</v>
      </c>
      <c r="AD4" s="118" t="n">
        <f aca="false">IF(AND(E4&lt;&gt;"",E4&gt;=Controls!$B$37,E4&lt;=Controls!$B$38),1,0)</f>
        <v>1</v>
      </c>
      <c r="AE4" s="118" t="n">
        <f aca="false">IF(IFERROR(VLOOKUP(D4,Controls!$A$59:$E$69,2,FALSE()),"No")="Yes",1,0)</f>
        <v>1</v>
      </c>
      <c r="AF4" s="118" t="n">
        <f aca="false">IF(IFERROR(VLOOKUP(D4,Controls!$A$59:$E$69,3,FALSE()),"No")="Yes",1,0)</f>
        <v>0</v>
      </c>
      <c r="AG4" s="118" t="n">
        <f aca="false">IF(IFERROR(VLOOKUP(D4,Controls!$A$59:$E$69,4,FALSE()),"No")="Yes",1,0)</f>
        <v>0</v>
      </c>
      <c r="AH4" s="118" t="n">
        <f aca="false">IF(IFERROR(VLOOKUP(D4,Controls!$A$59:$E$69,5,FALSE()),"No")="Yes",1,0)</f>
        <v>0</v>
      </c>
      <c r="AI4" s="118" t="n">
        <f aca="false">IF(ISNUMBER(MATCH(D4,Controls!$A$59:$A$69,0)),1,0)</f>
        <v>1</v>
      </c>
      <c r="AJ4" s="118" t="n">
        <f aca="false">Q4-N4</f>
        <v>-21000</v>
      </c>
      <c r="AK4" s="118" t="n">
        <f aca="false">IF(AE4=1,MAX(0,N4-Q4),0)</f>
        <v>21000</v>
      </c>
      <c r="AL4" s="118" t="n">
        <f aca="false">IF(OR(V4="",V4=0),0,N4/V4)</f>
        <v>0.5</v>
      </c>
      <c r="AM4" s="118" t="n">
        <f aca="false">IF(OR(V4="",V4=0),0,1)</f>
        <v>1</v>
      </c>
      <c r="AN4" s="118" t="n">
        <f aca="false">IF(OR(E4="",F4=""),0,NETWORKDAYS(E4,F4,Ref!$K$2:$K$42))</f>
        <v>66</v>
      </c>
      <c r="AO4" s="118" t="n">
        <f aca="false">IF(L4="Renewal",1,0)</f>
        <v>0</v>
      </c>
      <c r="AP4" s="118" t="n">
        <f aca="false">AC4*AD4</f>
        <v>1</v>
      </c>
      <c r="AQ4" s="118" t="n">
        <f aca="false">IF(AND(G4&lt;&gt;"",'Historical Score'!$C$6&lt;&gt;""),IF(G4='Historical Score'!$C$6,1,0),0)</f>
        <v>0</v>
      </c>
      <c r="AR4" s="118" t="n">
        <f aca="false">IF(AND(L4&lt;&gt;"",'Historical Score'!$C$5&lt;&gt;""),IF(L4='Historical Score'!$C$5,1,0),0)</f>
        <v>1</v>
      </c>
      <c r="AS4" s="118" t="n">
        <f aca="false">IF(AND(Y4&lt;&gt;"",'Historical Score'!$C$7&lt;&gt;""),IF(Y4='Historical Score'!$C$7,1,0),0)</f>
        <v>0</v>
      </c>
      <c r="AT4" s="118" t="n">
        <f aca="false">IF(AND(K4&lt;&gt;"",'Historical Score'!$C$8&lt;&gt;""),IF(K4='Historical Score'!$C$8,1,0),0)</f>
        <v>1</v>
      </c>
      <c r="AU4" s="118" t="n">
        <f aca="false">IF(AND(J4&lt;&gt;"",'Historical Score'!$C$9&lt;&gt;""),IF(J4='Historical Score'!$C$9,1,0),0)</f>
        <v>1</v>
      </c>
      <c r="AV4" s="118" t="n">
        <f aca="false">AR4*AS4*AQ4</f>
        <v>0</v>
      </c>
      <c r="AW4" s="118" t="n">
        <f aca="false">AR4*AT4*AQ4</f>
        <v>0</v>
      </c>
      <c r="AX4" s="118" t="n">
        <f aca="false">AR4*AS4</f>
        <v>0</v>
      </c>
      <c r="AY4" s="118" t="n">
        <f aca="false">AR4*AT4</f>
        <v>1</v>
      </c>
      <c r="AZ4" s="118" t="n">
        <f aca="false">AR4*AQ4</f>
        <v>0</v>
      </c>
      <c r="BA4" s="118" t="n">
        <f aca="false">AR4</f>
        <v>1</v>
      </c>
      <c r="BB4" s="118" t="n">
        <f aca="false">1</f>
        <v>1</v>
      </c>
      <c r="BC4" s="118" t="n">
        <f aca="false">IF(AV4=1,1,IF(AW4=1,2,IF(AX4=1,3,IF(AY4=1,4,IF(AZ4=1,5,IF(BA4=1,6,7))))))</f>
        <v>4</v>
      </c>
      <c r="BD4" s="118" t="n">
        <f aca="false">IF(AD4=1,CHOOSE('Historical Score'!$C$29,AV4,AW4,AX4,AY4,AZ4,BA4,BB4),0)</f>
        <v>1</v>
      </c>
      <c r="BE4" s="118" t="n">
        <f aca="false">IF(BD4=1,COUNTIF($BD$2:BD4,1),"")</f>
        <v>2</v>
      </c>
    </row>
    <row r="5" customFormat="false" ht="15" hidden="false" customHeight="false" outlineLevel="0" collapsed="false">
      <c r="A5" s="0" t="s">
        <v>352</v>
      </c>
      <c r="B5" s="0" t="s">
        <v>353</v>
      </c>
      <c r="C5" s="0" t="s">
        <v>354</v>
      </c>
      <c r="D5" s="0" t="s">
        <v>355</v>
      </c>
      <c r="E5" s="117" t="n">
        <v>45768</v>
      </c>
      <c r="F5" s="117" t="n">
        <v>45889</v>
      </c>
      <c r="G5" s="0" t="n">
        <v>3</v>
      </c>
      <c r="H5" s="118" t="s">
        <v>356</v>
      </c>
      <c r="I5" s="118" t="s">
        <v>357</v>
      </c>
      <c r="J5" s="118" t="s">
        <v>344</v>
      </c>
      <c r="K5" s="0" t="s">
        <v>345</v>
      </c>
      <c r="L5" s="118" t="s">
        <v>54</v>
      </c>
      <c r="M5" s="0" t="n">
        <v>1.5</v>
      </c>
      <c r="N5" s="119" t="n">
        <v>40000</v>
      </c>
      <c r="O5" s="119" t="n">
        <v>4000</v>
      </c>
      <c r="P5" s="119" t="n">
        <v>60000</v>
      </c>
      <c r="Q5" s="119" t="n">
        <v>20000</v>
      </c>
      <c r="R5" s="119" t="n">
        <v>40000</v>
      </c>
      <c r="S5" s="120" t="n">
        <v>0.333333333333333</v>
      </c>
      <c r="T5" s="0" t="n">
        <v>24</v>
      </c>
      <c r="U5" s="0" t="n">
        <v>7</v>
      </c>
      <c r="V5" s="0" t="n">
        <v>80000</v>
      </c>
      <c r="W5" s="120" t="n">
        <v>0.11</v>
      </c>
      <c r="X5" s="117" t="n">
        <v>41182</v>
      </c>
      <c r="Y5" s="0" t="str">
        <f aca="false">IF(I5="","No SIC",IFERROR(VLOOKUP(I5,Ref!$A$2:$B$65,2,FALSE()),"Unclassified"))</f>
        <v>Auto Repair &amp; Services</v>
      </c>
      <c r="Z5" s="0" t="str">
        <f aca="false">IF(T5="","",IF(T5&lt;12,"Daily","Weekly"))</f>
        <v>Weekly</v>
      </c>
      <c r="AA5" s="118" t="n">
        <f aca="false">IF(T5="",0,IF(T5&lt;12,T5*Controls!$B$29,T5*5))</f>
        <v>120</v>
      </c>
      <c r="AB5" s="118" t="n">
        <f aca="false">IF(E5="",0,NETWORKDAYS(E5,Controls!$B$36,Ref!$K$2:$K$42))</f>
        <v>339</v>
      </c>
      <c r="AC5" s="118" t="n">
        <f aca="false">IF(AND(AA5&gt;0,AB5&gt;=Controls!$B$39*AA5),1,0)</f>
        <v>1</v>
      </c>
      <c r="AD5" s="118" t="n">
        <f aca="false">IF(AND(E5&lt;&gt;"",E5&gt;=Controls!$B$37,E5&lt;=Controls!$B$38),1,0)</f>
        <v>1</v>
      </c>
      <c r="AE5" s="118" t="n">
        <f aca="false">IF(IFERROR(VLOOKUP(D5,Controls!$A$59:$E$69,2,FALSE()),"No")="Yes",1,0)</f>
        <v>1</v>
      </c>
      <c r="AF5" s="118" t="n">
        <f aca="false">IF(IFERROR(VLOOKUP(D5,Controls!$A$59:$E$69,3,FALSE()),"No")="Yes",1,0)</f>
        <v>0</v>
      </c>
      <c r="AG5" s="118" t="n">
        <f aca="false">IF(IFERROR(VLOOKUP(D5,Controls!$A$59:$E$69,4,FALSE()),"No")="Yes",1,0)</f>
        <v>0</v>
      </c>
      <c r="AH5" s="118" t="n">
        <f aca="false">IF(IFERROR(VLOOKUP(D5,Controls!$A$59:$E$69,5,FALSE()),"No")="Yes",1,0)</f>
        <v>0</v>
      </c>
      <c r="AI5" s="118" t="n">
        <f aca="false">IF(ISNUMBER(MATCH(D5,Controls!$A$59:$A$69,0)),1,0)</f>
        <v>1</v>
      </c>
      <c r="AJ5" s="118" t="n">
        <f aca="false">Q5-N5</f>
        <v>-20000</v>
      </c>
      <c r="AK5" s="118" t="n">
        <f aca="false">IF(AE5=1,MAX(0,N5-Q5),0)</f>
        <v>20000</v>
      </c>
      <c r="AL5" s="118" t="n">
        <f aca="false">IF(OR(V5="",V5=0),0,N5/V5)</f>
        <v>0.5</v>
      </c>
      <c r="AM5" s="118" t="n">
        <f aca="false">IF(OR(V5="",V5=0),0,1)</f>
        <v>1</v>
      </c>
      <c r="AN5" s="118" t="n">
        <f aca="false">IF(OR(E5="",F5=""),0,NETWORKDAYS(E5,F5,Ref!$K$2:$K$42))</f>
        <v>85</v>
      </c>
      <c r="AO5" s="118" t="n">
        <f aca="false">IF(L5="Renewal",1,0)</f>
        <v>0</v>
      </c>
      <c r="AP5" s="118" t="n">
        <f aca="false">AC5*AD5</f>
        <v>1</v>
      </c>
      <c r="AQ5" s="118" t="n">
        <f aca="false">IF(AND(G5&lt;&gt;"",'Historical Score'!$C$6&lt;&gt;""),IF(G5='Historical Score'!$C$6,1,0),0)</f>
        <v>0</v>
      </c>
      <c r="AR5" s="118" t="n">
        <f aca="false">IF(AND(L5&lt;&gt;"",'Historical Score'!$C$5&lt;&gt;""),IF(L5='Historical Score'!$C$5,1,0),0)</f>
        <v>1</v>
      </c>
      <c r="AS5" s="118" t="n">
        <f aca="false">IF(AND(Y5&lt;&gt;"",'Historical Score'!$C$7&lt;&gt;""),IF(Y5='Historical Score'!$C$7,1,0),0)</f>
        <v>0</v>
      </c>
      <c r="AT5" s="118" t="n">
        <f aca="false">IF(AND(K5&lt;&gt;"",'Historical Score'!$C$8&lt;&gt;""),IF(K5='Historical Score'!$C$8,1,0),0)</f>
        <v>0</v>
      </c>
      <c r="AU5" s="118" t="n">
        <f aca="false">IF(AND(J5&lt;&gt;"",'Historical Score'!$C$9&lt;&gt;""),IF(J5='Historical Score'!$C$9,1,0),0)</f>
        <v>0</v>
      </c>
      <c r="AV5" s="118" t="n">
        <f aca="false">AR5*AS5*AQ5</f>
        <v>0</v>
      </c>
      <c r="AW5" s="118" t="n">
        <f aca="false">AR5*AT5*AQ5</f>
        <v>0</v>
      </c>
      <c r="AX5" s="118" t="n">
        <f aca="false">AR5*AS5</f>
        <v>0</v>
      </c>
      <c r="AY5" s="118" t="n">
        <f aca="false">AR5*AT5</f>
        <v>0</v>
      </c>
      <c r="AZ5" s="118" t="n">
        <f aca="false">AR5*AQ5</f>
        <v>0</v>
      </c>
      <c r="BA5" s="118" t="n">
        <f aca="false">AR5</f>
        <v>1</v>
      </c>
      <c r="BB5" s="118" t="n">
        <f aca="false">1</f>
        <v>1</v>
      </c>
      <c r="BC5" s="118" t="n">
        <f aca="false">IF(AV5=1,1,IF(AW5=1,2,IF(AX5=1,3,IF(AY5=1,4,IF(AZ5=1,5,IF(BA5=1,6,7))))))</f>
        <v>6</v>
      </c>
      <c r="BD5" s="118" t="n">
        <f aca="false">IF(AD5=1,CHOOSE('Historical Score'!$C$29,AV5,AW5,AX5,AY5,AZ5,BA5,BB5),0)</f>
        <v>1</v>
      </c>
      <c r="BE5" s="118" t="n">
        <f aca="false">IF(BD5=1,COUNTIF($BD$2:BD5,1),"")</f>
        <v>3</v>
      </c>
    </row>
    <row r="6" customFormat="false" ht="15" hidden="false" customHeight="false" outlineLevel="0" collapsed="false">
      <c r="A6" s="0" t="s">
        <v>358</v>
      </c>
      <c r="B6" s="0" t="s">
        <v>359</v>
      </c>
      <c r="C6" s="0" t="s">
        <v>360</v>
      </c>
      <c r="D6" s="0" t="s">
        <v>361</v>
      </c>
      <c r="E6" s="117" t="n">
        <v>45789</v>
      </c>
      <c r="F6" s="117" t="n">
        <v>45973</v>
      </c>
      <c r="G6" s="0" t="n">
        <v>2</v>
      </c>
      <c r="H6" s="118" t="s">
        <v>362</v>
      </c>
      <c r="I6" s="118" t="s">
        <v>363</v>
      </c>
      <c r="J6" s="118" t="s">
        <v>51</v>
      </c>
      <c r="K6" s="0" t="s">
        <v>45</v>
      </c>
      <c r="L6" s="118" t="s">
        <v>316</v>
      </c>
      <c r="M6" s="0" t="n">
        <v>1.5</v>
      </c>
      <c r="N6" s="119" t="n">
        <v>10000</v>
      </c>
      <c r="O6" s="119" t="n">
        <v>1000</v>
      </c>
      <c r="P6" s="119" t="n">
        <v>15000</v>
      </c>
      <c r="Q6" s="119" t="n">
        <v>9500</v>
      </c>
      <c r="R6" s="119" t="n">
        <v>5500</v>
      </c>
      <c r="S6" s="120" t="n">
        <v>0.633333333333333</v>
      </c>
      <c r="T6" s="0" t="n">
        <v>4</v>
      </c>
      <c r="U6" s="0" t="n">
        <v>2</v>
      </c>
      <c r="V6" s="0" t="n">
        <v>20000</v>
      </c>
      <c r="W6" s="120" t="n">
        <v>0.14</v>
      </c>
      <c r="X6" s="117" t="n">
        <v>43774</v>
      </c>
      <c r="Y6" s="0" t="str">
        <f aca="false">IF(I6="","No SIC",IFERROR(VLOOKUP(I6,Ref!$A$2:$B$65,2,FALSE()),"Unclassified"))</f>
        <v>Personal Services</v>
      </c>
      <c r="Z6" s="0" t="str">
        <f aca="false">IF(T6="","",IF(T6&lt;12,"Daily","Weekly"))</f>
        <v>Daily</v>
      </c>
      <c r="AA6" s="118" t="n">
        <f aca="false">IF(T6="",0,IF(T6&lt;12,T6*Controls!$B$29,T6*5))</f>
        <v>86.62</v>
      </c>
      <c r="AB6" s="118" t="n">
        <f aca="false">IF(E6="",0,NETWORKDAYS(E6,Controls!$B$36,Ref!$K$2:$K$42))</f>
        <v>324</v>
      </c>
      <c r="AC6" s="118" t="n">
        <f aca="false">IF(AND(AA6&gt;0,AB6&gt;=Controls!$B$39*AA6),1,0)</f>
        <v>1</v>
      </c>
      <c r="AD6" s="118" t="n">
        <f aca="false">IF(AND(E6&lt;&gt;"",E6&gt;=Controls!$B$37,E6&lt;=Controls!$B$38),1,0)</f>
        <v>1</v>
      </c>
      <c r="AE6" s="118" t="n">
        <f aca="false">IF(IFERROR(VLOOKUP(D6,Controls!$A$59:$E$69,2,FALSE()),"No")="Yes",1,0)</f>
        <v>1</v>
      </c>
      <c r="AF6" s="118" t="n">
        <f aca="false">IF(IFERROR(VLOOKUP(D6,Controls!$A$59:$E$69,3,FALSE()),"No")="Yes",1,0)</f>
        <v>1</v>
      </c>
      <c r="AG6" s="118" t="n">
        <f aca="false">IF(IFERROR(VLOOKUP(D6,Controls!$A$59:$E$69,4,FALSE()),"No")="Yes",1,0)</f>
        <v>0</v>
      </c>
      <c r="AH6" s="118" t="n">
        <f aca="false">IF(IFERROR(VLOOKUP(D6,Controls!$A$59:$E$69,5,FALSE()),"No")="Yes",1,0)</f>
        <v>0</v>
      </c>
      <c r="AI6" s="118" t="n">
        <f aca="false">IF(ISNUMBER(MATCH(D6,Controls!$A$59:$A$69,0)),1,0)</f>
        <v>1</v>
      </c>
      <c r="AJ6" s="118" t="n">
        <f aca="false">Q6-N6</f>
        <v>-500</v>
      </c>
      <c r="AK6" s="118" t="n">
        <f aca="false">IF(AE6=1,MAX(0,N6-Q6),0)</f>
        <v>500</v>
      </c>
      <c r="AL6" s="118" t="n">
        <f aca="false">IF(OR(V6="",V6=0),0,N6/V6)</f>
        <v>0.5</v>
      </c>
      <c r="AM6" s="118" t="n">
        <f aca="false">IF(OR(V6="",V6=0),0,1)</f>
        <v>1</v>
      </c>
      <c r="AN6" s="118" t="n">
        <f aca="false">IF(OR(E6="",F6=""),0,NETWORKDAYS(E6,F6,Ref!$K$2:$K$42))</f>
        <v>127</v>
      </c>
      <c r="AO6" s="118" t="n">
        <f aca="false">IF(L6="Renewal",1,0)</f>
        <v>1</v>
      </c>
      <c r="AP6" s="118" t="n">
        <f aca="false">AC6*AD6</f>
        <v>1</v>
      </c>
      <c r="AQ6" s="118" t="n">
        <f aca="false">IF(AND(G6&lt;&gt;"",'Historical Score'!$C$6&lt;&gt;""),IF(G6='Historical Score'!$C$6,1,0),0)</f>
        <v>0</v>
      </c>
      <c r="AR6" s="118" t="n">
        <f aca="false">IF(AND(L6&lt;&gt;"",'Historical Score'!$C$5&lt;&gt;""),IF(L6='Historical Score'!$C$5,1,0),0)</f>
        <v>0</v>
      </c>
      <c r="AS6" s="118" t="n">
        <f aca="false">IF(AND(Y6&lt;&gt;"",'Historical Score'!$C$7&lt;&gt;""),IF(Y6='Historical Score'!$C$7,1,0),0)</f>
        <v>0</v>
      </c>
      <c r="AT6" s="118" t="n">
        <f aca="false">IF(AND(K6&lt;&gt;"",'Historical Score'!$C$8&lt;&gt;""),IF(K6='Historical Score'!$C$8,1,0),0)</f>
        <v>1</v>
      </c>
      <c r="AU6" s="118" t="n">
        <f aca="false">IF(AND(J6&lt;&gt;"",'Historical Score'!$C$9&lt;&gt;""),IF(J6='Historical Score'!$C$9,1,0),0)</f>
        <v>1</v>
      </c>
      <c r="AV6" s="118" t="n">
        <f aca="false">AR6*AS6*AQ6</f>
        <v>0</v>
      </c>
      <c r="AW6" s="118" t="n">
        <f aca="false">AR6*AT6*AQ6</f>
        <v>0</v>
      </c>
      <c r="AX6" s="118" t="n">
        <f aca="false">AR6*AS6</f>
        <v>0</v>
      </c>
      <c r="AY6" s="118" t="n">
        <f aca="false">AR6*AT6</f>
        <v>0</v>
      </c>
      <c r="AZ6" s="118" t="n">
        <f aca="false">AR6*AQ6</f>
        <v>0</v>
      </c>
      <c r="BA6" s="118" t="n">
        <f aca="false">AR6</f>
        <v>0</v>
      </c>
      <c r="BB6" s="118" t="n">
        <f aca="false">1</f>
        <v>1</v>
      </c>
      <c r="BC6" s="118" t="n">
        <f aca="false">IF(AV6=1,1,IF(AW6=1,2,IF(AX6=1,3,IF(AY6=1,4,IF(AZ6=1,5,IF(BA6=1,6,7))))))</f>
        <v>7</v>
      </c>
      <c r="BD6" s="118" t="n">
        <f aca="false">IF(AD6=1,CHOOSE('Historical Score'!$C$29,AV6,AW6,AX6,AY6,AZ6,BA6,BB6),0)</f>
        <v>0</v>
      </c>
      <c r="BE6" s="0" t="str">
        <f aca="false">IF(BD6=1,COUNTIF($BD$2:BD6,1),"")</f>
        <v/>
      </c>
    </row>
    <row r="7" customFormat="false" ht="15" hidden="false" customHeight="false" outlineLevel="0" collapsed="false">
      <c r="A7" s="0" t="s">
        <v>364</v>
      </c>
      <c r="B7" s="0" t="s">
        <v>365</v>
      </c>
      <c r="C7" s="0" t="s">
        <v>366</v>
      </c>
      <c r="D7" s="0" t="s">
        <v>367</v>
      </c>
      <c r="E7" s="117" t="n">
        <v>45826</v>
      </c>
      <c r="F7" s="117" t="n">
        <v>45918</v>
      </c>
      <c r="G7" s="0" t="n">
        <v>4</v>
      </c>
      <c r="J7" s="118" t="s">
        <v>344</v>
      </c>
      <c r="K7" s="0" t="s">
        <v>345</v>
      </c>
      <c r="L7" s="118" t="s">
        <v>54</v>
      </c>
      <c r="M7" s="0" t="n">
        <v>1.5</v>
      </c>
      <c r="N7" s="119" t="n">
        <v>20000</v>
      </c>
      <c r="O7" s="119" t="n">
        <v>2000</v>
      </c>
      <c r="P7" s="119" t="n">
        <v>30000</v>
      </c>
      <c r="Q7" s="119" t="n">
        <v>0</v>
      </c>
      <c r="R7" s="119" t="n">
        <v>30000</v>
      </c>
      <c r="S7" s="120" t="n">
        <v>0</v>
      </c>
      <c r="T7" s="0" t="n">
        <v>16</v>
      </c>
      <c r="U7" s="0" t="n">
        <v>9</v>
      </c>
      <c r="V7" s="0" t="n">
        <v>100000</v>
      </c>
      <c r="W7" s="120" t="n">
        <v>0.1</v>
      </c>
      <c r="X7" s="117" t="n">
        <v>44305</v>
      </c>
      <c r="Y7" s="0" t="str">
        <f aca="false">IF(I7="","No SIC",IFERROR(VLOOKUP(I7,Ref!$A$2:$B$65,2,FALSE()),"Unclassified"))</f>
        <v>No SIC</v>
      </c>
      <c r="Z7" s="0" t="str">
        <f aca="false">IF(T7="","",IF(T7&lt;12,"Daily","Weekly"))</f>
        <v>Weekly</v>
      </c>
      <c r="AA7" s="118" t="n">
        <f aca="false">IF(T7="",0,IF(T7&lt;12,T7*Controls!$B$29,T7*5))</f>
        <v>80</v>
      </c>
      <c r="AB7" s="118" t="n">
        <f aca="false">IF(E7="",0,NETWORKDAYS(E7,Controls!$B$36,Ref!$K$2:$K$42))</f>
        <v>298</v>
      </c>
      <c r="AC7" s="118" t="n">
        <f aca="false">IF(AND(AA7&gt;0,AB7&gt;=Controls!$B$39*AA7),1,0)</f>
        <v>1</v>
      </c>
      <c r="AD7" s="118" t="n">
        <f aca="false">IF(AND(E7&lt;&gt;"",E7&gt;=Controls!$B$37,E7&lt;=Controls!$B$38),1,0)</f>
        <v>1</v>
      </c>
      <c r="AE7" s="118" t="n">
        <f aca="false">IF(IFERROR(VLOOKUP(D7,Controls!$A$59:$E$69,2,FALSE()),"No")="Yes",1,0)</f>
        <v>1</v>
      </c>
      <c r="AF7" s="118" t="n">
        <f aca="false">IF(IFERROR(VLOOKUP(D7,Controls!$A$59:$E$69,3,FALSE()),"No")="Yes",1,0)</f>
        <v>1</v>
      </c>
      <c r="AG7" s="118" t="n">
        <f aca="false">IF(IFERROR(VLOOKUP(D7,Controls!$A$59:$E$69,4,FALSE()),"No")="Yes",1,0)</f>
        <v>0</v>
      </c>
      <c r="AH7" s="118" t="n">
        <f aca="false">IF(IFERROR(VLOOKUP(D7,Controls!$A$59:$E$69,5,FALSE()),"No")="Yes",1,0)</f>
        <v>0</v>
      </c>
      <c r="AI7" s="118" t="n">
        <f aca="false">IF(ISNUMBER(MATCH(D7,Controls!$A$59:$A$69,0)),1,0)</f>
        <v>1</v>
      </c>
      <c r="AJ7" s="118" t="n">
        <f aca="false">Q7-N7</f>
        <v>-20000</v>
      </c>
      <c r="AK7" s="118" t="n">
        <f aca="false">IF(AE7=1,MAX(0,N7-Q7),0)</f>
        <v>20000</v>
      </c>
      <c r="AL7" s="118" t="n">
        <f aca="false">IF(OR(V7="",V7=0),0,N7/V7)</f>
        <v>0.2</v>
      </c>
      <c r="AM7" s="118" t="n">
        <f aca="false">IF(OR(V7="",V7=0),0,1)</f>
        <v>1</v>
      </c>
      <c r="AN7" s="118" t="n">
        <f aca="false">IF(OR(E7="",F7=""),0,NETWORKDAYS(E7,F7,Ref!$K$2:$K$42))</f>
        <v>64</v>
      </c>
      <c r="AO7" s="118" t="n">
        <f aca="false">IF(L7="Renewal",1,0)</f>
        <v>0</v>
      </c>
      <c r="AP7" s="118" t="n">
        <f aca="false">AC7*AD7</f>
        <v>1</v>
      </c>
      <c r="AQ7" s="118" t="n">
        <f aca="false">IF(AND(G7&lt;&gt;"",'Historical Score'!$C$6&lt;&gt;""),IF(G7='Historical Score'!$C$6,1,0),0)</f>
        <v>0</v>
      </c>
      <c r="AR7" s="118" t="n">
        <f aca="false">IF(AND(L7&lt;&gt;"",'Historical Score'!$C$5&lt;&gt;""),IF(L7='Historical Score'!$C$5,1,0),0)</f>
        <v>1</v>
      </c>
      <c r="AS7" s="118" t="n">
        <f aca="false">IF(AND(Y7&lt;&gt;"",'Historical Score'!$C$7&lt;&gt;""),IF(Y7='Historical Score'!$C$7,1,0),0)</f>
        <v>0</v>
      </c>
      <c r="AT7" s="118" t="n">
        <f aca="false">IF(AND(K7&lt;&gt;"",'Historical Score'!$C$8&lt;&gt;""),IF(K7='Historical Score'!$C$8,1,0),0)</f>
        <v>0</v>
      </c>
      <c r="AU7" s="118" t="n">
        <f aca="false">IF(AND(J7&lt;&gt;"",'Historical Score'!$C$9&lt;&gt;""),IF(J7='Historical Score'!$C$9,1,0),0)</f>
        <v>0</v>
      </c>
      <c r="AV7" s="118" t="n">
        <f aca="false">AR7*AS7*AQ7</f>
        <v>0</v>
      </c>
      <c r="AW7" s="118" t="n">
        <f aca="false">AR7*AT7*AQ7</f>
        <v>0</v>
      </c>
      <c r="AX7" s="118" t="n">
        <f aca="false">AR7*AS7</f>
        <v>0</v>
      </c>
      <c r="AY7" s="118" t="n">
        <f aca="false">AR7*AT7</f>
        <v>0</v>
      </c>
      <c r="AZ7" s="118" t="n">
        <f aca="false">AR7*AQ7</f>
        <v>0</v>
      </c>
      <c r="BA7" s="118" t="n">
        <f aca="false">AR7</f>
        <v>1</v>
      </c>
      <c r="BB7" s="118" t="n">
        <f aca="false">1</f>
        <v>1</v>
      </c>
      <c r="BC7" s="118" t="n">
        <f aca="false">IF(AV7=1,1,IF(AW7=1,2,IF(AX7=1,3,IF(AY7=1,4,IF(AZ7=1,5,IF(BA7=1,6,7))))))</f>
        <v>6</v>
      </c>
      <c r="BD7" s="118" t="n">
        <f aca="false">IF(AD7=1,CHOOSE('Historical Score'!$C$29,AV7,AW7,AX7,AY7,AZ7,BA7,BB7),0)</f>
        <v>1</v>
      </c>
      <c r="BE7" s="118" t="n">
        <f aca="false">IF(BD7=1,COUNTIF($BD$2:BD7,1),"")</f>
        <v>4</v>
      </c>
    </row>
    <row r="8" customFormat="false" ht="15" hidden="false" customHeight="false" outlineLevel="0" collapsed="false">
      <c r="A8" s="0" t="s">
        <v>368</v>
      </c>
      <c r="B8" s="0" t="s">
        <v>369</v>
      </c>
      <c r="C8" s="0" t="s">
        <v>370</v>
      </c>
      <c r="D8" s="0" t="s">
        <v>291</v>
      </c>
      <c r="E8" s="117" t="n">
        <v>46030</v>
      </c>
      <c r="F8" s="117" t="n">
        <v>46237</v>
      </c>
      <c r="G8" s="0" t="n">
        <v>1</v>
      </c>
      <c r="H8" s="118" t="s">
        <v>371</v>
      </c>
      <c r="I8" s="118" t="s">
        <v>372</v>
      </c>
      <c r="J8" s="118" t="s">
        <v>51</v>
      </c>
      <c r="K8" s="0" t="s">
        <v>45</v>
      </c>
      <c r="L8" s="118" t="s">
        <v>54</v>
      </c>
      <c r="M8" s="0" t="n">
        <v>1.5</v>
      </c>
      <c r="N8" s="119" t="n">
        <v>50000</v>
      </c>
      <c r="O8" s="119" t="n">
        <v>5000</v>
      </c>
      <c r="P8" s="119" t="n">
        <v>75000</v>
      </c>
      <c r="Q8" s="119" t="n">
        <v>30000</v>
      </c>
      <c r="R8" s="119" t="n">
        <v>45000</v>
      </c>
      <c r="S8" s="120" t="n">
        <v>0.4</v>
      </c>
      <c r="T8" s="0" t="n">
        <v>6</v>
      </c>
      <c r="U8" s="0" t="n">
        <v>0</v>
      </c>
      <c r="V8" s="0" t="n">
        <v>250000</v>
      </c>
      <c r="W8" s="120" t="n">
        <v>0.08</v>
      </c>
      <c r="X8" s="117" t="n">
        <v>40211</v>
      </c>
      <c r="Y8" s="0" t="str">
        <f aca="false">IF(I8="","No SIC",IFERROR(VLOOKUP(I8,Ref!$A$2:$B$65,2,FALSE()),"Unclassified"))</f>
        <v>Health Services</v>
      </c>
      <c r="Z8" s="0" t="str">
        <f aca="false">IF(T8="","",IF(T8&lt;12,"Daily","Weekly"))</f>
        <v>Daily</v>
      </c>
      <c r="AA8" s="118" t="n">
        <f aca="false">IF(T8="",0,IF(T8&lt;12,T8*Controls!$B$29,T8*5))</f>
        <v>129.93</v>
      </c>
      <c r="AB8" s="118" t="n">
        <f aca="false">IF(E8="",0,NETWORKDAYS(E8,Controls!$B$36,Ref!$K$2:$K$42))</f>
        <v>160</v>
      </c>
      <c r="AC8" s="118" t="n">
        <f aca="false">IF(AND(AA8&gt;0,AB8&gt;=Controls!$B$39*AA8),1,0)</f>
        <v>0</v>
      </c>
      <c r="AD8" s="118" t="n">
        <f aca="false">IF(AND(E8&lt;&gt;"",E8&gt;=Controls!$B$37,E8&lt;=Controls!$B$38),1,0)</f>
        <v>1</v>
      </c>
      <c r="AE8" s="118" t="n">
        <f aca="false">IF(IFERROR(VLOOKUP(D8,Controls!$A$59:$E$69,2,FALSE()),"No")="Yes",1,0)</f>
        <v>0</v>
      </c>
      <c r="AF8" s="118" t="n">
        <f aca="false">IF(IFERROR(VLOOKUP(D8,Controls!$A$59:$E$69,3,FALSE()),"No")="Yes",1,0)</f>
        <v>0</v>
      </c>
      <c r="AG8" s="118" t="n">
        <f aca="false">IF(IFERROR(VLOOKUP(D8,Controls!$A$59:$E$69,4,FALSE()),"No")="Yes",1,0)</f>
        <v>0</v>
      </c>
      <c r="AH8" s="118" t="n">
        <f aca="false">IF(IFERROR(VLOOKUP(D8,Controls!$A$59:$E$69,5,FALSE()),"No")="Yes",1,0)</f>
        <v>1</v>
      </c>
      <c r="AI8" s="118" t="n">
        <f aca="false">IF(ISNUMBER(MATCH(D8,Controls!$A$59:$A$69,0)),1,0)</f>
        <v>1</v>
      </c>
      <c r="AJ8" s="118" t="n">
        <f aca="false">Q8-N8</f>
        <v>-20000</v>
      </c>
      <c r="AK8" s="118" t="n">
        <f aca="false">IF(AE8=1,MAX(0,N8-Q8),0)</f>
        <v>0</v>
      </c>
      <c r="AL8" s="118" t="n">
        <f aca="false">IF(OR(V8="",V8=0),0,N8/V8)</f>
        <v>0.2</v>
      </c>
      <c r="AM8" s="118" t="n">
        <f aca="false">IF(OR(V8="",V8=0),0,1)</f>
        <v>1</v>
      </c>
      <c r="AN8" s="118" t="n">
        <f aca="false">IF(OR(E8="",F8=""),0,NETWORKDAYS(E8,F8,Ref!$K$2:$K$42))</f>
        <v>144</v>
      </c>
      <c r="AO8" s="118" t="n">
        <f aca="false">IF(L8="Renewal",1,0)</f>
        <v>0</v>
      </c>
      <c r="AP8" s="118" t="n">
        <f aca="false">AC8*AD8</f>
        <v>0</v>
      </c>
      <c r="AQ8" s="118" t="n">
        <f aca="false">IF(AND(G8&lt;&gt;"",'Historical Score'!$C$6&lt;&gt;""),IF(G8='Historical Score'!$C$6,1,0),0)</f>
        <v>1</v>
      </c>
      <c r="AR8" s="118" t="n">
        <f aca="false">IF(AND(L8&lt;&gt;"",'Historical Score'!$C$5&lt;&gt;""),IF(L8='Historical Score'!$C$5,1,0),0)</f>
        <v>1</v>
      </c>
      <c r="AS8" s="118" t="n">
        <f aca="false">IF(AND(Y8&lt;&gt;"",'Historical Score'!$C$7&lt;&gt;""),IF(Y8='Historical Score'!$C$7,1,0),0)</f>
        <v>0</v>
      </c>
      <c r="AT8" s="118" t="n">
        <f aca="false">IF(AND(K8&lt;&gt;"",'Historical Score'!$C$8&lt;&gt;""),IF(K8='Historical Score'!$C$8,1,0),0)</f>
        <v>1</v>
      </c>
      <c r="AU8" s="118" t="n">
        <f aca="false">IF(AND(J8&lt;&gt;"",'Historical Score'!$C$9&lt;&gt;""),IF(J8='Historical Score'!$C$9,1,0),0)</f>
        <v>1</v>
      </c>
      <c r="AV8" s="118" t="n">
        <f aca="false">AR8*AS8*AQ8</f>
        <v>0</v>
      </c>
      <c r="AW8" s="118" t="n">
        <f aca="false">AR8*AT8*AQ8</f>
        <v>1</v>
      </c>
      <c r="AX8" s="118" t="n">
        <f aca="false">AR8*AS8</f>
        <v>0</v>
      </c>
      <c r="AY8" s="118" t="n">
        <f aca="false">AR8*AT8</f>
        <v>1</v>
      </c>
      <c r="AZ8" s="118" t="n">
        <f aca="false">AR8*AQ8</f>
        <v>1</v>
      </c>
      <c r="BA8" s="118" t="n">
        <f aca="false">AR8</f>
        <v>1</v>
      </c>
      <c r="BB8" s="118" t="n">
        <f aca="false">1</f>
        <v>1</v>
      </c>
      <c r="BC8" s="118" t="n">
        <f aca="false">IF(AV8=1,1,IF(AW8=1,2,IF(AX8=1,3,IF(AY8=1,4,IF(AZ8=1,5,IF(BA8=1,6,7))))))</f>
        <v>2</v>
      </c>
      <c r="BD8" s="118" t="n">
        <f aca="false">IF(AD8=1,CHOOSE('Historical Score'!$C$29,AV8,AW8,AX8,AY8,AZ8,BA8,BB8),0)</f>
        <v>1</v>
      </c>
      <c r="BE8" s="118" t="n">
        <f aca="false">IF(BD8=1,COUNTIF($BD$2:BD8,1),"")</f>
        <v>5</v>
      </c>
    </row>
    <row r="9" customFormat="false" ht="15" hidden="false" customHeight="false" outlineLevel="0" collapsed="false">
      <c r="A9" s="0" t="s">
        <v>373</v>
      </c>
      <c r="B9" s="0" t="s">
        <v>374</v>
      </c>
      <c r="C9" s="0" t="s">
        <v>375</v>
      </c>
      <c r="D9" s="0" t="s">
        <v>376</v>
      </c>
      <c r="E9" s="117" t="n">
        <v>45852</v>
      </c>
      <c r="F9" s="117" t="n">
        <v>46006</v>
      </c>
      <c r="G9" s="0" t="n">
        <v>3</v>
      </c>
      <c r="H9" s="118" t="s">
        <v>377</v>
      </c>
      <c r="I9" s="118" t="s">
        <v>378</v>
      </c>
      <c r="J9" s="118" t="s">
        <v>344</v>
      </c>
      <c r="K9" s="0" t="s">
        <v>345</v>
      </c>
      <c r="L9" s="118" t="s">
        <v>54</v>
      </c>
      <c r="M9" s="0" t="n">
        <v>1.5</v>
      </c>
      <c r="N9" s="119" t="n">
        <v>20000</v>
      </c>
      <c r="O9" s="119" t="n">
        <v>2000</v>
      </c>
      <c r="P9" s="119" t="n">
        <v>30000</v>
      </c>
      <c r="Q9" s="119" t="n">
        <v>30000</v>
      </c>
      <c r="R9" s="119" t="n">
        <v>0</v>
      </c>
      <c r="S9" s="120" t="n">
        <v>1</v>
      </c>
      <c r="T9" s="0" t="n">
        <v>20</v>
      </c>
      <c r="U9" s="0" t="n">
        <v>11</v>
      </c>
      <c r="W9" s="120" t="n">
        <v>0.13</v>
      </c>
      <c r="X9" s="117" t="n">
        <v>44781</v>
      </c>
      <c r="Y9" s="0" t="str">
        <f aca="false">IF(I9="","No SIC",IFERROR(VLOOKUP(I9,Ref!$A$2:$B$65,2,FALSE()),"Unclassified"))</f>
        <v>Business Services</v>
      </c>
      <c r="Z9" s="0" t="str">
        <f aca="false">IF(T9="","",IF(T9&lt;12,"Daily","Weekly"))</f>
        <v>Weekly</v>
      </c>
      <c r="AA9" s="118" t="n">
        <f aca="false">IF(T9="",0,IF(T9&lt;12,T9*Controls!$B$29,T9*5))</f>
        <v>100</v>
      </c>
      <c r="AB9" s="118" t="n">
        <f aca="false">IF(E9="",0,NETWORKDAYS(E9,Controls!$B$36,Ref!$K$2:$K$42))</f>
        <v>282</v>
      </c>
      <c r="AC9" s="118" t="n">
        <f aca="false">IF(AND(AA9&gt;0,AB9&gt;=Controls!$B$39*AA9),1,0)</f>
        <v>1</v>
      </c>
      <c r="AD9" s="118" t="n">
        <f aca="false">IF(AND(E9&lt;&gt;"",E9&gt;=Controls!$B$37,E9&lt;=Controls!$B$38),1,0)</f>
        <v>1</v>
      </c>
      <c r="AE9" s="118" t="n">
        <f aca="false">IF(IFERROR(VLOOKUP(D9,Controls!$A$59:$E$69,2,FALSE()),"No")="Yes",1,0)</f>
        <v>0</v>
      </c>
      <c r="AF9" s="118" t="n">
        <f aca="false">IF(IFERROR(VLOOKUP(D9,Controls!$A$59:$E$69,3,FALSE()),"No")="Yes",1,0)</f>
        <v>1</v>
      </c>
      <c r="AG9" s="118" t="n">
        <f aca="false">IF(IFERROR(VLOOKUP(D9,Controls!$A$59:$E$69,4,FALSE()),"No")="Yes",1,0)</f>
        <v>1</v>
      </c>
      <c r="AH9" s="118" t="n">
        <f aca="false">IF(IFERROR(VLOOKUP(D9,Controls!$A$59:$E$69,5,FALSE()),"No")="Yes",1,0)</f>
        <v>0</v>
      </c>
      <c r="AI9" s="118" t="n">
        <f aca="false">IF(ISNUMBER(MATCH(D9,Controls!$A$59:$A$69,0)),1,0)</f>
        <v>1</v>
      </c>
      <c r="AJ9" s="118" t="n">
        <f aca="false">Q9-N9</f>
        <v>10000</v>
      </c>
      <c r="AK9" s="118" t="n">
        <f aca="false">IF(AE9=1,MAX(0,N9-Q9),0)</f>
        <v>0</v>
      </c>
      <c r="AL9" s="118" t="n">
        <f aca="false">IF(OR(V9="",V9=0),0,N9/V9)</f>
        <v>0</v>
      </c>
      <c r="AM9" s="118" t="n">
        <f aca="false">IF(OR(V9="",V9=0),0,1)</f>
        <v>0</v>
      </c>
      <c r="AN9" s="118" t="n">
        <f aca="false">IF(OR(E9="",F9=""),0,NETWORKDAYS(E9,F9,Ref!$K$2:$K$42))</f>
        <v>107</v>
      </c>
      <c r="AO9" s="118" t="n">
        <f aca="false">IF(L9="Renewal",1,0)</f>
        <v>0</v>
      </c>
      <c r="AP9" s="118" t="n">
        <f aca="false">AC9*AD9</f>
        <v>1</v>
      </c>
      <c r="AQ9" s="118" t="n">
        <f aca="false">IF(AND(G9&lt;&gt;"",'Historical Score'!$C$6&lt;&gt;""),IF(G9='Historical Score'!$C$6,1,0),0)</f>
        <v>0</v>
      </c>
      <c r="AR9" s="118" t="n">
        <f aca="false">IF(AND(L9&lt;&gt;"",'Historical Score'!$C$5&lt;&gt;""),IF(L9='Historical Score'!$C$5,1,0),0)</f>
        <v>1</v>
      </c>
      <c r="AS9" s="118" t="n">
        <f aca="false">IF(AND(Y9&lt;&gt;"",'Historical Score'!$C$7&lt;&gt;""),IF(Y9='Historical Score'!$C$7,1,0),0)</f>
        <v>0</v>
      </c>
      <c r="AT9" s="118" t="n">
        <f aca="false">IF(AND(K9&lt;&gt;"",'Historical Score'!$C$8&lt;&gt;""),IF(K9='Historical Score'!$C$8,1,0),0)</f>
        <v>0</v>
      </c>
      <c r="AU9" s="118" t="n">
        <f aca="false">IF(AND(J9&lt;&gt;"",'Historical Score'!$C$9&lt;&gt;""),IF(J9='Historical Score'!$C$9,1,0),0)</f>
        <v>0</v>
      </c>
      <c r="AV9" s="118" t="n">
        <f aca="false">AR9*AS9*AQ9</f>
        <v>0</v>
      </c>
      <c r="AW9" s="118" t="n">
        <f aca="false">AR9*AT9*AQ9</f>
        <v>0</v>
      </c>
      <c r="AX9" s="118" t="n">
        <f aca="false">AR9*AS9</f>
        <v>0</v>
      </c>
      <c r="AY9" s="118" t="n">
        <f aca="false">AR9*AT9</f>
        <v>0</v>
      </c>
      <c r="AZ9" s="118" t="n">
        <f aca="false">AR9*AQ9</f>
        <v>0</v>
      </c>
      <c r="BA9" s="118" t="n">
        <f aca="false">AR9</f>
        <v>1</v>
      </c>
      <c r="BB9" s="118" t="n">
        <f aca="false">1</f>
        <v>1</v>
      </c>
      <c r="BC9" s="118" t="n">
        <f aca="false">IF(AV9=1,1,IF(AW9=1,2,IF(AX9=1,3,IF(AY9=1,4,IF(AZ9=1,5,IF(BA9=1,6,7))))))</f>
        <v>6</v>
      </c>
      <c r="BD9" s="118" t="n">
        <f aca="false">IF(AD9=1,CHOOSE('Historical Score'!$C$29,AV9,AW9,AX9,AY9,AZ9,BA9,BB9),0)</f>
        <v>1</v>
      </c>
      <c r="BE9" s="118" t="n">
        <f aca="false">IF(BD9=1,COUNTIF($BD$2:BD9,1),"")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5"/>
    <col collapsed="false" customWidth="true" hidden="false" outlineLevel="0" max="8" min="6" style="0" width="13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87" t="s">
        <v>379</v>
      </c>
    </row>
    <row r="2" customFormat="false" ht="15" hidden="false" customHeight="false" outlineLevel="0" collapsed="false">
      <c r="A2" s="86" t="s">
        <v>380</v>
      </c>
    </row>
    <row r="3" customFormat="false" ht="15" hidden="false" customHeight="false" outlineLevel="0" collapsed="false">
      <c r="A3" s="8" t="s">
        <v>381</v>
      </c>
      <c r="B3" s="8"/>
      <c r="C3" s="8"/>
      <c r="D3" s="8"/>
      <c r="E3" s="8"/>
      <c r="F3" s="8"/>
      <c r="G3" s="8"/>
      <c r="H3" s="8"/>
      <c r="I3" s="8"/>
    </row>
    <row r="4" customFormat="false" ht="22.35" hidden="false" customHeight="false" outlineLevel="0" collapsed="false">
      <c r="A4" s="75" t="s">
        <v>21</v>
      </c>
      <c r="B4" s="75" t="s">
        <v>382</v>
      </c>
      <c r="C4" s="75" t="s">
        <v>383</v>
      </c>
      <c r="D4" s="75" t="s">
        <v>75</v>
      </c>
      <c r="E4" s="75" t="s">
        <v>384</v>
      </c>
      <c r="F4" s="75"/>
      <c r="G4" s="75"/>
      <c r="H4" s="75"/>
      <c r="I4" s="75" t="s">
        <v>385</v>
      </c>
    </row>
    <row r="5" customFormat="false" ht="15" hidden="false" customHeight="false" outlineLevel="0" collapsed="false">
      <c r="A5" s="99" t="s">
        <v>77</v>
      </c>
      <c r="B5" s="121" t="n">
        <v>0.3</v>
      </c>
      <c r="C5" s="121" t="n">
        <v>0.45</v>
      </c>
      <c r="D5" s="121" t="n">
        <v>0.55</v>
      </c>
      <c r="E5" s="99" t="s">
        <v>386</v>
      </c>
      <c r="I5" s="86"/>
    </row>
    <row r="6" customFormat="false" ht="15" hidden="false" customHeight="false" outlineLevel="0" collapsed="false">
      <c r="A6" s="99" t="s">
        <v>78</v>
      </c>
      <c r="B6" s="121" t="n">
        <v>0.18</v>
      </c>
      <c r="C6" s="121" t="n">
        <v>0.25</v>
      </c>
      <c r="D6" s="121" t="n">
        <v>0.35</v>
      </c>
      <c r="E6" s="99" t="s">
        <v>386</v>
      </c>
      <c r="I6" s="86"/>
    </row>
    <row r="7" customFormat="false" ht="15" hidden="false" customHeight="false" outlineLevel="0" collapsed="false">
      <c r="A7" s="99" t="s">
        <v>79</v>
      </c>
      <c r="B7" s="121" t="n">
        <v>0.18</v>
      </c>
      <c r="C7" s="121" t="n">
        <v>0.3</v>
      </c>
      <c r="D7" s="121" t="n">
        <v>0.35</v>
      </c>
      <c r="E7" s="99" t="s">
        <v>386</v>
      </c>
      <c r="I7" s="86"/>
    </row>
    <row r="8" customFormat="false" ht="15" hidden="false" customHeight="false" outlineLevel="0" collapsed="false">
      <c r="A8" s="99" t="s">
        <v>80</v>
      </c>
      <c r="B8" s="122" t="n">
        <v>0.6</v>
      </c>
      <c r="C8" s="122" t="n">
        <v>0.9</v>
      </c>
      <c r="D8" s="122" t="n">
        <v>1.25</v>
      </c>
      <c r="E8" s="99" t="s">
        <v>386</v>
      </c>
      <c r="I8" s="86"/>
    </row>
    <row r="9" customFormat="false" ht="15" hidden="false" customHeight="false" outlineLevel="0" collapsed="false">
      <c r="A9" s="99" t="s">
        <v>81</v>
      </c>
      <c r="B9" s="123" t="n">
        <v>2</v>
      </c>
      <c r="C9" s="123" t="n">
        <v>5</v>
      </c>
      <c r="D9" s="123" t="n">
        <v>6</v>
      </c>
      <c r="E9" s="99" t="s">
        <v>386</v>
      </c>
      <c r="I9" s="86"/>
    </row>
    <row r="10" customFormat="false" ht="15" hidden="false" customHeight="false" outlineLevel="0" collapsed="false">
      <c r="A10" s="99" t="s">
        <v>82</v>
      </c>
      <c r="B10" s="121" t="n">
        <v>-0.05</v>
      </c>
      <c r="C10" s="121" t="n">
        <v>-0.15</v>
      </c>
      <c r="D10" s="121" t="n">
        <v>-0.3</v>
      </c>
      <c r="E10" s="99" t="s">
        <v>387</v>
      </c>
      <c r="I10" s="86"/>
    </row>
    <row r="11" customFormat="false" ht="15" hidden="false" customHeight="false" outlineLevel="0" collapsed="false">
      <c r="A11" s="99" t="s">
        <v>83</v>
      </c>
      <c r="B11" s="123" t="n">
        <v>1</v>
      </c>
      <c r="C11" s="123" t="n">
        <v>6</v>
      </c>
      <c r="D11" s="123" t="n">
        <v>10</v>
      </c>
      <c r="E11" s="99" t="s">
        <v>386</v>
      </c>
      <c r="I11" s="86" t="s">
        <v>388</v>
      </c>
    </row>
    <row r="12" customFormat="false" ht="15" hidden="false" customHeight="false" outlineLevel="0" collapsed="false">
      <c r="A12" s="99" t="s">
        <v>55</v>
      </c>
      <c r="B12" s="123" t="n">
        <v>650</v>
      </c>
      <c r="C12" s="123" t="n">
        <v>630</v>
      </c>
      <c r="D12" s="123" t="n">
        <v>0</v>
      </c>
      <c r="E12" s="99" t="s">
        <v>387</v>
      </c>
      <c r="I12" s="86" t="s">
        <v>389</v>
      </c>
    </row>
    <row r="13" customFormat="false" ht="15" hidden="false" customHeight="false" outlineLevel="0" collapsed="false">
      <c r="A13" s="99" t="s">
        <v>390</v>
      </c>
      <c r="B13" s="123" t="n">
        <v>2</v>
      </c>
    </row>
    <row r="14" customFormat="false" ht="15" hidden="false" customHeight="false" outlineLevel="0" collapsed="false">
      <c r="A14" s="99" t="s">
        <v>103</v>
      </c>
      <c r="B14" s="124" t="n">
        <v>10000</v>
      </c>
    </row>
    <row r="15" customFormat="false" ht="15" hidden="false" customHeight="false" outlineLevel="0" collapsed="false">
      <c r="A15" s="99" t="s">
        <v>391</v>
      </c>
      <c r="B15" s="125" t="n">
        <v>0.05</v>
      </c>
    </row>
    <row r="17" customFormat="false" ht="15" hidden="false" customHeight="false" outlineLevel="0" collapsed="false">
      <c r="A17" s="8" t="s">
        <v>392</v>
      </c>
      <c r="B17" s="8"/>
      <c r="C17" s="8"/>
      <c r="D17" s="8"/>
      <c r="E17" s="8"/>
      <c r="F17" s="8"/>
      <c r="G17" s="8"/>
      <c r="H17" s="8"/>
      <c r="I17" s="8"/>
    </row>
    <row r="18" customFormat="false" ht="22.35" hidden="false" customHeight="false" outlineLevel="0" collapsed="false">
      <c r="A18" s="75" t="s">
        <v>393</v>
      </c>
      <c r="B18" s="75" t="s">
        <v>394</v>
      </c>
      <c r="C18" s="75" t="s">
        <v>18</v>
      </c>
      <c r="D18" s="75"/>
      <c r="E18" s="75"/>
      <c r="F18" s="75"/>
      <c r="G18" s="75"/>
      <c r="H18" s="75"/>
      <c r="I18" s="75" t="s">
        <v>385</v>
      </c>
    </row>
    <row r="19" customFormat="false" ht="15" hidden="false" customHeight="false" outlineLevel="0" collapsed="false">
      <c r="A19" s="126" t="n">
        <v>0</v>
      </c>
      <c r="B19" s="123" t="n">
        <v>100</v>
      </c>
      <c r="C19" s="122" t="n">
        <v>1.49</v>
      </c>
    </row>
    <row r="20" customFormat="false" ht="15" hidden="false" customHeight="false" outlineLevel="0" collapsed="false">
      <c r="A20" s="126" t="n">
        <v>5</v>
      </c>
      <c r="B20" s="123" t="n">
        <v>130</v>
      </c>
      <c r="C20" s="122" t="n">
        <v>1.45</v>
      </c>
    </row>
    <row r="21" customFormat="false" ht="15" hidden="false" customHeight="false" outlineLevel="0" collapsed="false">
      <c r="A21" s="126" t="n">
        <v>6</v>
      </c>
      <c r="B21" s="123" t="n">
        <v>150</v>
      </c>
      <c r="C21" s="122" t="n">
        <v>1.45</v>
      </c>
    </row>
    <row r="22" customFormat="false" ht="15" hidden="false" customHeight="false" outlineLevel="0" collapsed="false">
      <c r="A22" s="126" t="n">
        <v>7</v>
      </c>
      <c r="B22" s="123" t="n">
        <v>195</v>
      </c>
      <c r="C22" s="122" t="n">
        <v>1.4</v>
      </c>
    </row>
    <row r="23" customFormat="false" ht="15" hidden="false" customHeight="false" outlineLevel="0" collapsed="false">
      <c r="A23" s="99" t="s">
        <v>395</v>
      </c>
      <c r="B23" s="123" t="n">
        <v>9</v>
      </c>
    </row>
    <row r="24" customFormat="false" ht="15" hidden="false" customHeight="false" outlineLevel="0" collapsed="false">
      <c r="A24" s="99" t="s">
        <v>396</v>
      </c>
      <c r="B24" s="122" t="n">
        <v>1.4</v>
      </c>
      <c r="C24" s="122" t="n">
        <v>1.45</v>
      </c>
      <c r="D24" s="122" t="n">
        <v>1.49</v>
      </c>
    </row>
    <row r="25" customFormat="false" ht="15" hidden="false" customHeight="false" outlineLevel="0" collapsed="false">
      <c r="A25" s="99" t="s">
        <v>397</v>
      </c>
      <c r="B25" s="126" t="n">
        <v>6.5</v>
      </c>
      <c r="C25" s="126" t="n">
        <v>5</v>
      </c>
      <c r="D25" s="126" t="n">
        <v>3.5</v>
      </c>
    </row>
    <row r="27" customFormat="false" ht="15" hidden="false" customHeight="false" outlineLevel="0" collapsed="false">
      <c r="A27" s="8" t="s">
        <v>398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A28" s="99" t="s">
        <v>399</v>
      </c>
      <c r="B28" s="127" t="n">
        <v>4.331</v>
      </c>
    </row>
    <row r="29" customFormat="false" ht="15" hidden="false" customHeight="false" outlineLevel="0" collapsed="false">
      <c r="A29" s="99" t="s">
        <v>400</v>
      </c>
      <c r="B29" s="127" t="n">
        <v>21.655</v>
      </c>
    </row>
    <row r="30" customFormat="false" ht="15" hidden="false" customHeight="false" outlineLevel="0" collapsed="false">
      <c r="A30" s="99" t="s">
        <v>401</v>
      </c>
      <c r="B30" s="123" t="n">
        <v>4</v>
      </c>
    </row>
    <row r="31" customFormat="false" ht="15" hidden="false" customHeight="false" outlineLevel="0" collapsed="false">
      <c r="A31" s="99" t="s">
        <v>402</v>
      </c>
      <c r="B31" s="123" t="n">
        <v>21</v>
      </c>
    </row>
    <row r="32" customFormat="false" ht="15" hidden="false" customHeight="false" outlineLevel="0" collapsed="false">
      <c r="A32" s="99" t="s">
        <v>403</v>
      </c>
      <c r="B32" s="128" t="n">
        <v>30.4375</v>
      </c>
    </row>
    <row r="33" customFormat="false" ht="15" hidden="false" customHeight="false" outlineLevel="0" collapsed="false">
      <c r="A33" s="99" t="s">
        <v>404</v>
      </c>
      <c r="B33" s="122" t="n">
        <v>1.45</v>
      </c>
    </row>
    <row r="35" customFormat="false" ht="15" hidden="false" customHeight="false" outlineLevel="0" collapsed="false">
      <c r="A35" s="8" t="s">
        <v>405</v>
      </c>
      <c r="B35" s="8"/>
      <c r="C35" s="8"/>
      <c r="D35" s="8"/>
      <c r="E35" s="8"/>
      <c r="F35" s="8"/>
      <c r="G35" s="8"/>
      <c r="H35" s="8"/>
      <c r="I35" s="8"/>
    </row>
    <row r="36" customFormat="false" ht="15" hidden="false" customHeight="false" outlineLevel="0" collapsed="false">
      <c r="A36" s="99" t="s">
        <v>406</v>
      </c>
      <c r="B36" s="129" t="n">
        <v>46259</v>
      </c>
      <c r="I36" s="86"/>
    </row>
    <row r="37" customFormat="false" ht="15" hidden="false" customHeight="false" outlineLevel="0" collapsed="false">
      <c r="A37" s="99" t="s">
        <v>407</v>
      </c>
      <c r="B37" s="129" t="n">
        <v>45597</v>
      </c>
      <c r="I37" s="86"/>
    </row>
    <row r="38" customFormat="false" ht="15" hidden="false" customHeight="false" outlineLevel="0" collapsed="false">
      <c r="A38" s="99" t="s">
        <v>408</v>
      </c>
      <c r="B38" s="129" t="n">
        <v>46259</v>
      </c>
      <c r="I38" s="86" t="s">
        <v>409</v>
      </c>
    </row>
    <row r="39" customFormat="false" ht="15" hidden="false" customHeight="false" outlineLevel="0" collapsed="false">
      <c r="A39" s="99" t="s">
        <v>410</v>
      </c>
      <c r="B39" s="122" t="n">
        <v>1.25</v>
      </c>
      <c r="I39" s="86"/>
    </row>
    <row r="40" customFormat="false" ht="15" hidden="false" customHeight="false" outlineLevel="0" collapsed="false">
      <c r="A40" s="99" t="s">
        <v>411</v>
      </c>
      <c r="B40" s="123" t="n">
        <v>3</v>
      </c>
      <c r="I40" s="86" t="s">
        <v>412</v>
      </c>
    </row>
    <row r="41" customFormat="false" ht="15" hidden="false" customHeight="false" outlineLevel="0" collapsed="false">
      <c r="A41" s="99" t="s">
        <v>413</v>
      </c>
      <c r="B41" s="124" t="n">
        <v>30000</v>
      </c>
      <c r="I41" s="86" t="s">
        <v>414</v>
      </c>
    </row>
    <row r="42" customFormat="false" ht="15" hidden="false" customHeight="false" outlineLevel="0" collapsed="false">
      <c r="A42" s="99" t="s">
        <v>415</v>
      </c>
      <c r="B42" s="123" t="n">
        <v>30</v>
      </c>
      <c r="I42" s="86" t="s">
        <v>416</v>
      </c>
    </row>
    <row r="43" customFormat="false" ht="15" hidden="false" customHeight="false" outlineLevel="0" collapsed="false">
      <c r="A43" s="99" t="s">
        <v>417</v>
      </c>
      <c r="B43" s="123" t="n">
        <v>2</v>
      </c>
      <c r="I43" s="86" t="s">
        <v>418</v>
      </c>
    </row>
    <row r="44" customFormat="false" ht="15" hidden="false" customHeight="false" outlineLevel="0" collapsed="false">
      <c r="A44" s="99" t="s">
        <v>419</v>
      </c>
      <c r="B44" s="123" t="n">
        <v>5</v>
      </c>
      <c r="I44" s="86" t="s">
        <v>420</v>
      </c>
    </row>
    <row r="47" customFormat="false" ht="15" hidden="false" customHeight="false" outlineLevel="0" collapsed="false">
      <c r="A47" s="8" t="s">
        <v>421</v>
      </c>
      <c r="B47" s="8"/>
      <c r="C47" s="8"/>
      <c r="D47" s="8"/>
      <c r="E47" s="8"/>
      <c r="F47" s="8"/>
      <c r="G47" s="8"/>
      <c r="H47" s="8"/>
      <c r="I47" s="8"/>
    </row>
    <row r="48" customFormat="false" ht="32.8" hidden="false" customHeight="false" outlineLevel="0" collapsed="false">
      <c r="A48" s="75" t="s">
        <v>422</v>
      </c>
      <c r="B48" s="75" t="s">
        <v>423</v>
      </c>
      <c r="C48" s="75" t="s">
        <v>266</v>
      </c>
      <c r="D48" s="75" t="s">
        <v>267</v>
      </c>
      <c r="E48" s="75" t="s">
        <v>268</v>
      </c>
      <c r="F48" s="75" t="s">
        <v>269</v>
      </c>
      <c r="G48" s="75" t="s">
        <v>122</v>
      </c>
      <c r="H48" s="75" t="s">
        <v>424</v>
      </c>
      <c r="I48" s="75" t="s">
        <v>385</v>
      </c>
    </row>
    <row r="49" customFormat="false" ht="15" hidden="false" customHeight="false" outlineLevel="0" collapsed="false">
      <c r="A49" s="122" t="n">
        <v>0.6</v>
      </c>
      <c r="B49" s="83" t="s">
        <v>425</v>
      </c>
      <c r="C49" s="125" t="n">
        <v>0.9</v>
      </c>
      <c r="D49" s="122" t="n">
        <v>1</v>
      </c>
      <c r="E49" s="123" t="n">
        <v>0</v>
      </c>
      <c r="F49" s="123" t="n">
        <v>0</v>
      </c>
      <c r="G49" s="130" t="s">
        <v>426</v>
      </c>
      <c r="H49" s="130" t="s">
        <v>427</v>
      </c>
      <c r="I49" s="86" t="s">
        <v>428</v>
      </c>
    </row>
    <row r="50" customFormat="false" ht="15" hidden="false" customHeight="false" outlineLevel="0" collapsed="false">
      <c r="A50" s="122" t="n">
        <v>0.85</v>
      </c>
      <c r="B50" s="83" t="s">
        <v>429</v>
      </c>
      <c r="C50" s="125" t="n">
        <v>0.45</v>
      </c>
      <c r="D50" s="122" t="n">
        <v>1</v>
      </c>
      <c r="E50" s="123" t="n">
        <v>0</v>
      </c>
      <c r="F50" s="123" t="n">
        <v>0</v>
      </c>
      <c r="G50" s="130" t="s">
        <v>426</v>
      </c>
      <c r="H50" s="130" t="s">
        <v>427</v>
      </c>
      <c r="I50" s="86" t="s">
        <v>430</v>
      </c>
    </row>
    <row r="51" customFormat="false" ht="15" hidden="false" customHeight="false" outlineLevel="0" collapsed="false">
      <c r="A51" s="122" t="n">
        <v>1.15</v>
      </c>
      <c r="B51" s="83" t="s">
        <v>431</v>
      </c>
      <c r="C51" s="125" t="n">
        <v>0</v>
      </c>
      <c r="D51" s="122" t="n">
        <v>1</v>
      </c>
      <c r="E51" s="123" t="n">
        <v>0</v>
      </c>
      <c r="F51" s="123" t="n">
        <v>0</v>
      </c>
      <c r="G51" s="130" t="s">
        <v>426</v>
      </c>
      <c r="H51" s="130" t="s">
        <v>427</v>
      </c>
      <c r="I51" s="86" t="s">
        <v>432</v>
      </c>
    </row>
    <row r="52" customFormat="false" ht="15" hidden="false" customHeight="false" outlineLevel="0" collapsed="false">
      <c r="A52" s="122" t="n">
        <v>1.4</v>
      </c>
      <c r="B52" s="83" t="s">
        <v>433</v>
      </c>
      <c r="C52" s="125" t="n">
        <v>0</v>
      </c>
      <c r="D52" s="122" t="n">
        <v>0.85</v>
      </c>
      <c r="E52" s="123" t="n">
        <v>-1</v>
      </c>
      <c r="F52" s="123" t="n">
        <v>1</v>
      </c>
      <c r="G52" s="130" t="s">
        <v>426</v>
      </c>
      <c r="H52" s="130" t="s">
        <v>427</v>
      </c>
      <c r="I52" s="86"/>
    </row>
    <row r="53" customFormat="false" ht="15" hidden="false" customHeight="false" outlineLevel="0" collapsed="false">
      <c r="A53" s="122" t="n">
        <v>1.75</v>
      </c>
      <c r="B53" s="83" t="s">
        <v>434</v>
      </c>
      <c r="C53" s="125" t="n">
        <v>0</v>
      </c>
      <c r="D53" s="122" t="n">
        <v>0.7</v>
      </c>
      <c r="E53" s="123" t="n">
        <v>-1</v>
      </c>
      <c r="F53" s="123" t="n">
        <v>1</v>
      </c>
      <c r="G53" s="130" t="s">
        <v>25</v>
      </c>
      <c r="H53" s="130" t="s">
        <v>427</v>
      </c>
      <c r="I53" s="86"/>
    </row>
    <row r="54" customFormat="false" ht="15" hidden="false" customHeight="false" outlineLevel="0" collapsed="false">
      <c r="A54" s="122" t="n">
        <v>999</v>
      </c>
      <c r="B54" s="83" t="s">
        <v>435</v>
      </c>
      <c r="C54" s="125" t="n">
        <v>0</v>
      </c>
      <c r="D54" s="122" t="n">
        <v>0.55</v>
      </c>
      <c r="E54" s="123" t="n">
        <v>-2</v>
      </c>
      <c r="F54" s="123" t="n">
        <v>1</v>
      </c>
      <c r="G54" s="130" t="s">
        <v>25</v>
      </c>
      <c r="H54" s="130" t="s">
        <v>436</v>
      </c>
      <c r="I54" s="86" t="s">
        <v>437</v>
      </c>
    </row>
    <row r="55" customFormat="false" ht="15" hidden="false" customHeight="false" outlineLevel="0" collapsed="false">
      <c r="A55" s="86" t="s">
        <v>438</v>
      </c>
    </row>
    <row r="57" customFormat="false" ht="15" hidden="false" customHeight="false" outlineLevel="0" collapsed="false">
      <c r="A57" s="8" t="s">
        <v>439</v>
      </c>
      <c r="B57" s="8"/>
      <c r="C57" s="8"/>
      <c r="D57" s="8"/>
      <c r="E57" s="8"/>
      <c r="F57" s="8"/>
      <c r="G57" s="8"/>
      <c r="H57" s="8"/>
      <c r="I57" s="8"/>
    </row>
    <row r="58" customFormat="false" ht="15" hidden="false" customHeight="false" outlineLevel="0" collapsed="false">
      <c r="A58" s="75" t="s">
        <v>74</v>
      </c>
      <c r="B58" s="75" t="s">
        <v>440</v>
      </c>
      <c r="C58" s="75" t="s">
        <v>441</v>
      </c>
      <c r="D58" s="75" t="s">
        <v>442</v>
      </c>
      <c r="E58" s="75" t="s">
        <v>443</v>
      </c>
      <c r="F58" s="75" t="s">
        <v>444</v>
      </c>
      <c r="G58" s="75"/>
      <c r="H58" s="75"/>
      <c r="I58" s="75"/>
    </row>
    <row r="59" customFormat="false" ht="15" hidden="false" customHeight="false" outlineLevel="0" collapsed="false">
      <c r="A59" s="99" t="s">
        <v>336</v>
      </c>
      <c r="B59" s="130" t="s">
        <v>445</v>
      </c>
      <c r="C59" s="130" t="s">
        <v>446</v>
      </c>
      <c r="D59" s="130" t="s">
        <v>446</v>
      </c>
      <c r="E59" s="130" t="s">
        <v>445</v>
      </c>
      <c r="F59" s="93" t="n">
        <f aca="false">COUNTIF('Historical Data'!$D$2:$D$9,A59)</f>
        <v>2</v>
      </c>
    </row>
    <row r="60" customFormat="false" ht="15" hidden="false" customHeight="false" outlineLevel="0" collapsed="false">
      <c r="A60" s="99" t="s">
        <v>291</v>
      </c>
      <c r="B60" s="130" t="s">
        <v>445</v>
      </c>
      <c r="C60" s="130" t="s">
        <v>445</v>
      </c>
      <c r="D60" s="130" t="s">
        <v>445</v>
      </c>
      <c r="E60" s="130" t="s">
        <v>446</v>
      </c>
      <c r="F60" s="93" t="n">
        <f aca="false">COUNTIF('Historical Data'!$D$2:$D$9,A60)</f>
        <v>1</v>
      </c>
    </row>
    <row r="61" customFormat="false" ht="15" hidden="false" customHeight="false" outlineLevel="0" collapsed="false">
      <c r="A61" s="99" t="s">
        <v>349</v>
      </c>
      <c r="B61" s="130" t="s">
        <v>446</v>
      </c>
      <c r="C61" s="130" t="s">
        <v>445</v>
      </c>
      <c r="D61" s="130" t="s">
        <v>445</v>
      </c>
      <c r="E61" s="130" t="s">
        <v>445</v>
      </c>
      <c r="F61" s="93" t="n">
        <f aca="false">COUNTIF('Historical Data'!$D$2:$D$9,A61)</f>
        <v>1</v>
      </c>
    </row>
    <row r="62" customFormat="false" ht="15" hidden="false" customHeight="false" outlineLevel="0" collapsed="false">
      <c r="A62" s="99" t="s">
        <v>355</v>
      </c>
      <c r="B62" s="130" t="s">
        <v>446</v>
      </c>
      <c r="C62" s="130" t="s">
        <v>445</v>
      </c>
      <c r="D62" s="130" t="s">
        <v>445</v>
      </c>
      <c r="E62" s="130" t="s">
        <v>445</v>
      </c>
      <c r="F62" s="93" t="n">
        <f aca="false">COUNTIF('Historical Data'!$D$2:$D$9,A62)</f>
        <v>1</v>
      </c>
    </row>
    <row r="63" customFormat="false" ht="15" hidden="false" customHeight="false" outlineLevel="0" collapsed="false">
      <c r="A63" s="99" t="s">
        <v>447</v>
      </c>
      <c r="B63" s="130" t="s">
        <v>445</v>
      </c>
      <c r="C63" s="130" t="s">
        <v>445</v>
      </c>
      <c r="D63" s="130" t="s">
        <v>445</v>
      </c>
      <c r="E63" s="130" t="s">
        <v>445</v>
      </c>
      <c r="F63" s="93" t="n">
        <f aca="false">COUNTIF('Historical Data'!$D$2:$D$9,A63)</f>
        <v>0</v>
      </c>
    </row>
    <row r="64" customFormat="false" ht="15" hidden="false" customHeight="false" outlineLevel="0" collapsed="false">
      <c r="A64" s="99" t="s">
        <v>361</v>
      </c>
      <c r="B64" s="130" t="s">
        <v>446</v>
      </c>
      <c r="C64" s="130" t="s">
        <v>446</v>
      </c>
      <c r="D64" s="130" t="s">
        <v>445</v>
      </c>
      <c r="E64" s="130" t="s">
        <v>445</v>
      </c>
      <c r="F64" s="93" t="n">
        <f aca="false">COUNTIF('Historical Data'!$D$2:$D$9,A64)</f>
        <v>1</v>
      </c>
    </row>
    <row r="65" customFormat="false" ht="15" hidden="false" customHeight="false" outlineLevel="0" collapsed="false">
      <c r="A65" s="99" t="s">
        <v>367</v>
      </c>
      <c r="B65" s="130" t="s">
        <v>446</v>
      </c>
      <c r="C65" s="130" t="s">
        <v>446</v>
      </c>
      <c r="D65" s="130" t="s">
        <v>445</v>
      </c>
      <c r="E65" s="130" t="s">
        <v>445</v>
      </c>
      <c r="F65" s="93" t="n">
        <f aca="false">COUNTIF('Historical Data'!$D$2:$D$9,A65)</f>
        <v>1</v>
      </c>
    </row>
    <row r="66" customFormat="false" ht="15" hidden="false" customHeight="false" outlineLevel="0" collapsed="false">
      <c r="A66" s="99" t="s">
        <v>448</v>
      </c>
      <c r="B66" s="130" t="s">
        <v>446</v>
      </c>
      <c r="C66" s="130" t="s">
        <v>446</v>
      </c>
      <c r="D66" s="130" t="s">
        <v>445</v>
      </c>
      <c r="E66" s="130" t="s">
        <v>445</v>
      </c>
      <c r="F66" s="93" t="n">
        <f aca="false">COUNTIF('Historical Data'!$D$2:$D$9,A66)</f>
        <v>0</v>
      </c>
    </row>
    <row r="67" customFormat="false" ht="15" hidden="false" customHeight="false" outlineLevel="0" collapsed="false">
      <c r="A67" s="99" t="s">
        <v>449</v>
      </c>
      <c r="B67" s="130" t="s">
        <v>445</v>
      </c>
      <c r="C67" s="130" t="s">
        <v>446</v>
      </c>
      <c r="D67" s="130" t="s">
        <v>446</v>
      </c>
      <c r="E67" s="130" t="s">
        <v>445</v>
      </c>
      <c r="F67" s="93" t="n">
        <f aca="false">COUNTIF('Historical Data'!$D$2:$D$9,A67)</f>
        <v>0</v>
      </c>
    </row>
    <row r="68" customFormat="false" ht="15" hidden="false" customHeight="false" outlineLevel="0" collapsed="false">
      <c r="A68" s="99" t="s">
        <v>376</v>
      </c>
      <c r="B68" s="130" t="s">
        <v>445</v>
      </c>
      <c r="C68" s="130" t="s">
        <v>446</v>
      </c>
      <c r="D68" s="130" t="s">
        <v>446</v>
      </c>
      <c r="E68" s="130" t="s">
        <v>445</v>
      </c>
      <c r="F68" s="93" t="n">
        <f aca="false">COUNTIF('Historical Data'!$D$2:$D$9,A68)</f>
        <v>1</v>
      </c>
    </row>
    <row r="69" customFormat="false" ht="15" hidden="false" customHeight="false" outlineLevel="0" collapsed="false">
      <c r="A69" s="99" t="s">
        <v>450</v>
      </c>
      <c r="B69" s="130" t="s">
        <v>446</v>
      </c>
      <c r="C69" s="130" t="s">
        <v>445</v>
      </c>
      <c r="D69" s="130" t="s">
        <v>445</v>
      </c>
      <c r="E69" s="130" t="s">
        <v>445</v>
      </c>
      <c r="F69" s="93" t="n">
        <f aca="false">COUNTIF('Historical Data'!$D$2:$D$9,A69)</f>
        <v>0</v>
      </c>
    </row>
    <row r="72" customFormat="false" ht="15" hidden="false" customHeight="false" outlineLevel="0" collapsed="false">
      <c r="A72" s="8" t="s">
        <v>451</v>
      </c>
      <c r="B72" s="8"/>
      <c r="C72" s="8"/>
      <c r="D72" s="8"/>
      <c r="E72" s="8"/>
      <c r="F72" s="8"/>
      <c r="G72" s="8"/>
      <c r="H72" s="8"/>
      <c r="I72" s="8"/>
    </row>
    <row r="73" customFormat="false" ht="15" hidden="false" customHeight="false" outlineLevel="0" collapsed="false">
      <c r="A73" s="75" t="s">
        <v>452</v>
      </c>
      <c r="B73" s="75" t="s">
        <v>453</v>
      </c>
      <c r="C73" s="75" t="s">
        <v>454</v>
      </c>
      <c r="D73" s="75"/>
      <c r="E73" s="75"/>
      <c r="F73" s="75"/>
      <c r="G73" s="75"/>
      <c r="H73" s="75"/>
      <c r="I73" s="75" t="s">
        <v>385</v>
      </c>
    </row>
    <row r="74" customFormat="false" ht="15" hidden="false" customHeight="false" outlineLevel="0" collapsed="false">
      <c r="A74" s="99" t="s">
        <v>455</v>
      </c>
      <c r="B74" s="130" t="s">
        <v>436</v>
      </c>
      <c r="I74" s="86"/>
    </row>
    <row r="75" customFormat="false" ht="15" hidden="false" customHeight="false" outlineLevel="0" collapsed="false">
      <c r="A75" s="99" t="s">
        <v>456</v>
      </c>
      <c r="B75" s="130" t="s">
        <v>436</v>
      </c>
      <c r="I75" s="86"/>
    </row>
    <row r="76" customFormat="false" ht="15" hidden="false" customHeight="false" outlineLevel="0" collapsed="false">
      <c r="A76" s="99" t="s">
        <v>457</v>
      </c>
      <c r="B76" s="130" t="s">
        <v>436</v>
      </c>
      <c r="C76" s="123" t="n">
        <v>4</v>
      </c>
      <c r="I76" s="86" t="s">
        <v>458</v>
      </c>
    </row>
    <row r="77" customFormat="false" ht="15" hidden="false" customHeight="false" outlineLevel="0" collapsed="false">
      <c r="A77" s="99" t="s">
        <v>459</v>
      </c>
      <c r="B77" s="130" t="s">
        <v>436</v>
      </c>
      <c r="C77" s="123" t="n">
        <v>3</v>
      </c>
      <c r="I77" s="86"/>
    </row>
    <row r="78" customFormat="false" ht="15" hidden="false" customHeight="false" outlineLevel="0" collapsed="false">
      <c r="A78" s="99" t="s">
        <v>460</v>
      </c>
      <c r="B78" s="130" t="s">
        <v>436</v>
      </c>
      <c r="I78" s="86"/>
    </row>
    <row r="79" customFormat="false" ht="15" hidden="false" customHeight="false" outlineLevel="0" collapsed="false">
      <c r="A79" s="99" t="s">
        <v>461</v>
      </c>
      <c r="B79" s="130" t="s">
        <v>436</v>
      </c>
      <c r="I79" s="86"/>
    </row>
    <row r="80" customFormat="false" ht="15" hidden="false" customHeight="false" outlineLevel="0" collapsed="false">
      <c r="A80" s="99" t="s">
        <v>462</v>
      </c>
      <c r="B80" s="130" t="s">
        <v>427</v>
      </c>
      <c r="I80" s="86" t="s">
        <v>463</v>
      </c>
    </row>
  </sheetData>
  <mergeCells count="7">
    <mergeCell ref="A3:I3"/>
    <mergeCell ref="A17:I17"/>
    <mergeCell ref="A27:I27"/>
    <mergeCell ref="A35:I35"/>
    <mergeCell ref="A47:I47"/>
    <mergeCell ref="A57:I57"/>
    <mergeCell ref="A72:I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4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B1" s="87" t="s">
        <v>464</v>
      </c>
    </row>
    <row r="2" customFormat="false" ht="15" hidden="false" customHeight="false" outlineLevel="0" collapsed="false">
      <c r="B2" s="109" t="str">
        <f aca="false">COUNTIF(C4:C43,"FAIL")&amp;" FAIL  |  "&amp;COUNTIF(C4:C43,"WARN")&amp;" WARN  |  "&amp;COUNTIF(C4:C43,"OK")&amp;" OK"</f>
        <v>0 FAIL  |  5 WARN  |  27 OK</v>
      </c>
    </row>
    <row r="3" customFormat="false" ht="15" hidden="false" customHeight="false" outlineLevel="0" collapsed="false">
      <c r="A3" s="75"/>
      <c r="B3" s="75" t="s">
        <v>465</v>
      </c>
      <c r="C3" s="75" t="s">
        <v>466</v>
      </c>
      <c r="D3" s="75" t="s">
        <v>118</v>
      </c>
    </row>
    <row r="4" customFormat="false" ht="15" hidden="false" customHeight="false" outlineLevel="0" collapsed="false">
      <c r="B4" s="8" t="s">
        <v>467</v>
      </c>
      <c r="C4" s="8"/>
      <c r="D4" s="8"/>
    </row>
    <row r="5" customFormat="false" ht="15" hidden="false" customHeight="false" outlineLevel="0" collapsed="false">
      <c r="B5" s="99" t="s">
        <v>468</v>
      </c>
      <c r="C5" s="83" t="str">
        <f aca="false">IF(Deal!$C$24=0,"WARN","OK")</f>
        <v>OK</v>
      </c>
      <c r="D5" s="35" t="str">
        <f aca="false">"months entered: "&amp;COUNT(Deal!$C$12:$C$23)</f>
        <v>months entered: 4</v>
      </c>
    </row>
    <row r="6" customFormat="false" ht="15" hidden="false" customHeight="false" outlineLevel="0" collapsed="false">
      <c r="B6" s="99" t="s">
        <v>469</v>
      </c>
      <c r="C6" s="83" t="str">
        <f aca="false">IF(Deal!$D$24=0,"WARN","OK")</f>
        <v>OK</v>
      </c>
    </row>
    <row r="7" customFormat="false" ht="15" hidden="false" customHeight="false" outlineLevel="0" collapsed="false">
      <c r="B7" s="99" t="s">
        <v>470</v>
      </c>
      <c r="C7" s="83" t="str">
        <f aca="false">IF(Deal!$K$15="","WARN","OK")</f>
        <v>OK</v>
      </c>
      <c r="D7" s="35" t="str">
        <f aca="false">"required for any cohort tighter than the book"</f>
        <v>required for any cohort tighter than the book</v>
      </c>
    </row>
    <row r="8" customFormat="false" ht="15" hidden="false" customHeight="false" outlineLevel="0" collapsed="false">
      <c r="B8" s="99" t="s">
        <v>471</v>
      </c>
      <c r="C8" s="83" t="str">
        <f aca="false">IF(Deal!$K$12="","WARN",IF(COUNTIF('Historical Data'!$K$2:$K$9,Deal!$K$12)=0,"WARN","OK"))</f>
        <v>OK</v>
      </c>
    </row>
    <row r="9" customFormat="false" ht="15" hidden="false" customHeight="false" outlineLevel="0" collapsed="false">
      <c r="B9" s="99" t="s">
        <v>472</v>
      </c>
      <c r="C9" s="83" t="str">
        <f aca="false">IF(Deal!$K$13="","WARN",IF(COUNTIF('Historical Data'!$Y$2:$Y$9,Deal!$K$13)=0,"WARN","OK"))</f>
        <v>OK</v>
      </c>
    </row>
    <row r="10" customFormat="false" ht="15" hidden="false" customHeight="false" outlineLevel="0" collapsed="false">
      <c r="B10" s="99" t="s">
        <v>473</v>
      </c>
      <c r="C10" s="83" t="str">
        <f aca="false">IF(Deal!$K$16="","WARN","OK")</f>
        <v>OK</v>
      </c>
      <c r="D10" s="35" t="str">
        <f aca="false">"blank = not scored"</f>
        <v>blank = not scored</v>
      </c>
    </row>
    <row r="11" customFormat="false" ht="15" hidden="false" customHeight="false" outlineLevel="0" collapsed="false">
      <c r="B11" s="99" t="s">
        <v>474</v>
      </c>
      <c r="C11" s="83" t="str">
        <f aca="false">IF(Deal!$C$6="","OK",IF(ISNUMBER(MATCH(Deal!$C$6,Controls!$B$24:$D$24,0)),"OK","WARN"))</f>
        <v>OK</v>
      </c>
    </row>
    <row r="12" customFormat="false" ht="15" hidden="false" customHeight="false" outlineLevel="0" collapsed="false">
      <c r="B12" s="8" t="s">
        <v>475</v>
      </c>
      <c r="C12" s="8"/>
      <c r="D12" s="8"/>
    </row>
    <row r="13" customFormat="false" ht="15" hidden="false" customHeight="false" outlineLevel="0" collapsed="false">
      <c r="B13" s="99" t="s">
        <v>476</v>
      </c>
      <c r="C13" s="83" t="str">
        <f aca="false">IF(SUMPRODUCT(--ISERROR(Deal!$B$1:$M$92))=0,"OK","FAIL")</f>
        <v>OK</v>
      </c>
      <c r="D13" s="35" t="str">
        <f aca="false">SUMPRODUCT(--ISERROR(Deal!$B$1:$M$92))&amp;" error cells"</f>
        <v>0 error cells</v>
      </c>
    </row>
    <row r="14" customFormat="false" ht="15" hidden="false" customHeight="false" outlineLevel="0" collapsed="false">
      <c r="B14" s="99" t="s">
        <v>477</v>
      </c>
      <c r="C14" s="83" t="str">
        <f aca="false">IF(SUMPRODUCT(--ISERROR('Historical Data'!$Y$2:$Y$9))+SUMPRODUCT(--ISERROR('Historical Data'!$AA$2:$AA$9))+SUMPRODUCT(--ISERROR('Historical Data'!$BC$2:$BC$9))+SUMPRODUCT(--ISERROR('Historical Data'!$BE$2:$BE$9))=0,"OK","FAIL")</f>
        <v>OK</v>
      </c>
    </row>
    <row r="15" customFormat="false" ht="15" hidden="false" customHeight="false" outlineLevel="0" collapsed="false">
      <c r="B15" s="99" t="s">
        <v>478</v>
      </c>
      <c r="C15" s="83" t="str">
        <f aca="false">IF(SUMPRODUCT(--ISERROR('Historical Score'!$A$1:$AA$56))=0,"OK","FAIL")</f>
        <v>OK</v>
      </c>
    </row>
    <row r="16" customFormat="false" ht="15" hidden="false" customHeight="false" outlineLevel="0" collapsed="false">
      <c r="B16" s="99" t="s">
        <v>479</v>
      </c>
      <c r="C16" s="83" t="str">
        <f aca="false">IF(SUMPRODUCT(--ISERROR('Offer Engine'!$B$1:$G$41))+SUMPRODUCT(--ISERROR('Decision Summary'!$B$1:$D$33))=0,"OK","FAIL")</f>
        <v>OK</v>
      </c>
    </row>
    <row r="17" customFormat="false" ht="15" hidden="false" customHeight="false" outlineLevel="0" collapsed="false">
      <c r="B17" s="8" t="s">
        <v>480</v>
      </c>
      <c r="C17" s="8"/>
      <c r="D17" s="8"/>
    </row>
    <row r="18" customFormat="false" ht="15" hidden="false" customHeight="false" outlineLevel="0" collapsed="false">
      <c r="B18" s="99" t="s">
        <v>191</v>
      </c>
      <c r="C18" s="83" t="str">
        <f aca="false">'Offer Engine'!$E$36</f>
        <v>OK</v>
      </c>
    </row>
    <row r="19" customFormat="false" ht="15" hidden="false" customHeight="false" outlineLevel="0" collapsed="false">
      <c r="B19" s="99" t="s">
        <v>481</v>
      </c>
      <c r="C19" s="83" t="str">
        <f aca="false">'Offer Engine'!$E$37</f>
        <v>OK</v>
      </c>
    </row>
    <row r="20" customFormat="false" ht="15" hidden="false" customHeight="false" outlineLevel="0" collapsed="false">
      <c r="B20" s="99" t="s">
        <v>482</v>
      </c>
      <c r="C20" s="83" t="str">
        <f aca="false">'Offer Engine'!$E$38</f>
        <v>OK</v>
      </c>
    </row>
    <row r="21" customFormat="false" ht="15" hidden="false" customHeight="false" outlineLevel="0" collapsed="false">
      <c r="B21" s="99" t="s">
        <v>194</v>
      </c>
      <c r="C21" s="83" t="str">
        <f aca="false">'Offer Engine'!$E$39</f>
        <v>OK</v>
      </c>
    </row>
    <row r="22" customFormat="false" ht="15" hidden="false" customHeight="false" outlineLevel="0" collapsed="false">
      <c r="B22" s="99" t="s">
        <v>483</v>
      </c>
      <c r="C22" s="83" t="str">
        <f aca="false">'Offer Engine'!$E$40</f>
        <v>OK</v>
      </c>
    </row>
    <row r="23" customFormat="false" ht="15" hidden="false" customHeight="false" outlineLevel="0" collapsed="false">
      <c r="B23" s="8" t="s">
        <v>484</v>
      </c>
      <c r="C23" s="8"/>
      <c r="D23" s="8"/>
    </row>
    <row r="24" customFormat="false" ht="15" hidden="false" customHeight="false" outlineLevel="0" collapsed="false">
      <c r="B24" s="99" t="s">
        <v>485</v>
      </c>
      <c r="C24" s="83" t="str">
        <f aca="false">IF('Historical Score'!$C$29=7,"WARN","OK")</f>
        <v>OK</v>
      </c>
      <c r="D24" s="35" t="str">
        <f aca="false">IF('Historical Score'!$C$29=7,"book baseline - modifier Neutral",'Historical Score'!$C$30)</f>
        <v>T6: new/renewal only</v>
      </c>
    </row>
    <row r="25" customFormat="false" ht="15" hidden="false" customHeight="false" outlineLevel="0" collapsed="false">
      <c r="B25" s="99" t="s">
        <v>98</v>
      </c>
      <c r="C25" s="83" t="str">
        <f aca="false">Deal!$F$57</f>
        <v>GREEN</v>
      </c>
      <c r="D25" s="35" t="str">
        <f aca="false">Deal!$C$57&amp;" seasoned deals"</f>
        <v>5 seasoned deals</v>
      </c>
    </row>
    <row r="26" customFormat="false" ht="15" hidden="false" customHeight="false" outlineLevel="0" collapsed="false">
      <c r="B26" s="99" t="s">
        <v>486</v>
      </c>
      <c r="C26" s="83" t="str">
        <f aca="false">IF('Historical Score'!$C$55="No","OK","WARN")</f>
        <v>OK</v>
      </c>
      <c r="D26" s="35" t="str">
        <f aca="false">'Historical Score'!$C$55</f>
        <v>No</v>
      </c>
    </row>
    <row r="27" customFormat="false" ht="15" hidden="false" customHeight="false" outlineLevel="0" collapsed="false">
      <c r="B27" s="99" t="s">
        <v>487</v>
      </c>
      <c r="C27" s="83" t="str">
        <f aca="false">IF('Historical Score'!$C$29=1,"OK","WARN")</f>
        <v>WARN</v>
      </c>
      <c r="D27" s="35" t="str">
        <f aca="false">'Historical Score'!$C$56</f>
        <v>Tighter tiers 1-5 too small; </v>
      </c>
    </row>
    <row r="28" customFormat="false" ht="15" hidden="false" customHeight="false" outlineLevel="0" collapsed="false">
      <c r="B28" s="8" t="s">
        <v>488</v>
      </c>
      <c r="C28" s="8"/>
      <c r="D28" s="8"/>
    </row>
    <row r="29" customFormat="false" ht="15" hidden="false" customHeight="false" outlineLevel="0" collapsed="false">
      <c r="B29" s="99" t="s">
        <v>489</v>
      </c>
      <c r="C29" s="83" t="str">
        <f aca="false">"OK"</f>
        <v>OK</v>
      </c>
      <c r="D29" s="35" t="str">
        <f aca="false">COUNTA('Historical Data'!$A$2:$A$9)&amp;" deals"</f>
        <v>8 deals</v>
      </c>
    </row>
    <row r="30" customFormat="false" ht="15" hidden="false" customHeight="false" outlineLevel="0" collapsed="false">
      <c r="B30" s="99" t="s">
        <v>490</v>
      </c>
      <c r="C30" s="83" t="str">
        <f aca="false">IF(SUMPRODUCT(1-'Historical Data'!$AI$2:$AI$9)=0,"OK","FAIL")</f>
        <v>OK</v>
      </c>
      <c r="D30" s="35" t="str">
        <f aca="false">SUMPRODUCT(1-'Historical Data'!$AI$2:$AI$9)&amp;" deals"</f>
        <v>0 deals</v>
      </c>
    </row>
    <row r="31" customFormat="false" ht="15" hidden="false" customHeight="false" outlineLevel="0" collapsed="false">
      <c r="B31" s="99" t="s">
        <v>491</v>
      </c>
      <c r="C31" s="83" t="str">
        <f aca="false">IF(SUMPRODUCT(1-'Historical Data'!$AM$2:$AM$9)&gt;0,"WARN","OK")</f>
        <v>WARN</v>
      </c>
      <c r="D31" s="35" t="str">
        <f aca="false">SUMPRODUCT(1-'Historical Data'!$AM$2:$AM$9)&amp;" deals - excluded from adv/rev averages"</f>
        <v>1 deals - excluded from adv/rev averages</v>
      </c>
    </row>
    <row r="32" customFormat="false" ht="15" hidden="false" customHeight="false" outlineLevel="0" collapsed="false">
      <c r="B32" s="99" t="s">
        <v>492</v>
      </c>
      <c r="C32" s="83" t="str">
        <f aca="false">"WARN"</f>
        <v>WARN</v>
      </c>
      <c r="D32" s="35" t="str">
        <f aca="false">COUNTIF('Historical Data'!$Q$2:$Q$9,"&lt;=0")&amp;" deals"</f>
        <v>1 deals</v>
      </c>
    </row>
    <row r="33" customFormat="false" ht="15" hidden="false" customHeight="false" outlineLevel="0" collapsed="false">
      <c r="B33" s="99" t="s">
        <v>493</v>
      </c>
      <c r="C33" s="83" t="str">
        <f aca="false">IF(SUMPRODUCT('Historical Data'!$AH$2:$AH$9*('Historical Data'!$S$2:$S$9&gt;=0.999))=0,"OK","WARN")</f>
        <v>OK</v>
      </c>
      <c r="D33" s="35" t="str">
        <f aca="false">SUMPRODUCT('Historical Data'!$AH$2:$AH$9*('Historical Data'!$S$2:$S$9&gt;=0.999))&amp;" deals"</f>
        <v>0 deals</v>
      </c>
    </row>
    <row r="34" customFormat="false" ht="15" hidden="false" customHeight="false" outlineLevel="0" collapsed="false">
      <c r="B34" s="99" t="s">
        <v>494</v>
      </c>
      <c r="C34" s="83" t="str">
        <f aca="false">"WARN"</f>
        <v>WARN</v>
      </c>
      <c r="D34" s="35" t="str">
        <f aca="false">SUMPRODUCT('Historical Data'!$AH$2:$AH$9*('Historical Data'!$AB$2:$AB$9&gt;1.5*'Historical Data'!$AA$2:$AA$9))&amp;" deals"</f>
        <v>0 deals</v>
      </c>
    </row>
    <row r="35" customFormat="false" ht="15" hidden="false" customHeight="false" outlineLevel="0" collapsed="false">
      <c r="B35" s="99" t="s">
        <v>495</v>
      </c>
      <c r="C35" s="83" t="str">
        <f aca="false">"WARN"</f>
        <v>WARN</v>
      </c>
      <c r="D35" s="35" t="str">
        <f aca="false">SUMPRODUCT(('Historical Data'!$T$2:$T$9&gt;=12)*('Historical Data'!$T$2:$T$9&gt;39))&amp;" deals"</f>
        <v>0 deals</v>
      </c>
    </row>
    <row r="36" customFormat="false" ht="15" hidden="false" customHeight="false" outlineLevel="0" collapsed="false">
      <c r="B36" s="99" t="s">
        <v>496</v>
      </c>
      <c r="C36" s="83" t="str">
        <f aca="false">IF(SUMPRODUCT(--(ABS('Historical Data'!$P$2:$P$9-'Historical Data'!$N$2:$N$9*'Historical Data'!$M$2:$M$9)&gt;1))=0,"OK","WARN")</f>
        <v>OK</v>
      </c>
      <c r="D36" s="35" t="str">
        <f aca="false">SUMPRODUCT(--(ABS('Historical Data'!$P$2:$P$9-'Historical Data'!$N$2:$N$9*'Historical Data'!$M$2:$M$9)&gt;1))&amp;" mismatches"</f>
        <v>0 mismatches</v>
      </c>
    </row>
    <row r="37" customFormat="false" ht="15" hidden="false" customHeight="false" outlineLevel="0" collapsed="false">
      <c r="B37" s="8" t="s">
        <v>497</v>
      </c>
      <c r="C37" s="8"/>
      <c r="D37" s="8"/>
    </row>
    <row r="38" customFormat="false" ht="15" hidden="false" customHeight="false" outlineLevel="0" collapsed="false">
      <c r="B38" s="99" t="s">
        <v>498</v>
      </c>
      <c r="C38" s="83" t="str">
        <f aca="false">"OK"</f>
        <v>OK</v>
      </c>
      <c r="D38" s="35" t="str">
        <f aca="false">TEXT(SUM('Historical Data'!$N$2:$N$9),"$#,##0")&amp;"  (full book: $34,481,626)"</f>
        <v>$200,000  (full book: $34,481,626)</v>
      </c>
    </row>
    <row r="39" customFormat="false" ht="15" hidden="false" customHeight="false" outlineLevel="0" collapsed="false">
      <c r="B39" s="99" t="s">
        <v>499</v>
      </c>
      <c r="C39" s="83" t="str">
        <f aca="false">"OK"</f>
        <v>OK</v>
      </c>
      <c r="D39" s="35" t="str">
        <f aca="false">TEXT(SUM('Historical Data'!$Q$2:$Q$9),"$#,##0")&amp;"  (full book: $27,438,510)"</f>
        <v>$143,500  (full book: $27,438,510)</v>
      </c>
    </row>
    <row r="40" customFormat="false" ht="15" hidden="false" customHeight="false" outlineLevel="0" collapsed="false">
      <c r="B40" s="99" t="s">
        <v>286</v>
      </c>
      <c r="C40" s="83" t="str">
        <f aca="false">"OK"</f>
        <v>OK</v>
      </c>
      <c r="D40" s="35" t="str">
        <f aca="false">TEXT(SUMPRODUCT('Historical Data'!$AK$2:$AK$9),"$#,##0")&amp;"  (full book: $5,270,163)"</f>
        <v>$61,500  (full book: $5,270,163)</v>
      </c>
    </row>
    <row r="41" customFormat="false" ht="15" hidden="false" customHeight="false" outlineLevel="0" collapsed="false">
      <c r="B41" s="99" t="s">
        <v>500</v>
      </c>
      <c r="C41" s="83" t="str">
        <f aca="false">IF(ABS('Historical Score'!$G$20-SUMPRODUCT('Historical Data'!$AP$2:$AP$9*'Historical Data'!$N$2:$N$9))&lt;1,"OK","FAIL")</f>
        <v>OK</v>
      </c>
    </row>
    <row r="42" customFormat="false" ht="15" hidden="false" customHeight="false" outlineLevel="0" collapsed="false">
      <c r="B42" s="99" t="s">
        <v>501</v>
      </c>
      <c r="C42" s="83" t="str">
        <f aca="false">IF(MIN(400,INDEX('Historical Score'!$D$14:$D$20,'Historical Score'!$C$29))=SUMPRODUCT(--('Comparable Deals'!$B$5:$B$404&lt;&gt;"")),"OK","FAIL")</f>
        <v>OK</v>
      </c>
      <c r="D42" s="35" t="str">
        <f aca="false">SUMPRODUCT(--('Comparable Deals'!$B$5:$B$404&lt;&gt;""))&amp;" listed"</f>
        <v>6 listed</v>
      </c>
    </row>
  </sheetData>
  <mergeCells count="6">
    <mergeCell ref="B4:D4"/>
    <mergeCell ref="B12:D12"/>
    <mergeCell ref="B17:D17"/>
    <mergeCell ref="B23:D23"/>
    <mergeCell ref="B28:D28"/>
    <mergeCell ref="B37:D37"/>
  </mergeCells>
  <conditionalFormatting sqref="C4:C43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"WARN"</formula>
    </cfRule>
    <cfRule type="cellIs" priority="4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32"/>
    <col collapsed="false" customWidth="true" hidden="false" outlineLevel="0" max="5" min="5" style="0" width="44"/>
    <col collapsed="false" customWidth="true" hidden="false" outlineLevel="0" max="7" min="7" style="0" width="40"/>
    <col collapsed="false" customWidth="true" hidden="false" outlineLevel="0" max="9" min="9" style="0" width="10"/>
    <col collapsed="false" customWidth="true" hidden="false" outlineLevel="0" max="11" min="11" style="0" width="14"/>
    <col collapsed="false" customWidth="true" hidden="false" outlineLevel="0" max="13" min="13" style="0" width="22"/>
  </cols>
  <sheetData>
    <row r="1" customFormat="false" ht="15" hidden="false" customHeight="false" outlineLevel="0" collapsed="false">
      <c r="A1" s="9" t="s">
        <v>298</v>
      </c>
      <c r="B1" s="9" t="s">
        <v>47</v>
      </c>
      <c r="C1" s="9" t="s">
        <v>502</v>
      </c>
      <c r="E1" s="9" t="s">
        <v>503</v>
      </c>
      <c r="G1" s="9" t="s">
        <v>504</v>
      </c>
      <c r="I1" s="9" t="s">
        <v>280</v>
      </c>
      <c r="K1" s="9" t="s">
        <v>505</v>
      </c>
      <c r="M1" s="9" t="s">
        <v>506</v>
      </c>
    </row>
    <row r="2" customFormat="false" ht="15" hidden="false" customHeight="false" outlineLevel="0" collapsed="false">
      <c r="A2" s="0" t="s">
        <v>507</v>
      </c>
      <c r="B2" s="0" t="s">
        <v>508</v>
      </c>
      <c r="C2" s="0" t="s">
        <v>509</v>
      </c>
      <c r="E2" s="0" t="s">
        <v>510</v>
      </c>
      <c r="G2" s="0" t="s">
        <v>511</v>
      </c>
      <c r="I2" s="0" t="s">
        <v>512</v>
      </c>
      <c r="K2" s="117" t="n">
        <v>45292</v>
      </c>
      <c r="M2" s="0" t="s">
        <v>336</v>
      </c>
    </row>
    <row r="3" customFormat="false" ht="15" hidden="false" customHeight="false" outlineLevel="0" collapsed="false">
      <c r="A3" s="0" t="s">
        <v>513</v>
      </c>
      <c r="B3" s="0" t="s">
        <v>514</v>
      </c>
      <c r="C3" s="0" t="s">
        <v>509</v>
      </c>
      <c r="E3" s="0" t="s">
        <v>515</v>
      </c>
      <c r="G3" s="0" t="s">
        <v>508</v>
      </c>
      <c r="I3" s="0" t="s">
        <v>516</v>
      </c>
      <c r="K3" s="117" t="n">
        <v>45306</v>
      </c>
      <c r="M3" s="0" t="s">
        <v>291</v>
      </c>
    </row>
    <row r="4" customFormat="false" ht="15" hidden="false" customHeight="false" outlineLevel="0" collapsed="false">
      <c r="A4" s="0" t="s">
        <v>517</v>
      </c>
      <c r="B4" s="0" t="s">
        <v>518</v>
      </c>
      <c r="C4" s="0" t="s">
        <v>509</v>
      </c>
      <c r="E4" s="0" t="s">
        <v>519</v>
      </c>
      <c r="G4" s="0" t="s">
        <v>514</v>
      </c>
      <c r="I4" s="0" t="s">
        <v>520</v>
      </c>
      <c r="K4" s="117" t="n">
        <v>45341</v>
      </c>
      <c r="M4" s="0" t="s">
        <v>349</v>
      </c>
    </row>
    <row r="5" customFormat="false" ht="15" hidden="false" customHeight="false" outlineLevel="0" collapsed="false">
      <c r="A5" s="0" t="s">
        <v>521</v>
      </c>
      <c r="B5" s="0" t="s">
        <v>522</v>
      </c>
      <c r="C5" s="0" t="s">
        <v>509</v>
      </c>
      <c r="E5" s="0" t="s">
        <v>523</v>
      </c>
      <c r="G5" s="0" t="s">
        <v>518</v>
      </c>
      <c r="I5" s="0" t="s">
        <v>524</v>
      </c>
      <c r="K5" s="117" t="n">
        <v>45439</v>
      </c>
      <c r="M5" s="0" t="s">
        <v>355</v>
      </c>
    </row>
    <row r="6" customFormat="false" ht="15" hidden="false" customHeight="false" outlineLevel="0" collapsed="false">
      <c r="A6" s="0" t="s">
        <v>525</v>
      </c>
      <c r="B6" s="0" t="s">
        <v>526</v>
      </c>
      <c r="C6" s="0" t="s">
        <v>527</v>
      </c>
      <c r="E6" s="0" t="s">
        <v>528</v>
      </c>
      <c r="G6" s="0" t="s">
        <v>529</v>
      </c>
      <c r="I6" s="0" t="s">
        <v>530</v>
      </c>
      <c r="K6" s="117" t="n">
        <v>45462</v>
      </c>
      <c r="M6" s="0" t="s">
        <v>447</v>
      </c>
    </row>
    <row r="7" customFormat="false" ht="15" hidden="false" customHeight="false" outlineLevel="0" collapsed="false">
      <c r="A7" s="0" t="s">
        <v>531</v>
      </c>
      <c r="B7" s="0" t="s">
        <v>532</v>
      </c>
      <c r="C7" s="0" t="s">
        <v>527</v>
      </c>
      <c r="E7" s="0" t="s">
        <v>533</v>
      </c>
      <c r="G7" s="0" t="s">
        <v>534</v>
      </c>
      <c r="I7" s="0" t="s">
        <v>535</v>
      </c>
      <c r="K7" s="117" t="n">
        <v>45477</v>
      </c>
      <c r="M7" s="0" t="s">
        <v>361</v>
      </c>
    </row>
    <row r="8" customFormat="false" ht="15" hidden="false" customHeight="false" outlineLevel="0" collapsed="false">
      <c r="A8" s="0" t="s">
        <v>351</v>
      </c>
      <c r="B8" s="0" t="s">
        <v>536</v>
      </c>
      <c r="C8" s="0" t="s">
        <v>537</v>
      </c>
      <c r="E8" s="0" t="s">
        <v>538</v>
      </c>
      <c r="G8" s="0" t="s">
        <v>539</v>
      </c>
      <c r="I8" s="0" t="s">
        <v>540</v>
      </c>
      <c r="K8" s="117" t="n">
        <v>45537</v>
      </c>
      <c r="M8" s="0" t="s">
        <v>367</v>
      </c>
    </row>
    <row r="9" customFormat="false" ht="15" hidden="false" customHeight="false" outlineLevel="0" collapsed="false">
      <c r="A9" s="0" t="s">
        <v>541</v>
      </c>
      <c r="B9" s="0" t="s">
        <v>542</v>
      </c>
      <c r="C9" s="0" t="s">
        <v>537</v>
      </c>
      <c r="E9" s="0" t="s">
        <v>543</v>
      </c>
      <c r="G9" s="0" t="s">
        <v>544</v>
      </c>
      <c r="I9" s="0" t="s">
        <v>545</v>
      </c>
      <c r="K9" s="117" t="n">
        <v>45579</v>
      </c>
      <c r="M9" s="0" t="s">
        <v>448</v>
      </c>
    </row>
    <row r="10" customFormat="false" ht="15" hidden="false" customHeight="false" outlineLevel="0" collapsed="false">
      <c r="A10" s="0" t="s">
        <v>546</v>
      </c>
      <c r="B10" s="0" t="s">
        <v>547</v>
      </c>
      <c r="C10" s="0" t="s">
        <v>537</v>
      </c>
      <c r="E10" s="0" t="s">
        <v>548</v>
      </c>
      <c r="G10" s="0" t="s">
        <v>549</v>
      </c>
      <c r="I10" s="0" t="s">
        <v>550</v>
      </c>
      <c r="K10" s="117" t="n">
        <v>45607</v>
      </c>
      <c r="M10" s="0" t="s">
        <v>449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553</v>
      </c>
      <c r="E11" s="0" t="s">
        <v>554</v>
      </c>
      <c r="G11" s="0" t="s">
        <v>555</v>
      </c>
      <c r="I11" s="0" t="s">
        <v>556</v>
      </c>
      <c r="K11" s="117" t="n">
        <v>45624</v>
      </c>
      <c r="M11" s="0" t="s">
        <v>376</v>
      </c>
    </row>
    <row r="12" customFormat="false" ht="15" hidden="false" customHeight="false" outlineLevel="0" collapsed="false">
      <c r="A12" s="0" t="s">
        <v>557</v>
      </c>
      <c r="B12" s="0" t="s">
        <v>544</v>
      </c>
      <c r="C12" s="0" t="s">
        <v>553</v>
      </c>
      <c r="E12" s="0" t="s">
        <v>558</v>
      </c>
      <c r="G12" s="0" t="s">
        <v>559</v>
      </c>
      <c r="I12" s="0" t="s">
        <v>560</v>
      </c>
      <c r="K12" s="117" t="n">
        <v>45651</v>
      </c>
      <c r="M12" s="0" t="s">
        <v>450</v>
      </c>
    </row>
    <row r="13" customFormat="false" ht="15" hidden="false" customHeight="false" outlineLevel="0" collapsed="false">
      <c r="A13" s="0" t="s">
        <v>561</v>
      </c>
      <c r="B13" s="0" t="s">
        <v>562</v>
      </c>
      <c r="C13" s="0" t="s">
        <v>553</v>
      </c>
      <c r="E13" s="0" t="s">
        <v>563</v>
      </c>
      <c r="G13" s="0" t="s">
        <v>564</v>
      </c>
      <c r="I13" s="0" t="s">
        <v>565</v>
      </c>
      <c r="K13" s="117" t="n">
        <v>45658</v>
      </c>
    </row>
    <row r="14" customFormat="false" ht="15" hidden="false" customHeight="false" outlineLevel="0" collapsed="false">
      <c r="A14" s="0" t="s">
        <v>566</v>
      </c>
      <c r="B14" s="0" t="s">
        <v>567</v>
      </c>
      <c r="C14" s="0" t="s">
        <v>553</v>
      </c>
      <c r="E14" s="0" t="s">
        <v>568</v>
      </c>
      <c r="G14" s="0" t="s">
        <v>569</v>
      </c>
      <c r="I14" s="0" t="s">
        <v>570</v>
      </c>
      <c r="K14" s="117" t="n">
        <v>45677</v>
      </c>
    </row>
    <row r="15" customFormat="false" ht="15" hidden="false" customHeight="false" outlineLevel="0" collapsed="false">
      <c r="A15" s="0" t="s">
        <v>571</v>
      </c>
      <c r="B15" s="0" t="s">
        <v>572</v>
      </c>
      <c r="C15" s="0" t="s">
        <v>553</v>
      </c>
      <c r="E15" s="0" t="s">
        <v>573</v>
      </c>
      <c r="G15" s="0" t="s">
        <v>574</v>
      </c>
      <c r="I15" s="0" t="s">
        <v>575</v>
      </c>
      <c r="K15" s="117" t="n">
        <v>45705</v>
      </c>
    </row>
    <row r="16" customFormat="false" ht="15" hidden="false" customHeight="false" outlineLevel="0" collapsed="false">
      <c r="A16" s="0" t="s">
        <v>576</v>
      </c>
      <c r="B16" s="0" t="s">
        <v>569</v>
      </c>
      <c r="C16" s="0" t="s">
        <v>553</v>
      </c>
      <c r="E16" s="0" t="s">
        <v>577</v>
      </c>
      <c r="G16" s="0" t="s">
        <v>48</v>
      </c>
      <c r="I16" s="0" t="s">
        <v>578</v>
      </c>
      <c r="K16" s="117" t="n">
        <v>45803</v>
      </c>
    </row>
    <row r="17" customFormat="false" ht="15" hidden="false" customHeight="false" outlineLevel="0" collapsed="false">
      <c r="A17" s="0" t="s">
        <v>579</v>
      </c>
      <c r="B17" s="0" t="s">
        <v>580</v>
      </c>
      <c r="C17" s="0" t="s">
        <v>553</v>
      </c>
      <c r="E17" s="0" t="s">
        <v>581</v>
      </c>
      <c r="G17" s="0" t="s">
        <v>582</v>
      </c>
      <c r="I17" s="0" t="s">
        <v>583</v>
      </c>
      <c r="K17" s="117" t="n">
        <v>45827</v>
      </c>
    </row>
    <row r="18" customFormat="false" ht="15" hidden="false" customHeight="false" outlineLevel="0" collapsed="false">
      <c r="A18" s="0" t="s">
        <v>584</v>
      </c>
      <c r="B18" s="0" t="s">
        <v>585</v>
      </c>
      <c r="C18" s="0" t="s">
        <v>553</v>
      </c>
      <c r="E18" s="0" t="s">
        <v>586</v>
      </c>
      <c r="G18" s="0" t="s">
        <v>587</v>
      </c>
      <c r="I18" s="0" t="s">
        <v>588</v>
      </c>
      <c r="K18" s="117" t="n">
        <v>45842</v>
      </c>
    </row>
    <row r="19" customFormat="false" ht="15" hidden="false" customHeight="false" outlineLevel="0" collapsed="false">
      <c r="A19" s="0" t="s">
        <v>589</v>
      </c>
      <c r="B19" s="0" t="s">
        <v>590</v>
      </c>
      <c r="C19" s="0" t="s">
        <v>553</v>
      </c>
      <c r="E19" s="0" t="s">
        <v>591</v>
      </c>
      <c r="G19" s="0" t="s">
        <v>592</v>
      </c>
      <c r="I19" s="0" t="s">
        <v>593</v>
      </c>
      <c r="K19" s="117" t="n">
        <v>45901</v>
      </c>
    </row>
    <row r="20" customFormat="false" ht="15" hidden="false" customHeight="false" outlineLevel="0" collapsed="false">
      <c r="A20" s="0" t="s">
        <v>594</v>
      </c>
      <c r="B20" s="0" t="s">
        <v>595</v>
      </c>
      <c r="C20" s="0" t="s">
        <v>553</v>
      </c>
      <c r="E20" s="0" t="s">
        <v>596</v>
      </c>
      <c r="G20" s="0" t="s">
        <v>597</v>
      </c>
      <c r="I20" s="0" t="s">
        <v>598</v>
      </c>
      <c r="K20" s="117" t="n">
        <v>45943</v>
      </c>
    </row>
    <row r="21" customFormat="false" ht="15" hidden="false" customHeight="false" outlineLevel="0" collapsed="false">
      <c r="A21" s="0" t="s">
        <v>599</v>
      </c>
      <c r="B21" s="0" t="s">
        <v>600</v>
      </c>
      <c r="C21" s="0" t="s">
        <v>553</v>
      </c>
      <c r="E21" s="0" t="s">
        <v>601</v>
      </c>
      <c r="G21" s="0" t="s">
        <v>602</v>
      </c>
      <c r="I21" s="0" t="s">
        <v>603</v>
      </c>
      <c r="K21" s="117" t="n">
        <v>45972</v>
      </c>
    </row>
    <row r="22" customFormat="false" ht="15" hidden="false" customHeight="false" outlineLevel="0" collapsed="false">
      <c r="A22" s="0" t="s">
        <v>604</v>
      </c>
      <c r="B22" s="0" t="s">
        <v>592</v>
      </c>
      <c r="C22" s="0" t="s">
        <v>553</v>
      </c>
      <c r="E22" s="0" t="s">
        <v>605</v>
      </c>
      <c r="G22" s="0" t="s">
        <v>595</v>
      </c>
      <c r="I22" s="0" t="s">
        <v>606</v>
      </c>
      <c r="K22" s="117" t="n">
        <v>45988</v>
      </c>
    </row>
    <row r="23" customFormat="false" ht="15" hidden="false" customHeight="false" outlineLevel="0" collapsed="false">
      <c r="A23" s="0" t="s">
        <v>607</v>
      </c>
      <c r="B23" s="0" t="s">
        <v>608</v>
      </c>
      <c r="C23" s="0" t="s">
        <v>553</v>
      </c>
      <c r="E23" s="0" t="s">
        <v>609</v>
      </c>
      <c r="G23" s="0" t="s">
        <v>552</v>
      </c>
      <c r="I23" s="0" t="s">
        <v>610</v>
      </c>
      <c r="K23" s="117" t="n">
        <v>46016</v>
      </c>
    </row>
    <row r="24" customFormat="false" ht="15" hidden="false" customHeight="false" outlineLevel="0" collapsed="false">
      <c r="A24" s="0" t="s">
        <v>611</v>
      </c>
      <c r="B24" s="0" t="s">
        <v>612</v>
      </c>
      <c r="C24" s="0" t="s">
        <v>553</v>
      </c>
      <c r="E24" s="0" t="s">
        <v>613</v>
      </c>
      <c r="G24" s="0" t="s">
        <v>614</v>
      </c>
      <c r="I24" s="0" t="s">
        <v>615</v>
      </c>
      <c r="K24" s="117" t="n">
        <v>46023</v>
      </c>
    </row>
    <row r="25" customFormat="false" ht="15" hidden="false" customHeight="false" outlineLevel="0" collapsed="false">
      <c r="A25" s="0" t="s">
        <v>616</v>
      </c>
      <c r="B25" s="0" t="s">
        <v>617</v>
      </c>
      <c r="C25" s="0" t="s">
        <v>553</v>
      </c>
      <c r="E25" s="0" t="s">
        <v>618</v>
      </c>
      <c r="G25" s="0" t="s">
        <v>522</v>
      </c>
      <c r="I25" s="0" t="s">
        <v>619</v>
      </c>
      <c r="K25" s="117" t="n">
        <v>46041</v>
      </c>
    </row>
    <row r="26" customFormat="false" ht="15" hidden="false" customHeight="false" outlineLevel="0" collapsed="false">
      <c r="A26" s="0" t="s">
        <v>620</v>
      </c>
      <c r="B26" s="0" t="s">
        <v>621</v>
      </c>
      <c r="C26" s="0" t="s">
        <v>622</v>
      </c>
      <c r="E26" s="0" t="s">
        <v>623</v>
      </c>
      <c r="G26" s="0" t="s">
        <v>567</v>
      </c>
      <c r="I26" s="0" t="s">
        <v>624</v>
      </c>
      <c r="K26" s="117" t="n">
        <v>46069</v>
      </c>
    </row>
    <row r="27" customFormat="false" ht="15" hidden="false" customHeight="false" outlineLevel="0" collapsed="false">
      <c r="A27" s="0" t="s">
        <v>343</v>
      </c>
      <c r="B27" s="0" t="s">
        <v>625</v>
      </c>
      <c r="C27" s="0" t="s">
        <v>622</v>
      </c>
      <c r="E27" s="0" t="s">
        <v>626</v>
      </c>
      <c r="G27" s="0" t="s">
        <v>627</v>
      </c>
      <c r="I27" s="0" t="s">
        <v>628</v>
      </c>
      <c r="K27" s="117" t="n">
        <v>46167</v>
      </c>
    </row>
    <row r="28" customFormat="false" ht="15" hidden="false" customHeight="false" outlineLevel="0" collapsed="false">
      <c r="A28" s="0" t="s">
        <v>629</v>
      </c>
      <c r="B28" s="0" t="s">
        <v>630</v>
      </c>
      <c r="C28" s="0" t="s">
        <v>622</v>
      </c>
      <c r="E28" s="0" t="s">
        <v>631</v>
      </c>
      <c r="G28" s="0" t="s">
        <v>536</v>
      </c>
      <c r="I28" s="0" t="s">
        <v>632</v>
      </c>
      <c r="K28" s="117" t="n">
        <v>46192</v>
      </c>
    </row>
    <row r="29" customFormat="false" ht="15" hidden="false" customHeight="false" outlineLevel="0" collapsed="false">
      <c r="A29" s="0" t="s">
        <v>633</v>
      </c>
      <c r="B29" s="0" t="s">
        <v>529</v>
      </c>
      <c r="C29" s="0" t="s">
        <v>622</v>
      </c>
      <c r="E29" s="0" t="s">
        <v>634</v>
      </c>
      <c r="G29" s="0" t="s">
        <v>635</v>
      </c>
      <c r="I29" s="0" t="s">
        <v>636</v>
      </c>
      <c r="K29" s="117" t="n">
        <v>46272</v>
      </c>
    </row>
    <row r="30" customFormat="false" ht="15" hidden="false" customHeight="false" outlineLevel="0" collapsed="false">
      <c r="A30" s="0" t="s">
        <v>637</v>
      </c>
      <c r="B30" s="0" t="s">
        <v>638</v>
      </c>
      <c r="C30" s="0" t="s">
        <v>622</v>
      </c>
      <c r="E30" s="0" t="s">
        <v>639</v>
      </c>
      <c r="G30" s="0" t="s">
        <v>640</v>
      </c>
      <c r="I30" s="0" t="s">
        <v>641</v>
      </c>
      <c r="K30" s="117" t="n">
        <v>46307</v>
      </c>
    </row>
    <row r="31" customFormat="false" ht="15" hidden="false" customHeight="false" outlineLevel="0" collapsed="false">
      <c r="A31" s="0" t="s">
        <v>642</v>
      </c>
      <c r="B31" s="0" t="s">
        <v>574</v>
      </c>
      <c r="C31" s="0" t="s">
        <v>622</v>
      </c>
      <c r="E31" s="0" t="s">
        <v>643</v>
      </c>
      <c r="G31" s="0" t="s">
        <v>542</v>
      </c>
      <c r="I31" s="0" t="s">
        <v>51</v>
      </c>
      <c r="K31" s="117" t="n">
        <v>46337</v>
      </c>
    </row>
    <row r="32" customFormat="false" ht="15" hidden="false" customHeight="false" outlineLevel="0" collapsed="false">
      <c r="A32" s="0" t="s">
        <v>644</v>
      </c>
      <c r="B32" s="0" t="s">
        <v>587</v>
      </c>
      <c r="C32" s="0" t="s">
        <v>622</v>
      </c>
      <c r="E32" s="0" t="s">
        <v>645</v>
      </c>
      <c r="G32" s="0" t="s">
        <v>646</v>
      </c>
      <c r="I32" s="0" t="s">
        <v>647</v>
      </c>
      <c r="K32" s="117" t="n">
        <v>46352</v>
      </c>
    </row>
    <row r="33" customFormat="false" ht="15" hidden="false" customHeight="false" outlineLevel="0" collapsed="false">
      <c r="A33" s="0" t="s">
        <v>648</v>
      </c>
      <c r="B33" s="0" t="s">
        <v>649</v>
      </c>
      <c r="C33" s="0" t="s">
        <v>650</v>
      </c>
      <c r="E33" s="0" t="s">
        <v>651</v>
      </c>
      <c r="G33" s="0" t="s">
        <v>600</v>
      </c>
      <c r="I33" s="0" t="s">
        <v>652</v>
      </c>
      <c r="K33" s="117" t="n">
        <v>46381</v>
      </c>
    </row>
    <row r="34" customFormat="false" ht="15" hidden="false" customHeight="false" outlineLevel="0" collapsed="false">
      <c r="A34" s="0" t="s">
        <v>653</v>
      </c>
      <c r="B34" s="0" t="s">
        <v>654</v>
      </c>
      <c r="C34" s="0" t="s">
        <v>650</v>
      </c>
      <c r="E34" s="0" t="s">
        <v>655</v>
      </c>
      <c r="G34" s="0" t="s">
        <v>612</v>
      </c>
      <c r="I34" s="0" t="s">
        <v>656</v>
      </c>
      <c r="K34" s="117" t="n">
        <v>46388</v>
      </c>
    </row>
    <row r="35" customFormat="false" ht="15" hidden="false" customHeight="false" outlineLevel="0" collapsed="false">
      <c r="A35" s="0" t="s">
        <v>657</v>
      </c>
      <c r="B35" s="0" t="s">
        <v>559</v>
      </c>
      <c r="C35" s="0" t="s">
        <v>658</v>
      </c>
      <c r="E35" s="0" t="s">
        <v>659</v>
      </c>
      <c r="G35" s="0" t="s">
        <v>660</v>
      </c>
      <c r="I35" s="0" t="s">
        <v>661</v>
      </c>
      <c r="K35" s="117" t="n">
        <v>46405</v>
      </c>
    </row>
    <row r="36" customFormat="false" ht="15" hidden="false" customHeight="false" outlineLevel="0" collapsed="false">
      <c r="A36" s="0" t="s">
        <v>662</v>
      </c>
      <c r="B36" s="0" t="s">
        <v>635</v>
      </c>
      <c r="C36" s="0" t="s">
        <v>658</v>
      </c>
      <c r="E36" s="0" t="s">
        <v>663</v>
      </c>
      <c r="G36" s="0" t="s">
        <v>664</v>
      </c>
      <c r="I36" s="0" t="s">
        <v>665</v>
      </c>
      <c r="K36" s="117" t="n">
        <v>46433</v>
      </c>
    </row>
    <row r="37" customFormat="false" ht="15" hidden="false" customHeight="false" outlineLevel="0" collapsed="false">
      <c r="A37" s="0" t="s">
        <v>666</v>
      </c>
      <c r="B37" s="0" t="s">
        <v>614</v>
      </c>
      <c r="C37" s="0" t="s">
        <v>658</v>
      </c>
      <c r="E37" s="0" t="s">
        <v>667</v>
      </c>
      <c r="G37" s="0" t="s">
        <v>668</v>
      </c>
      <c r="I37" s="0" t="s">
        <v>669</v>
      </c>
      <c r="K37" s="117" t="n">
        <v>46538</v>
      </c>
    </row>
    <row r="38" customFormat="false" ht="15" hidden="false" customHeight="false" outlineLevel="0" collapsed="false">
      <c r="A38" s="0" t="s">
        <v>670</v>
      </c>
      <c r="B38" s="0" t="s">
        <v>549</v>
      </c>
      <c r="C38" s="0" t="s">
        <v>658</v>
      </c>
      <c r="E38" s="0" t="s">
        <v>671</v>
      </c>
      <c r="G38" s="0" t="s">
        <v>672</v>
      </c>
      <c r="I38" s="0" t="s">
        <v>673</v>
      </c>
      <c r="K38" s="117" t="n">
        <v>46573</v>
      </c>
    </row>
    <row r="39" customFormat="false" ht="15" hidden="false" customHeight="false" outlineLevel="0" collapsed="false">
      <c r="A39" s="0" t="s">
        <v>674</v>
      </c>
      <c r="B39" s="0" t="s">
        <v>539</v>
      </c>
      <c r="C39" s="0" t="s">
        <v>658</v>
      </c>
      <c r="E39" s="0" t="s">
        <v>675</v>
      </c>
      <c r="G39" s="0" t="s">
        <v>621</v>
      </c>
      <c r="I39" s="0" t="s">
        <v>676</v>
      </c>
      <c r="K39" s="117" t="n">
        <v>46636</v>
      </c>
    </row>
    <row r="40" customFormat="false" ht="15" hidden="false" customHeight="false" outlineLevel="0" collapsed="false">
      <c r="A40" s="0" t="s">
        <v>677</v>
      </c>
      <c r="B40" s="0" t="s">
        <v>627</v>
      </c>
      <c r="C40" s="0" t="s">
        <v>658</v>
      </c>
      <c r="E40" s="0" t="s">
        <v>678</v>
      </c>
      <c r="G40" s="0" t="s">
        <v>562</v>
      </c>
      <c r="I40" s="0" t="s">
        <v>679</v>
      </c>
      <c r="K40" s="117" t="n">
        <v>46671</v>
      </c>
    </row>
    <row r="41" customFormat="false" ht="15" hidden="false" customHeight="false" outlineLevel="0" collapsed="false">
      <c r="A41" s="0" t="s">
        <v>338</v>
      </c>
      <c r="B41" s="0" t="s">
        <v>48</v>
      </c>
      <c r="C41" s="0" t="s">
        <v>658</v>
      </c>
      <c r="E41" s="0" t="s">
        <v>680</v>
      </c>
      <c r="G41" s="0" t="s">
        <v>681</v>
      </c>
      <c r="I41" s="0" t="s">
        <v>682</v>
      </c>
      <c r="K41" s="117" t="n">
        <v>46702</v>
      </c>
    </row>
    <row r="42" customFormat="false" ht="15" hidden="false" customHeight="false" outlineLevel="0" collapsed="false">
      <c r="A42" s="0" t="s">
        <v>683</v>
      </c>
      <c r="B42" s="0" t="s">
        <v>684</v>
      </c>
      <c r="C42" s="0" t="s">
        <v>658</v>
      </c>
      <c r="E42" s="0" t="s">
        <v>685</v>
      </c>
      <c r="G42" s="0" t="s">
        <v>617</v>
      </c>
      <c r="I42" s="0" t="s">
        <v>686</v>
      </c>
      <c r="K42" s="117" t="n">
        <v>46716</v>
      </c>
    </row>
    <row r="43" customFormat="false" ht="15" hidden="false" customHeight="false" outlineLevel="0" collapsed="false">
      <c r="A43" s="0" t="s">
        <v>687</v>
      </c>
      <c r="B43" s="0" t="s">
        <v>688</v>
      </c>
      <c r="C43" s="0" t="s">
        <v>689</v>
      </c>
      <c r="E43" s="0" t="s">
        <v>690</v>
      </c>
      <c r="G43" s="0" t="s">
        <v>691</v>
      </c>
      <c r="I43" s="0" t="s">
        <v>692</v>
      </c>
    </row>
    <row r="44" customFormat="false" ht="15" hidden="false" customHeight="false" outlineLevel="0" collapsed="false">
      <c r="A44" s="0" t="s">
        <v>693</v>
      </c>
      <c r="B44" s="0" t="s">
        <v>664</v>
      </c>
      <c r="C44" s="0" t="s">
        <v>689</v>
      </c>
      <c r="E44" s="0" t="s">
        <v>694</v>
      </c>
      <c r="G44" s="0" t="s">
        <v>684</v>
      </c>
      <c r="I44" s="0" t="s">
        <v>695</v>
      </c>
    </row>
    <row r="45" customFormat="false" ht="15" hidden="false" customHeight="false" outlineLevel="0" collapsed="false">
      <c r="A45" s="0" t="s">
        <v>696</v>
      </c>
      <c r="B45" s="0" t="s">
        <v>660</v>
      </c>
      <c r="C45" s="0" t="s">
        <v>689</v>
      </c>
      <c r="E45" s="0" t="s">
        <v>697</v>
      </c>
      <c r="G45" s="0" t="s">
        <v>698</v>
      </c>
      <c r="I45" s="0" t="s">
        <v>344</v>
      </c>
    </row>
    <row r="46" customFormat="false" ht="15" hidden="false" customHeight="false" outlineLevel="0" collapsed="false">
      <c r="A46" s="0" t="s">
        <v>699</v>
      </c>
      <c r="B46" s="0" t="s">
        <v>700</v>
      </c>
      <c r="C46" s="0" t="s">
        <v>689</v>
      </c>
      <c r="E46" s="0" t="s">
        <v>701</v>
      </c>
      <c r="G46" s="0" t="s">
        <v>702</v>
      </c>
      <c r="I46" s="0" t="s">
        <v>703</v>
      </c>
    </row>
    <row r="47" customFormat="false" ht="15" hidden="false" customHeight="false" outlineLevel="0" collapsed="false">
      <c r="A47" s="0" t="s">
        <v>704</v>
      </c>
      <c r="B47" s="0" t="s">
        <v>646</v>
      </c>
      <c r="C47" s="0" t="s">
        <v>705</v>
      </c>
      <c r="E47" s="0" t="s">
        <v>706</v>
      </c>
      <c r="G47" s="0" t="s">
        <v>707</v>
      </c>
      <c r="I47" s="0" t="s">
        <v>708</v>
      </c>
    </row>
    <row r="48" customFormat="false" ht="15" hidden="false" customHeight="false" outlineLevel="0" collapsed="false">
      <c r="A48" s="0" t="s">
        <v>363</v>
      </c>
      <c r="B48" s="0" t="s">
        <v>709</v>
      </c>
      <c r="C48" s="0" t="s">
        <v>705</v>
      </c>
      <c r="E48" s="0" t="s">
        <v>710</v>
      </c>
      <c r="G48" s="0" t="s">
        <v>532</v>
      </c>
      <c r="I48" s="0" t="s">
        <v>711</v>
      </c>
    </row>
    <row r="49" customFormat="false" ht="15" hidden="false" customHeight="false" outlineLevel="0" collapsed="false">
      <c r="A49" s="0" t="s">
        <v>378</v>
      </c>
      <c r="B49" s="0" t="s">
        <v>564</v>
      </c>
      <c r="C49" s="0" t="s">
        <v>705</v>
      </c>
      <c r="E49" s="0" t="s">
        <v>712</v>
      </c>
      <c r="G49" s="0" t="s">
        <v>526</v>
      </c>
      <c r="I49" s="0" t="s">
        <v>713</v>
      </c>
    </row>
    <row r="50" customFormat="false" ht="15" hidden="false" customHeight="false" outlineLevel="0" collapsed="false">
      <c r="A50" s="0" t="s">
        <v>357</v>
      </c>
      <c r="B50" s="0" t="s">
        <v>555</v>
      </c>
      <c r="C50" s="0" t="s">
        <v>705</v>
      </c>
      <c r="E50" s="0" t="s">
        <v>714</v>
      </c>
      <c r="G50" s="0" t="s">
        <v>709</v>
      </c>
      <c r="I50" s="0" t="s">
        <v>715</v>
      </c>
    </row>
    <row r="51" customFormat="false" ht="15" hidden="false" customHeight="false" outlineLevel="0" collapsed="false">
      <c r="A51" s="0" t="s">
        <v>716</v>
      </c>
      <c r="B51" s="0" t="s">
        <v>691</v>
      </c>
      <c r="C51" s="0" t="s">
        <v>705</v>
      </c>
      <c r="E51" s="0" t="s">
        <v>717</v>
      </c>
      <c r="G51" s="0" t="s">
        <v>590</v>
      </c>
      <c r="I51" s="0" t="s">
        <v>718</v>
      </c>
    </row>
    <row r="52" customFormat="false" ht="15" hidden="false" customHeight="false" outlineLevel="0" collapsed="false">
      <c r="A52" s="0" t="s">
        <v>719</v>
      </c>
      <c r="B52" s="0" t="s">
        <v>698</v>
      </c>
      <c r="C52" s="0" t="s">
        <v>705</v>
      </c>
      <c r="E52" s="0" t="s">
        <v>720</v>
      </c>
      <c r="G52" s="0" t="s">
        <v>572</v>
      </c>
    </row>
    <row r="53" customFormat="false" ht="15" hidden="false" customHeight="false" outlineLevel="0" collapsed="false">
      <c r="A53" s="0" t="s">
        <v>721</v>
      </c>
      <c r="B53" s="0" t="s">
        <v>534</v>
      </c>
      <c r="C53" s="0" t="s">
        <v>705</v>
      </c>
      <c r="E53" s="0" t="s">
        <v>722</v>
      </c>
      <c r="G53" s="0" t="s">
        <v>700</v>
      </c>
    </row>
    <row r="54" customFormat="false" ht="15" hidden="false" customHeight="false" outlineLevel="0" collapsed="false">
      <c r="A54" s="0" t="s">
        <v>372</v>
      </c>
      <c r="B54" s="0" t="s">
        <v>640</v>
      </c>
      <c r="C54" s="0" t="s">
        <v>705</v>
      </c>
      <c r="E54" s="0" t="s">
        <v>723</v>
      </c>
      <c r="G54" s="0" t="s">
        <v>580</v>
      </c>
    </row>
    <row r="55" customFormat="false" ht="15" hidden="false" customHeight="false" outlineLevel="0" collapsed="false">
      <c r="A55" s="0" t="s">
        <v>724</v>
      </c>
      <c r="B55" s="0" t="s">
        <v>672</v>
      </c>
      <c r="C55" s="0" t="s">
        <v>705</v>
      </c>
      <c r="E55" s="0" t="s">
        <v>725</v>
      </c>
      <c r="G55" s="0" t="s">
        <v>688</v>
      </c>
    </row>
    <row r="56" customFormat="false" ht="15" hidden="false" customHeight="false" outlineLevel="0" collapsed="false">
      <c r="A56" s="0" t="s">
        <v>726</v>
      </c>
      <c r="B56" s="0" t="s">
        <v>582</v>
      </c>
      <c r="C56" s="0" t="s">
        <v>705</v>
      </c>
      <c r="E56" s="0" t="s">
        <v>727</v>
      </c>
      <c r="G56" s="0" t="s">
        <v>728</v>
      </c>
    </row>
    <row r="57" customFormat="false" ht="15" hidden="false" customHeight="false" outlineLevel="0" collapsed="false">
      <c r="A57" s="0" t="s">
        <v>729</v>
      </c>
      <c r="B57" s="0" t="s">
        <v>730</v>
      </c>
      <c r="C57" s="0" t="s">
        <v>705</v>
      </c>
      <c r="E57" s="0" t="s">
        <v>731</v>
      </c>
      <c r="G57" s="0" t="s">
        <v>730</v>
      </c>
    </row>
    <row r="58" customFormat="false" ht="15" hidden="false" customHeight="false" outlineLevel="0" collapsed="false">
      <c r="A58" s="0" t="s">
        <v>732</v>
      </c>
      <c r="B58" s="0" t="s">
        <v>702</v>
      </c>
      <c r="C58" s="0" t="s">
        <v>705</v>
      </c>
      <c r="E58" s="0" t="s">
        <v>733</v>
      </c>
      <c r="G58" s="0" t="s">
        <v>547</v>
      </c>
    </row>
    <row r="59" customFormat="false" ht="15" hidden="false" customHeight="false" outlineLevel="0" collapsed="false">
      <c r="A59" s="0" t="s">
        <v>734</v>
      </c>
      <c r="B59" s="0" t="s">
        <v>681</v>
      </c>
      <c r="C59" s="0" t="s">
        <v>705</v>
      </c>
      <c r="E59" s="0" t="s">
        <v>735</v>
      </c>
      <c r="G59" s="0" t="s">
        <v>585</v>
      </c>
    </row>
    <row r="60" customFormat="false" ht="15" hidden="false" customHeight="false" outlineLevel="0" collapsed="false">
      <c r="A60" s="0" t="s">
        <v>736</v>
      </c>
      <c r="B60" s="0" t="s">
        <v>597</v>
      </c>
      <c r="C60" s="0" t="s">
        <v>705</v>
      </c>
      <c r="E60" s="0" t="s">
        <v>737</v>
      </c>
      <c r="G60" s="0" t="s">
        <v>608</v>
      </c>
    </row>
    <row r="61" customFormat="false" ht="15" hidden="false" customHeight="false" outlineLevel="0" collapsed="false">
      <c r="A61" s="0" t="s">
        <v>738</v>
      </c>
      <c r="B61" s="0" t="s">
        <v>728</v>
      </c>
      <c r="C61" s="0" t="s">
        <v>705</v>
      </c>
      <c r="E61" s="0" t="s">
        <v>739</v>
      </c>
      <c r="G61" s="0" t="s">
        <v>638</v>
      </c>
    </row>
    <row r="62" customFormat="false" ht="15" hidden="false" customHeight="false" outlineLevel="0" collapsed="false">
      <c r="A62" s="0" t="s">
        <v>740</v>
      </c>
      <c r="B62" s="0" t="s">
        <v>668</v>
      </c>
      <c r="C62" s="0" t="s">
        <v>741</v>
      </c>
      <c r="E62" s="0" t="s">
        <v>742</v>
      </c>
      <c r="G62" s="0" t="s">
        <v>625</v>
      </c>
    </row>
    <row r="63" customFormat="false" ht="15" hidden="false" customHeight="false" outlineLevel="0" collapsed="false">
      <c r="A63" s="0" t="s">
        <v>743</v>
      </c>
      <c r="B63" s="0" t="s">
        <v>602</v>
      </c>
      <c r="C63" s="0" t="s">
        <v>741</v>
      </c>
      <c r="E63" s="0" t="s">
        <v>744</v>
      </c>
      <c r="G63" s="0" t="s">
        <v>630</v>
      </c>
    </row>
    <row r="64" customFormat="false" ht="15" hidden="false" customHeight="false" outlineLevel="0" collapsed="false">
      <c r="A64" s="0" t="s">
        <v>745</v>
      </c>
      <c r="B64" s="0" t="s">
        <v>511</v>
      </c>
      <c r="C64" s="0" t="s">
        <v>741</v>
      </c>
      <c r="E64" s="0" t="s">
        <v>45</v>
      </c>
      <c r="G64" s="0" t="s">
        <v>649</v>
      </c>
    </row>
    <row r="65" customFormat="false" ht="15" hidden="false" customHeight="false" outlineLevel="0" collapsed="false">
      <c r="A65" s="0" t="s">
        <v>746</v>
      </c>
      <c r="B65" s="0" t="s">
        <v>707</v>
      </c>
      <c r="C65" s="0" t="s">
        <v>741</v>
      </c>
      <c r="E65" s="0" t="s">
        <v>747</v>
      </c>
      <c r="G65" s="0" t="s">
        <v>654</v>
      </c>
    </row>
    <row r="66" customFormat="false" ht="15" hidden="false" customHeight="false" outlineLevel="0" collapsed="false">
      <c r="E66" s="0" t="s">
        <v>748</v>
      </c>
      <c r="G66" s="0" t="s">
        <v>749</v>
      </c>
    </row>
    <row r="67" customFormat="false" ht="15" hidden="false" customHeight="false" outlineLevel="0" collapsed="false">
      <c r="E67" s="0" t="s">
        <v>750</v>
      </c>
      <c r="G67" s="0" t="s">
        <v>751</v>
      </c>
    </row>
    <row r="68" customFormat="false" ht="15" hidden="false" customHeight="false" outlineLevel="0" collapsed="false">
      <c r="E68" s="0" t="s">
        <v>752</v>
      </c>
    </row>
    <row r="69" customFormat="false" ht="15" hidden="false" customHeight="false" outlineLevel="0" collapsed="false">
      <c r="E69" s="0" t="s">
        <v>753</v>
      </c>
    </row>
    <row r="70" customFormat="false" ht="15" hidden="false" customHeight="false" outlineLevel="0" collapsed="false">
      <c r="E70" s="0" t="s">
        <v>754</v>
      </c>
    </row>
    <row r="71" customFormat="false" ht="15" hidden="false" customHeight="false" outlineLevel="0" collapsed="false">
      <c r="E71" s="0" t="s">
        <v>755</v>
      </c>
    </row>
    <row r="72" customFormat="false" ht="15" hidden="false" customHeight="false" outlineLevel="0" collapsed="false">
      <c r="E72" s="0" t="s">
        <v>756</v>
      </c>
    </row>
    <row r="73" customFormat="false" ht="15" hidden="false" customHeight="false" outlineLevel="0" collapsed="false">
      <c r="E73" s="0" t="s">
        <v>757</v>
      </c>
    </row>
    <row r="74" customFormat="false" ht="15" hidden="false" customHeight="false" outlineLevel="0" collapsed="false">
      <c r="E74" s="0" t="s">
        <v>758</v>
      </c>
    </row>
    <row r="75" customFormat="false" ht="15" hidden="false" customHeight="false" outlineLevel="0" collapsed="false">
      <c r="E75" s="0" t="s">
        <v>759</v>
      </c>
    </row>
    <row r="76" customFormat="false" ht="15" hidden="false" customHeight="false" outlineLevel="0" collapsed="false">
      <c r="E76" s="0" t="s">
        <v>760</v>
      </c>
    </row>
    <row r="77" customFormat="false" ht="15" hidden="false" customHeight="false" outlineLevel="0" collapsed="false">
      <c r="E77" s="0" t="s">
        <v>761</v>
      </c>
    </row>
    <row r="78" customFormat="false" ht="15" hidden="false" customHeight="false" outlineLevel="0" collapsed="false">
      <c r="E78" s="0" t="s">
        <v>762</v>
      </c>
    </row>
    <row r="79" customFormat="false" ht="15" hidden="false" customHeight="false" outlineLevel="0" collapsed="false">
      <c r="E79" s="0" t="s">
        <v>763</v>
      </c>
    </row>
    <row r="80" customFormat="false" ht="15" hidden="false" customHeight="false" outlineLevel="0" collapsed="false">
      <c r="E80" s="0" t="s">
        <v>764</v>
      </c>
    </row>
    <row r="81" customFormat="false" ht="15" hidden="false" customHeight="false" outlineLevel="0" collapsed="false">
      <c r="E81" s="0" t="s">
        <v>765</v>
      </c>
    </row>
    <row r="82" customFormat="false" ht="15" hidden="false" customHeight="false" outlineLevel="0" collapsed="false">
      <c r="E82" s="0" t="s">
        <v>766</v>
      </c>
    </row>
    <row r="83" customFormat="false" ht="15" hidden="false" customHeight="false" outlineLevel="0" collapsed="false">
      <c r="E83" s="0" t="s">
        <v>767</v>
      </c>
    </row>
    <row r="84" customFormat="false" ht="15" hidden="false" customHeight="false" outlineLevel="0" collapsed="false">
      <c r="E84" s="0" t="s">
        <v>768</v>
      </c>
    </row>
    <row r="85" customFormat="false" ht="15" hidden="false" customHeight="false" outlineLevel="0" collapsed="false">
      <c r="E85" s="0" t="s">
        <v>769</v>
      </c>
    </row>
    <row r="86" customFormat="false" ht="15" hidden="false" customHeight="false" outlineLevel="0" collapsed="false">
      <c r="E86" s="0" t="s">
        <v>770</v>
      </c>
    </row>
    <row r="87" customFormat="false" ht="15" hidden="false" customHeight="false" outlineLevel="0" collapsed="false">
      <c r="E87" s="0" t="s">
        <v>771</v>
      </c>
    </row>
    <row r="88" customFormat="false" ht="15" hidden="false" customHeight="false" outlineLevel="0" collapsed="false">
      <c r="E88" s="0" t="s">
        <v>772</v>
      </c>
    </row>
    <row r="89" customFormat="false" ht="15" hidden="false" customHeight="false" outlineLevel="0" collapsed="false">
      <c r="E89" s="0" t="s">
        <v>773</v>
      </c>
    </row>
    <row r="90" customFormat="false" ht="15" hidden="false" customHeight="false" outlineLevel="0" collapsed="false">
      <c r="E90" s="0" t="s">
        <v>774</v>
      </c>
    </row>
    <row r="91" customFormat="false" ht="15" hidden="false" customHeight="false" outlineLevel="0" collapsed="false">
      <c r="E91" s="0" t="s">
        <v>775</v>
      </c>
    </row>
    <row r="92" customFormat="false" ht="15" hidden="false" customHeight="false" outlineLevel="0" collapsed="false">
      <c r="E92" s="0" t="s">
        <v>776</v>
      </c>
    </row>
    <row r="93" customFormat="false" ht="15" hidden="false" customHeight="false" outlineLevel="0" collapsed="false">
      <c r="E93" s="0" t="s">
        <v>777</v>
      </c>
    </row>
    <row r="94" customFormat="false" ht="15" hidden="false" customHeight="false" outlineLevel="0" collapsed="false">
      <c r="E94" s="0" t="s">
        <v>778</v>
      </c>
    </row>
    <row r="95" customFormat="false" ht="15" hidden="false" customHeight="false" outlineLevel="0" collapsed="false">
      <c r="E95" s="0" t="s">
        <v>779</v>
      </c>
    </row>
    <row r="96" customFormat="false" ht="15" hidden="false" customHeight="false" outlineLevel="0" collapsed="false">
      <c r="E96" s="0" t="s">
        <v>780</v>
      </c>
    </row>
    <row r="97" customFormat="false" ht="15" hidden="false" customHeight="false" outlineLevel="0" collapsed="false">
      <c r="E97" s="0" t="s">
        <v>781</v>
      </c>
    </row>
    <row r="98" customFormat="false" ht="15" hidden="false" customHeight="false" outlineLevel="0" collapsed="false">
      <c r="E98" s="0" t="s">
        <v>782</v>
      </c>
    </row>
    <row r="99" customFormat="false" ht="15" hidden="false" customHeight="false" outlineLevel="0" collapsed="false">
      <c r="E99" s="0" t="s">
        <v>783</v>
      </c>
    </row>
    <row r="100" customFormat="false" ht="15" hidden="false" customHeight="false" outlineLevel="0" collapsed="false">
      <c r="E100" s="0" t="s">
        <v>784</v>
      </c>
    </row>
    <row r="101" customFormat="false" ht="15" hidden="false" customHeight="false" outlineLevel="0" collapsed="false">
      <c r="E101" s="0" t="s">
        <v>785</v>
      </c>
    </row>
    <row r="102" customFormat="false" ht="15" hidden="false" customHeight="false" outlineLevel="0" collapsed="false">
      <c r="E102" s="0" t="s">
        <v>786</v>
      </c>
    </row>
    <row r="103" customFormat="false" ht="15" hidden="false" customHeight="false" outlineLevel="0" collapsed="false">
      <c r="E103" s="0" t="s">
        <v>787</v>
      </c>
    </row>
    <row r="104" customFormat="false" ht="15" hidden="false" customHeight="false" outlineLevel="0" collapsed="false">
      <c r="E104" s="0" t="s">
        <v>788</v>
      </c>
    </row>
    <row r="105" customFormat="false" ht="15" hidden="false" customHeight="false" outlineLevel="0" collapsed="false">
      <c r="E105" s="0" t="s">
        <v>789</v>
      </c>
    </row>
    <row r="106" customFormat="false" ht="15" hidden="false" customHeight="false" outlineLevel="0" collapsed="false">
      <c r="E106" s="0" t="s">
        <v>790</v>
      </c>
    </row>
    <row r="107" customFormat="false" ht="15" hidden="false" customHeight="false" outlineLevel="0" collapsed="false">
      <c r="E107" s="0" t="s">
        <v>791</v>
      </c>
    </row>
    <row r="108" customFormat="false" ht="15" hidden="false" customHeight="false" outlineLevel="0" collapsed="false">
      <c r="E108" s="0" t="s">
        <v>792</v>
      </c>
    </row>
    <row r="109" customFormat="false" ht="15" hidden="false" customHeight="false" outlineLevel="0" collapsed="false">
      <c r="E109" s="0" t="s">
        <v>793</v>
      </c>
    </row>
    <row r="110" customFormat="false" ht="15" hidden="false" customHeight="false" outlineLevel="0" collapsed="false">
      <c r="E110" s="0" t="s">
        <v>794</v>
      </c>
    </row>
    <row r="111" customFormat="false" ht="15" hidden="false" customHeight="false" outlineLevel="0" collapsed="false">
      <c r="E111" s="0" t="s">
        <v>795</v>
      </c>
    </row>
    <row r="112" customFormat="false" ht="15" hidden="false" customHeight="false" outlineLevel="0" collapsed="false">
      <c r="E112" s="0" t="s">
        <v>796</v>
      </c>
    </row>
    <row r="113" customFormat="false" ht="15" hidden="false" customHeight="false" outlineLevel="0" collapsed="false">
      <c r="E113" s="0" t="s">
        <v>797</v>
      </c>
    </row>
    <row r="114" customFormat="false" ht="15" hidden="false" customHeight="false" outlineLevel="0" collapsed="false">
      <c r="E114" s="0" t="s">
        <v>798</v>
      </c>
    </row>
    <row r="115" customFormat="false" ht="15" hidden="false" customHeight="false" outlineLevel="0" collapsed="false">
      <c r="E115" s="0" t="s">
        <v>799</v>
      </c>
    </row>
    <row r="116" customFormat="false" ht="15" hidden="false" customHeight="false" outlineLevel="0" collapsed="false">
      <c r="E116" s="0" t="s">
        <v>800</v>
      </c>
    </row>
    <row r="117" customFormat="false" ht="15" hidden="false" customHeight="false" outlineLevel="0" collapsed="false">
      <c r="E117" s="0" t="s">
        <v>801</v>
      </c>
    </row>
    <row r="118" customFormat="false" ht="15" hidden="false" customHeight="false" outlineLevel="0" collapsed="false">
      <c r="E118" s="0" t="s">
        <v>802</v>
      </c>
    </row>
    <row r="119" customFormat="false" ht="15" hidden="false" customHeight="false" outlineLevel="0" collapsed="false">
      <c r="E119" s="0" t="s">
        <v>803</v>
      </c>
    </row>
    <row r="120" customFormat="false" ht="15" hidden="false" customHeight="false" outlineLevel="0" collapsed="false">
      <c r="E120" s="0" t="s">
        <v>804</v>
      </c>
    </row>
    <row r="121" customFormat="false" ht="15" hidden="false" customHeight="false" outlineLevel="0" collapsed="false">
      <c r="E121" s="0" t="s">
        <v>805</v>
      </c>
    </row>
    <row r="122" customFormat="false" ht="15" hidden="false" customHeight="false" outlineLevel="0" collapsed="false">
      <c r="E122" s="0" t="s">
        <v>806</v>
      </c>
    </row>
    <row r="123" customFormat="false" ht="15" hidden="false" customHeight="false" outlineLevel="0" collapsed="false">
      <c r="E123" s="0" t="s">
        <v>807</v>
      </c>
    </row>
    <row r="124" customFormat="false" ht="15" hidden="false" customHeight="false" outlineLevel="0" collapsed="false">
      <c r="E124" s="0" t="s">
        <v>808</v>
      </c>
    </row>
    <row r="125" customFormat="false" ht="15" hidden="false" customHeight="false" outlineLevel="0" collapsed="false">
      <c r="E125" s="0" t="s">
        <v>809</v>
      </c>
    </row>
    <row r="126" customFormat="false" ht="15" hidden="false" customHeight="false" outlineLevel="0" collapsed="false">
      <c r="E126" s="0" t="s">
        <v>810</v>
      </c>
    </row>
    <row r="127" customFormat="false" ht="15" hidden="false" customHeight="false" outlineLevel="0" collapsed="false">
      <c r="E127" s="0" t="s">
        <v>811</v>
      </c>
    </row>
    <row r="128" customFormat="false" ht="15" hidden="false" customHeight="false" outlineLevel="0" collapsed="false">
      <c r="E128" s="0" t="s">
        <v>812</v>
      </c>
    </row>
    <row r="129" customFormat="false" ht="15" hidden="false" customHeight="false" outlineLevel="0" collapsed="false">
      <c r="E129" s="0" t="s">
        <v>813</v>
      </c>
    </row>
    <row r="130" customFormat="false" ht="15" hidden="false" customHeight="false" outlineLevel="0" collapsed="false">
      <c r="E130" s="0" t="s">
        <v>814</v>
      </c>
    </row>
    <row r="131" customFormat="false" ht="15" hidden="false" customHeight="false" outlineLevel="0" collapsed="false">
      <c r="E131" s="0" t="s">
        <v>815</v>
      </c>
    </row>
    <row r="132" customFormat="false" ht="15" hidden="false" customHeight="false" outlineLevel="0" collapsed="false">
      <c r="E132" s="0" t="s">
        <v>816</v>
      </c>
    </row>
    <row r="133" customFormat="false" ht="15" hidden="false" customHeight="false" outlineLevel="0" collapsed="false">
      <c r="E133" s="0" t="s">
        <v>817</v>
      </c>
    </row>
    <row r="134" customFormat="false" ht="15" hidden="false" customHeight="false" outlineLevel="0" collapsed="false">
      <c r="E134" s="0" t="s">
        <v>818</v>
      </c>
    </row>
    <row r="135" customFormat="false" ht="15" hidden="false" customHeight="false" outlineLevel="0" collapsed="false">
      <c r="E135" s="0" t="s">
        <v>819</v>
      </c>
    </row>
    <row r="136" customFormat="false" ht="15" hidden="false" customHeight="false" outlineLevel="0" collapsed="false">
      <c r="E136" s="0" t="s">
        <v>820</v>
      </c>
    </row>
    <row r="137" customFormat="false" ht="15" hidden="false" customHeight="false" outlineLevel="0" collapsed="false">
      <c r="E137" s="0" t="s">
        <v>821</v>
      </c>
    </row>
    <row r="138" customFormat="false" ht="15" hidden="false" customHeight="false" outlineLevel="0" collapsed="false">
      <c r="E138" s="0" t="s">
        <v>822</v>
      </c>
    </row>
    <row r="139" customFormat="false" ht="15" hidden="false" customHeight="false" outlineLevel="0" collapsed="false">
      <c r="E139" s="0" t="s">
        <v>823</v>
      </c>
    </row>
    <row r="140" customFormat="false" ht="15" hidden="false" customHeight="false" outlineLevel="0" collapsed="false">
      <c r="E140" s="0" t="s">
        <v>824</v>
      </c>
    </row>
    <row r="141" customFormat="false" ht="15" hidden="false" customHeight="false" outlineLevel="0" collapsed="false">
      <c r="E141" s="0" t="s">
        <v>825</v>
      </c>
    </row>
    <row r="142" customFormat="false" ht="15" hidden="false" customHeight="false" outlineLevel="0" collapsed="false">
      <c r="E142" s="0" t="s">
        <v>826</v>
      </c>
    </row>
    <row r="143" customFormat="false" ht="15" hidden="false" customHeight="false" outlineLevel="0" collapsed="false">
      <c r="E143" s="0" t="s">
        <v>827</v>
      </c>
    </row>
    <row r="144" customFormat="false" ht="15" hidden="false" customHeight="false" outlineLevel="0" collapsed="false">
      <c r="E144" s="0" t="s">
        <v>828</v>
      </c>
    </row>
    <row r="145" customFormat="false" ht="15" hidden="false" customHeight="false" outlineLevel="0" collapsed="false">
      <c r="E145" s="0" t="s">
        <v>829</v>
      </c>
    </row>
    <row r="146" customFormat="false" ht="15" hidden="false" customHeight="false" outlineLevel="0" collapsed="false">
      <c r="E146" s="0" t="s">
        <v>830</v>
      </c>
    </row>
    <row r="147" customFormat="false" ht="15" hidden="false" customHeight="false" outlineLevel="0" collapsed="false">
      <c r="E147" s="0" t="s">
        <v>831</v>
      </c>
    </row>
    <row r="148" customFormat="false" ht="15" hidden="false" customHeight="false" outlineLevel="0" collapsed="false">
      <c r="E148" s="0" t="s">
        <v>832</v>
      </c>
    </row>
    <row r="149" customFormat="false" ht="15" hidden="false" customHeight="false" outlineLevel="0" collapsed="false">
      <c r="E149" s="0" t="s">
        <v>833</v>
      </c>
    </row>
    <row r="150" customFormat="false" ht="15" hidden="false" customHeight="false" outlineLevel="0" collapsed="false">
      <c r="E150" s="0" t="s">
        <v>834</v>
      </c>
    </row>
    <row r="151" customFormat="false" ht="15" hidden="false" customHeight="false" outlineLevel="0" collapsed="false">
      <c r="E151" s="0" t="s">
        <v>835</v>
      </c>
    </row>
    <row r="152" customFormat="false" ht="15" hidden="false" customHeight="false" outlineLevel="0" collapsed="false">
      <c r="E152" s="0" t="s">
        <v>836</v>
      </c>
    </row>
    <row r="153" customFormat="false" ht="15" hidden="false" customHeight="false" outlineLevel="0" collapsed="false">
      <c r="E153" s="0" t="s">
        <v>837</v>
      </c>
    </row>
    <row r="154" customFormat="false" ht="15" hidden="false" customHeight="false" outlineLevel="0" collapsed="false">
      <c r="E154" s="0" t="s">
        <v>345</v>
      </c>
    </row>
    <row r="155" customFormat="false" ht="15" hidden="false" customHeight="false" outlineLevel="0" collapsed="false">
      <c r="E155" s="0" t="s">
        <v>838</v>
      </c>
    </row>
    <row r="156" customFormat="false" ht="15" hidden="false" customHeight="false" outlineLevel="0" collapsed="false">
      <c r="E156" s="0" t="s">
        <v>839</v>
      </c>
    </row>
    <row r="157" customFormat="false" ht="15" hidden="false" customHeight="false" outlineLevel="0" collapsed="false">
      <c r="E157" s="0" t="s">
        <v>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2026-09-07T17:56:37Z</dcterms:created>
  <dc:creator>openpyxl</dc:creator>
  <dc:description/>
  <dc:language>en-US</dc:language>
  <cp:lastModifiedBy/>
  <dcterms:modified xsi:type="dcterms:W3CDTF">2026-09-07T17:56:40Z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